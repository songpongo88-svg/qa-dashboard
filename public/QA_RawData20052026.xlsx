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urpleventuresth-my.sharepoint.com/personal/songpon_robinhood_co_th/Documents/Report QA/ROWDATA/"/>
    </mc:Choice>
  </mc:AlternateContent>
  <xr:revisionPtr revIDLastSave="1" documentId="8_{51125DA1-89F9-4098-A026-211B71C6AB54}" xr6:coauthVersionLast="47" xr6:coauthVersionMax="47" xr10:uidLastSave="{0DBC7A19-A390-4769-8C83-C04F86C5FFCB}"/>
  <bookViews>
    <workbookView xWindow="-120" yWindow="-16320" windowWidth="29040" windowHeight="15840" xr2:uid="{391D045D-249B-40B5-9BBB-6D58E6043D6C}"/>
  </bookViews>
  <sheets>
    <sheet name="Raw_Data" sheetId="1" r:id="rId1"/>
  </sheets>
  <externalReferences>
    <externalReference r:id="rId2"/>
  </externalReferences>
  <definedNames>
    <definedName name="_xlnm._FilterDatabase" localSheetId="0" hidden="1">Raw_Data!$A$4:$BF$802</definedName>
    <definedName name="rngAgents">[1]Lists!$A$2:$A$14</definedName>
    <definedName name="rngAppealStatus">[1]Lists!$M$2:$M$7</definedName>
    <definedName name="rngAppealVersion">[1]Lists!$L$2:$L$11</definedName>
    <definedName name="rngCaseID">[1]Lists!$O$2:$O$76</definedName>
    <definedName name="rngCommentStatus">[1]Lists!$N$2:$N$8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802" i="1" l="1"/>
  <c r="BB802" i="1"/>
  <c r="BA802" i="1"/>
  <c r="AZ802" i="1"/>
  <c r="AY802" i="1"/>
  <c r="AV802" i="1"/>
  <c r="AT802" i="1"/>
  <c r="AU802" i="1" s="1"/>
  <c r="AS802" i="1"/>
  <c r="BC801" i="1"/>
  <c r="BB801" i="1"/>
  <c r="BA801" i="1"/>
  <c r="AZ801" i="1"/>
  <c r="AY801" i="1"/>
  <c r="AV801" i="1"/>
  <c r="AX801" i="1" s="1"/>
  <c r="AU801" i="1"/>
  <c r="AT801" i="1"/>
  <c r="AS801" i="1"/>
  <c r="BC800" i="1"/>
  <c r="BB800" i="1"/>
  <c r="BA800" i="1"/>
  <c r="AZ800" i="1"/>
  <c r="AY800" i="1"/>
  <c r="AV800" i="1"/>
  <c r="AX800" i="1" s="1"/>
  <c r="AT800" i="1"/>
  <c r="AU800" i="1" s="1"/>
  <c r="AS800" i="1"/>
  <c r="BC799" i="1"/>
  <c r="BB799" i="1"/>
  <c r="BA799" i="1"/>
  <c r="AZ799" i="1"/>
  <c r="AY799" i="1"/>
  <c r="AW799" i="1"/>
  <c r="AV799" i="1"/>
  <c r="AX799" i="1" s="1"/>
  <c r="AT799" i="1"/>
  <c r="AU799" i="1" s="1"/>
  <c r="AS799" i="1"/>
  <c r="BC798" i="1"/>
  <c r="BB798" i="1"/>
  <c r="BA798" i="1"/>
  <c r="AZ798" i="1"/>
  <c r="AY798" i="1"/>
  <c r="AV798" i="1"/>
  <c r="AX798" i="1" s="1"/>
  <c r="AT798" i="1"/>
  <c r="AU798" i="1" s="1"/>
  <c r="AS798" i="1"/>
  <c r="BC797" i="1"/>
  <c r="BB797" i="1"/>
  <c r="BA797" i="1"/>
  <c r="AZ797" i="1"/>
  <c r="AY797" i="1"/>
  <c r="AV797" i="1"/>
  <c r="AX797" i="1" s="1"/>
  <c r="AU797" i="1"/>
  <c r="AT797" i="1"/>
  <c r="AS797" i="1"/>
  <c r="BC796" i="1"/>
  <c r="BB796" i="1"/>
  <c r="BA796" i="1"/>
  <c r="AZ796" i="1"/>
  <c r="AY796" i="1"/>
  <c r="AX796" i="1"/>
  <c r="AV796" i="1"/>
  <c r="AW796" i="1" s="1"/>
  <c r="AU796" i="1"/>
  <c r="AT796" i="1"/>
  <c r="AS796" i="1"/>
  <c r="BC795" i="1"/>
  <c r="BB795" i="1"/>
  <c r="BA795" i="1"/>
  <c r="AZ795" i="1"/>
  <c r="AY795" i="1"/>
  <c r="AV795" i="1"/>
  <c r="AX795" i="1" s="1"/>
  <c r="AT795" i="1"/>
  <c r="AU795" i="1" s="1"/>
  <c r="AS795" i="1"/>
  <c r="BC794" i="1"/>
  <c r="BB794" i="1"/>
  <c r="BA794" i="1"/>
  <c r="AZ794" i="1"/>
  <c r="AY794" i="1"/>
  <c r="AV794" i="1"/>
  <c r="AT794" i="1"/>
  <c r="AU794" i="1" s="1"/>
  <c r="AS794" i="1"/>
  <c r="BC793" i="1"/>
  <c r="BB793" i="1"/>
  <c r="BA793" i="1"/>
  <c r="AZ793" i="1"/>
  <c r="AY793" i="1"/>
  <c r="AV793" i="1"/>
  <c r="AX793" i="1" s="1"/>
  <c r="AT793" i="1"/>
  <c r="AU793" i="1" s="1"/>
  <c r="AS793" i="1"/>
  <c r="BC792" i="1"/>
  <c r="BB792" i="1"/>
  <c r="BA792" i="1"/>
  <c r="AZ792" i="1"/>
  <c r="AY792" i="1"/>
  <c r="AV792" i="1"/>
  <c r="AX792" i="1" s="1"/>
  <c r="AT792" i="1"/>
  <c r="AU792" i="1" s="1"/>
  <c r="AS792" i="1"/>
  <c r="BC791" i="1"/>
  <c r="BB791" i="1"/>
  <c r="BA791" i="1"/>
  <c r="AZ791" i="1"/>
  <c r="AY791" i="1"/>
  <c r="AV791" i="1"/>
  <c r="AX791" i="1" s="1"/>
  <c r="AT791" i="1"/>
  <c r="AU791" i="1" s="1"/>
  <c r="AS791" i="1"/>
  <c r="BC790" i="1"/>
  <c r="BB790" i="1"/>
  <c r="BA790" i="1"/>
  <c r="AZ790" i="1"/>
  <c r="AY790" i="1"/>
  <c r="AW790" i="1"/>
  <c r="AV790" i="1"/>
  <c r="AX790" i="1" s="1"/>
  <c r="AT790" i="1"/>
  <c r="AU790" i="1" s="1"/>
  <c r="AS790" i="1"/>
  <c r="BC789" i="1"/>
  <c r="BB789" i="1"/>
  <c r="BA789" i="1"/>
  <c r="AZ789" i="1"/>
  <c r="AY789" i="1"/>
  <c r="AV789" i="1"/>
  <c r="AX789" i="1" s="1"/>
  <c r="AT789" i="1"/>
  <c r="AU789" i="1" s="1"/>
  <c r="AS789" i="1"/>
  <c r="BC788" i="1"/>
  <c r="BB788" i="1"/>
  <c r="BA788" i="1"/>
  <c r="AZ788" i="1"/>
  <c r="AY788" i="1"/>
  <c r="AV788" i="1"/>
  <c r="AX788" i="1" s="1"/>
  <c r="AU788" i="1"/>
  <c r="AT788" i="1"/>
  <c r="AS788" i="1"/>
  <c r="BC787" i="1"/>
  <c r="BB787" i="1"/>
  <c r="BA787" i="1"/>
  <c r="AZ787" i="1"/>
  <c r="AY787" i="1"/>
  <c r="AX787" i="1"/>
  <c r="AV787" i="1"/>
  <c r="AW787" i="1" s="1"/>
  <c r="AT787" i="1"/>
  <c r="AU787" i="1" s="1"/>
  <c r="AS787" i="1"/>
  <c r="BC786" i="1"/>
  <c r="BB786" i="1"/>
  <c r="BA786" i="1"/>
  <c r="AZ786" i="1"/>
  <c r="AY786" i="1"/>
  <c r="AV786" i="1"/>
  <c r="AU786" i="1"/>
  <c r="AT786" i="1"/>
  <c r="AS786" i="1"/>
  <c r="BC785" i="1"/>
  <c r="BB785" i="1"/>
  <c r="BA785" i="1"/>
  <c r="AZ785" i="1"/>
  <c r="AY785" i="1"/>
  <c r="AV785" i="1"/>
  <c r="AX785" i="1" s="1"/>
  <c r="AT785" i="1"/>
  <c r="AU785" i="1" s="1"/>
  <c r="AS785" i="1"/>
  <c r="BC784" i="1"/>
  <c r="BB784" i="1"/>
  <c r="BA784" i="1"/>
  <c r="AZ784" i="1"/>
  <c r="AY784" i="1"/>
  <c r="AV784" i="1"/>
  <c r="AX784" i="1" s="1"/>
  <c r="AT784" i="1"/>
  <c r="AU784" i="1" s="1"/>
  <c r="AS784" i="1"/>
  <c r="BC783" i="1"/>
  <c r="BB783" i="1"/>
  <c r="BA783" i="1"/>
  <c r="AZ783" i="1"/>
  <c r="AY783" i="1"/>
  <c r="AV783" i="1"/>
  <c r="AX783" i="1" s="1"/>
  <c r="AT783" i="1"/>
  <c r="AU783" i="1" s="1"/>
  <c r="AS783" i="1"/>
  <c r="BC782" i="1"/>
  <c r="BB782" i="1"/>
  <c r="BA782" i="1"/>
  <c r="AZ782" i="1"/>
  <c r="AY782" i="1"/>
  <c r="AV782" i="1"/>
  <c r="AX782" i="1" s="1"/>
  <c r="AT782" i="1"/>
  <c r="AU782" i="1" s="1"/>
  <c r="AS782" i="1"/>
  <c r="BC781" i="1"/>
  <c r="BB781" i="1"/>
  <c r="BA781" i="1"/>
  <c r="AZ781" i="1"/>
  <c r="AY781" i="1"/>
  <c r="AV781" i="1"/>
  <c r="AX781" i="1" s="1"/>
  <c r="AU781" i="1"/>
  <c r="AT781" i="1"/>
  <c r="AS781" i="1"/>
  <c r="BC780" i="1"/>
  <c r="BB780" i="1"/>
  <c r="BA780" i="1"/>
  <c r="AZ780" i="1"/>
  <c r="AY780" i="1"/>
  <c r="AV780" i="1"/>
  <c r="AX780" i="1" s="1"/>
  <c r="AT780" i="1"/>
  <c r="AU780" i="1" s="1"/>
  <c r="AS780" i="1"/>
  <c r="BC779" i="1"/>
  <c r="BB779" i="1"/>
  <c r="BA779" i="1"/>
  <c r="AZ779" i="1"/>
  <c r="AY779" i="1"/>
  <c r="AV779" i="1"/>
  <c r="AW779" i="1" s="1"/>
  <c r="AT779" i="1"/>
  <c r="AU779" i="1" s="1"/>
  <c r="AS779" i="1"/>
  <c r="BC778" i="1"/>
  <c r="BB778" i="1"/>
  <c r="BA778" i="1"/>
  <c r="AZ778" i="1"/>
  <c r="AY778" i="1"/>
  <c r="AV778" i="1"/>
  <c r="AT778" i="1"/>
  <c r="AU778" i="1" s="1"/>
  <c r="AS778" i="1"/>
  <c r="BC777" i="1"/>
  <c r="BB777" i="1"/>
  <c r="BA777" i="1"/>
  <c r="AZ777" i="1"/>
  <c r="AY777" i="1"/>
  <c r="AV777" i="1"/>
  <c r="AX777" i="1" s="1"/>
  <c r="AT777" i="1"/>
  <c r="AU777" i="1" s="1"/>
  <c r="AS777" i="1"/>
  <c r="BC776" i="1"/>
  <c r="BB776" i="1"/>
  <c r="BA776" i="1"/>
  <c r="AZ776" i="1"/>
  <c r="AY776" i="1"/>
  <c r="AV776" i="1"/>
  <c r="AX776" i="1" s="1"/>
  <c r="AT776" i="1"/>
  <c r="AU776" i="1" s="1"/>
  <c r="AS776" i="1"/>
  <c r="BC775" i="1"/>
  <c r="BB775" i="1"/>
  <c r="BA775" i="1"/>
  <c r="AZ775" i="1"/>
  <c r="AY775" i="1"/>
  <c r="AV775" i="1"/>
  <c r="AX775" i="1" s="1"/>
  <c r="AT775" i="1"/>
  <c r="AU775" i="1" s="1"/>
  <c r="AS775" i="1"/>
  <c r="BC774" i="1"/>
  <c r="BB774" i="1"/>
  <c r="BA774" i="1"/>
  <c r="AZ774" i="1"/>
  <c r="AY774" i="1"/>
  <c r="AV774" i="1"/>
  <c r="AX774" i="1" s="1"/>
  <c r="AT774" i="1"/>
  <c r="AU774" i="1" s="1"/>
  <c r="AS774" i="1"/>
  <c r="BC773" i="1"/>
  <c r="BB773" i="1"/>
  <c r="BA773" i="1"/>
  <c r="AZ773" i="1"/>
  <c r="AY773" i="1"/>
  <c r="AV773" i="1"/>
  <c r="AW773" i="1" s="1"/>
  <c r="AT773" i="1"/>
  <c r="AU773" i="1" s="1"/>
  <c r="AS773" i="1"/>
  <c r="BC772" i="1"/>
  <c r="BB772" i="1"/>
  <c r="BA772" i="1"/>
  <c r="AZ772" i="1"/>
  <c r="AY772" i="1"/>
  <c r="AV772" i="1"/>
  <c r="AX772" i="1" s="1"/>
  <c r="AT772" i="1"/>
  <c r="AU772" i="1" s="1"/>
  <c r="AS772" i="1"/>
  <c r="BC771" i="1"/>
  <c r="BB771" i="1"/>
  <c r="BA771" i="1"/>
  <c r="AZ771" i="1"/>
  <c r="AY771" i="1"/>
  <c r="AV771" i="1"/>
  <c r="AW771" i="1" s="1"/>
  <c r="AT771" i="1"/>
  <c r="AU771" i="1" s="1"/>
  <c r="AS771" i="1"/>
  <c r="BC770" i="1"/>
  <c r="BB770" i="1"/>
  <c r="BA770" i="1"/>
  <c r="AZ770" i="1"/>
  <c r="AY770" i="1"/>
  <c r="AV770" i="1"/>
  <c r="AT770" i="1"/>
  <c r="AU770" i="1" s="1"/>
  <c r="AS770" i="1"/>
  <c r="BC769" i="1"/>
  <c r="BB769" i="1"/>
  <c r="BA769" i="1"/>
  <c r="AZ769" i="1"/>
  <c r="AY769" i="1"/>
  <c r="AV769" i="1"/>
  <c r="AX769" i="1" s="1"/>
  <c r="AT769" i="1"/>
  <c r="AU769" i="1" s="1"/>
  <c r="AS769" i="1"/>
  <c r="BC768" i="1"/>
  <c r="BB768" i="1"/>
  <c r="BA768" i="1"/>
  <c r="AZ768" i="1"/>
  <c r="AY768" i="1"/>
  <c r="AV768" i="1"/>
  <c r="AX768" i="1" s="1"/>
  <c r="AT768" i="1"/>
  <c r="AU768" i="1" s="1"/>
  <c r="AS768" i="1"/>
  <c r="BC767" i="1"/>
  <c r="BB767" i="1"/>
  <c r="BA767" i="1"/>
  <c r="AZ767" i="1"/>
  <c r="AY767" i="1"/>
  <c r="AV767" i="1"/>
  <c r="AX767" i="1" s="1"/>
  <c r="AT767" i="1"/>
  <c r="AU767" i="1" s="1"/>
  <c r="AS767" i="1"/>
  <c r="BC766" i="1"/>
  <c r="BB766" i="1"/>
  <c r="BA766" i="1"/>
  <c r="AZ766" i="1"/>
  <c r="AY766" i="1"/>
  <c r="AV766" i="1"/>
  <c r="AX766" i="1" s="1"/>
  <c r="AT766" i="1"/>
  <c r="AU766" i="1" s="1"/>
  <c r="AS766" i="1"/>
  <c r="BC765" i="1"/>
  <c r="BB765" i="1"/>
  <c r="BA765" i="1"/>
  <c r="AZ765" i="1"/>
  <c r="AY765" i="1"/>
  <c r="AX765" i="1"/>
  <c r="AV765" i="1"/>
  <c r="AW765" i="1" s="1"/>
  <c r="AT765" i="1"/>
  <c r="AU765" i="1" s="1"/>
  <c r="AS765" i="1"/>
  <c r="BC764" i="1"/>
  <c r="BB764" i="1"/>
  <c r="BA764" i="1"/>
  <c r="AZ764" i="1"/>
  <c r="AY764" i="1"/>
  <c r="AV764" i="1"/>
  <c r="AW764" i="1" s="1"/>
  <c r="AT764" i="1"/>
  <c r="AU764" i="1" s="1"/>
  <c r="AS764" i="1"/>
  <c r="BC763" i="1"/>
  <c r="BB763" i="1"/>
  <c r="BA763" i="1"/>
  <c r="AZ763" i="1"/>
  <c r="AY763" i="1"/>
  <c r="AV763" i="1"/>
  <c r="AW763" i="1" s="1"/>
  <c r="AT763" i="1"/>
  <c r="AU763" i="1" s="1"/>
  <c r="AS763" i="1"/>
  <c r="BC762" i="1"/>
  <c r="BB762" i="1"/>
  <c r="BA762" i="1"/>
  <c r="AZ762" i="1"/>
  <c r="AY762" i="1"/>
  <c r="AV762" i="1"/>
  <c r="AT762" i="1"/>
  <c r="AU762" i="1" s="1"/>
  <c r="AS762" i="1"/>
  <c r="BC761" i="1"/>
  <c r="BB761" i="1"/>
  <c r="BA761" i="1"/>
  <c r="AZ761" i="1"/>
  <c r="AY761" i="1"/>
  <c r="AV761" i="1"/>
  <c r="AX761" i="1" s="1"/>
  <c r="AT761" i="1"/>
  <c r="AU761" i="1" s="1"/>
  <c r="AS761" i="1"/>
  <c r="BC760" i="1"/>
  <c r="BB760" i="1"/>
  <c r="BA760" i="1"/>
  <c r="AZ760" i="1"/>
  <c r="AY760" i="1"/>
  <c r="AV760" i="1"/>
  <c r="AX760" i="1" s="1"/>
  <c r="AT760" i="1"/>
  <c r="AU760" i="1" s="1"/>
  <c r="AS760" i="1"/>
  <c r="BC759" i="1"/>
  <c r="BB759" i="1"/>
  <c r="BA759" i="1"/>
  <c r="AZ759" i="1"/>
  <c r="AY759" i="1"/>
  <c r="AV759" i="1"/>
  <c r="AX759" i="1" s="1"/>
  <c r="AT759" i="1"/>
  <c r="AU759" i="1" s="1"/>
  <c r="AS759" i="1"/>
  <c r="BC758" i="1"/>
  <c r="BB758" i="1"/>
  <c r="BA758" i="1"/>
  <c r="AZ758" i="1"/>
  <c r="AY758" i="1"/>
  <c r="AV758" i="1"/>
  <c r="AT758" i="1"/>
  <c r="AU758" i="1" s="1"/>
  <c r="AS758" i="1"/>
  <c r="BC757" i="1"/>
  <c r="BB757" i="1"/>
  <c r="BA757" i="1"/>
  <c r="AZ757" i="1"/>
  <c r="AY757" i="1"/>
  <c r="AV757" i="1"/>
  <c r="AW757" i="1" s="1"/>
  <c r="AT757" i="1"/>
  <c r="AU757" i="1" s="1"/>
  <c r="AS757" i="1"/>
  <c r="BC756" i="1"/>
  <c r="BB756" i="1"/>
  <c r="BA756" i="1"/>
  <c r="AZ756" i="1"/>
  <c r="AY756" i="1"/>
  <c r="AV756" i="1"/>
  <c r="AW756" i="1" s="1"/>
  <c r="AT756" i="1"/>
  <c r="AU756" i="1" s="1"/>
  <c r="AS756" i="1"/>
  <c r="BC755" i="1"/>
  <c r="BB755" i="1"/>
  <c r="BA755" i="1"/>
  <c r="AZ755" i="1"/>
  <c r="AY755" i="1"/>
  <c r="AV755" i="1"/>
  <c r="AW755" i="1" s="1"/>
  <c r="AT755" i="1"/>
  <c r="AU755" i="1" s="1"/>
  <c r="AS755" i="1"/>
  <c r="BC754" i="1"/>
  <c r="BB754" i="1"/>
  <c r="BA754" i="1"/>
  <c r="AZ754" i="1"/>
  <c r="AY754" i="1"/>
  <c r="AV754" i="1"/>
  <c r="AT754" i="1"/>
  <c r="AU754" i="1" s="1"/>
  <c r="AS754" i="1"/>
  <c r="BC753" i="1"/>
  <c r="BB753" i="1"/>
  <c r="BA753" i="1"/>
  <c r="AZ753" i="1"/>
  <c r="AY753" i="1"/>
  <c r="AV753" i="1"/>
  <c r="AX753" i="1" s="1"/>
  <c r="AT753" i="1"/>
  <c r="AU753" i="1" s="1"/>
  <c r="AS753" i="1"/>
  <c r="BC752" i="1"/>
  <c r="BB752" i="1"/>
  <c r="BA752" i="1"/>
  <c r="AZ752" i="1"/>
  <c r="AY752" i="1"/>
  <c r="AV752" i="1"/>
  <c r="AX752" i="1" s="1"/>
  <c r="AT752" i="1"/>
  <c r="AU752" i="1" s="1"/>
  <c r="AS752" i="1"/>
  <c r="BC751" i="1"/>
  <c r="BB751" i="1"/>
  <c r="BA751" i="1"/>
  <c r="AZ751" i="1"/>
  <c r="AY751" i="1"/>
  <c r="AV751" i="1"/>
  <c r="AX751" i="1" s="1"/>
  <c r="AT751" i="1"/>
  <c r="AU751" i="1" s="1"/>
  <c r="AS751" i="1"/>
  <c r="BC750" i="1"/>
  <c r="BB750" i="1"/>
  <c r="BA750" i="1"/>
  <c r="AZ750" i="1"/>
  <c r="AY750" i="1"/>
  <c r="AV750" i="1"/>
  <c r="AX750" i="1" s="1"/>
  <c r="AT750" i="1"/>
  <c r="AU750" i="1" s="1"/>
  <c r="AS750" i="1"/>
  <c r="BC749" i="1"/>
  <c r="BB749" i="1"/>
  <c r="BA749" i="1"/>
  <c r="AZ749" i="1"/>
  <c r="AY749" i="1"/>
  <c r="AV749" i="1"/>
  <c r="AW749" i="1" s="1"/>
  <c r="AT749" i="1"/>
  <c r="AU749" i="1" s="1"/>
  <c r="AS749" i="1"/>
  <c r="BC748" i="1"/>
  <c r="BB748" i="1"/>
  <c r="BA748" i="1"/>
  <c r="AZ748" i="1"/>
  <c r="AY748" i="1"/>
  <c r="AV748" i="1"/>
  <c r="AT748" i="1"/>
  <c r="AU748" i="1" s="1"/>
  <c r="AS748" i="1"/>
  <c r="BC747" i="1"/>
  <c r="BB747" i="1"/>
  <c r="BA747" i="1"/>
  <c r="AZ747" i="1"/>
  <c r="AY747" i="1"/>
  <c r="AV747" i="1"/>
  <c r="AW747" i="1" s="1"/>
  <c r="AT747" i="1"/>
  <c r="AU747" i="1" s="1"/>
  <c r="AS747" i="1"/>
  <c r="BC746" i="1"/>
  <c r="BB746" i="1"/>
  <c r="BA746" i="1"/>
  <c r="AZ746" i="1"/>
  <c r="AY746" i="1"/>
  <c r="AV746" i="1"/>
  <c r="AT746" i="1"/>
  <c r="AU746" i="1" s="1"/>
  <c r="AS746" i="1"/>
  <c r="BC745" i="1"/>
  <c r="BB745" i="1"/>
  <c r="BA745" i="1"/>
  <c r="AZ745" i="1"/>
  <c r="AY745" i="1"/>
  <c r="AV745" i="1"/>
  <c r="AX745" i="1" s="1"/>
  <c r="AT745" i="1"/>
  <c r="AU745" i="1" s="1"/>
  <c r="AS745" i="1"/>
  <c r="BC744" i="1"/>
  <c r="BB744" i="1"/>
  <c r="BA744" i="1"/>
  <c r="AZ744" i="1"/>
  <c r="AY744" i="1"/>
  <c r="AV744" i="1"/>
  <c r="AX744" i="1" s="1"/>
  <c r="AT744" i="1"/>
  <c r="AU744" i="1" s="1"/>
  <c r="AS744" i="1"/>
  <c r="BC743" i="1"/>
  <c r="BB743" i="1"/>
  <c r="BA743" i="1"/>
  <c r="AZ743" i="1"/>
  <c r="AY743" i="1"/>
  <c r="AV743" i="1"/>
  <c r="AX743" i="1" s="1"/>
  <c r="AT743" i="1"/>
  <c r="AU743" i="1" s="1"/>
  <c r="AS743" i="1"/>
  <c r="BC742" i="1"/>
  <c r="BB742" i="1"/>
  <c r="BA742" i="1"/>
  <c r="AZ742" i="1"/>
  <c r="AY742" i="1"/>
  <c r="AV742" i="1"/>
  <c r="AX742" i="1" s="1"/>
  <c r="AT742" i="1"/>
  <c r="AU742" i="1" s="1"/>
  <c r="AS742" i="1"/>
  <c r="BC741" i="1"/>
  <c r="BB741" i="1"/>
  <c r="BA741" i="1"/>
  <c r="AZ741" i="1"/>
  <c r="AY741" i="1"/>
  <c r="AV741" i="1"/>
  <c r="AT741" i="1"/>
  <c r="AU741" i="1" s="1"/>
  <c r="AS741" i="1"/>
  <c r="BC740" i="1"/>
  <c r="BB740" i="1"/>
  <c r="BA740" i="1"/>
  <c r="AZ740" i="1"/>
  <c r="AY740" i="1"/>
  <c r="AV740" i="1"/>
  <c r="AX740" i="1" s="1"/>
  <c r="AT740" i="1"/>
  <c r="AU740" i="1" s="1"/>
  <c r="AS740" i="1"/>
  <c r="BC739" i="1"/>
  <c r="BB739" i="1"/>
  <c r="BA739" i="1"/>
  <c r="AZ739" i="1"/>
  <c r="AY739" i="1"/>
  <c r="AV739" i="1"/>
  <c r="AW739" i="1" s="1"/>
  <c r="AT739" i="1"/>
  <c r="AU739" i="1" s="1"/>
  <c r="AS739" i="1"/>
  <c r="BC738" i="1"/>
  <c r="BB738" i="1"/>
  <c r="BA738" i="1"/>
  <c r="AZ738" i="1"/>
  <c r="AY738" i="1"/>
  <c r="AV738" i="1"/>
  <c r="AT738" i="1"/>
  <c r="AU738" i="1" s="1"/>
  <c r="AS738" i="1"/>
  <c r="BC737" i="1"/>
  <c r="BB737" i="1"/>
  <c r="BA737" i="1"/>
  <c r="AZ737" i="1"/>
  <c r="AY737" i="1"/>
  <c r="AV737" i="1"/>
  <c r="AX737" i="1" s="1"/>
  <c r="AT737" i="1"/>
  <c r="AU737" i="1" s="1"/>
  <c r="AS737" i="1"/>
  <c r="BC736" i="1"/>
  <c r="BB736" i="1"/>
  <c r="BA736" i="1"/>
  <c r="AZ736" i="1"/>
  <c r="AY736" i="1"/>
  <c r="AV736" i="1"/>
  <c r="AX736" i="1" s="1"/>
  <c r="AT736" i="1"/>
  <c r="AU736" i="1" s="1"/>
  <c r="AS736" i="1"/>
  <c r="BC735" i="1"/>
  <c r="BB735" i="1"/>
  <c r="BA735" i="1"/>
  <c r="AZ735" i="1"/>
  <c r="AY735" i="1"/>
  <c r="AV735" i="1"/>
  <c r="AT735" i="1"/>
  <c r="AU735" i="1" s="1"/>
  <c r="AS735" i="1"/>
  <c r="BC734" i="1"/>
  <c r="BB734" i="1"/>
  <c r="BA734" i="1"/>
  <c r="AZ734" i="1"/>
  <c r="AY734" i="1"/>
  <c r="AV734" i="1"/>
  <c r="AX734" i="1" s="1"/>
  <c r="AT734" i="1"/>
  <c r="AU734" i="1" s="1"/>
  <c r="AS734" i="1"/>
  <c r="BC733" i="1"/>
  <c r="BB733" i="1"/>
  <c r="BA733" i="1"/>
  <c r="AZ733" i="1"/>
  <c r="AY733" i="1"/>
  <c r="AV733" i="1"/>
  <c r="AX733" i="1" s="1"/>
  <c r="AT733" i="1"/>
  <c r="AU733" i="1" s="1"/>
  <c r="AS733" i="1"/>
  <c r="BC732" i="1"/>
  <c r="BB732" i="1"/>
  <c r="BA732" i="1"/>
  <c r="AZ732" i="1"/>
  <c r="AY732" i="1"/>
  <c r="AV732" i="1"/>
  <c r="AW732" i="1" s="1"/>
  <c r="AT732" i="1"/>
  <c r="AU732" i="1" s="1"/>
  <c r="AS732" i="1"/>
  <c r="BC731" i="1"/>
  <c r="BB731" i="1"/>
  <c r="BA731" i="1"/>
  <c r="AZ731" i="1"/>
  <c r="AY731" i="1"/>
  <c r="AV731" i="1"/>
  <c r="AT731" i="1"/>
  <c r="AU731" i="1" s="1"/>
  <c r="AS731" i="1"/>
  <c r="BC730" i="1"/>
  <c r="BB730" i="1"/>
  <c r="BA730" i="1"/>
  <c r="AZ730" i="1"/>
  <c r="AY730" i="1"/>
  <c r="AV730" i="1"/>
  <c r="AT730" i="1"/>
  <c r="AU730" i="1" s="1"/>
  <c r="AS730" i="1"/>
  <c r="BC729" i="1"/>
  <c r="BB729" i="1"/>
  <c r="BA729" i="1"/>
  <c r="AZ729" i="1"/>
  <c r="AY729" i="1"/>
  <c r="AV729" i="1"/>
  <c r="AX729" i="1" s="1"/>
  <c r="AT729" i="1"/>
  <c r="AU729" i="1" s="1"/>
  <c r="AS729" i="1"/>
  <c r="BC728" i="1"/>
  <c r="BB728" i="1"/>
  <c r="BA728" i="1"/>
  <c r="AZ728" i="1"/>
  <c r="AY728" i="1"/>
  <c r="AV728" i="1"/>
  <c r="AX728" i="1" s="1"/>
  <c r="AT728" i="1"/>
  <c r="AU728" i="1" s="1"/>
  <c r="AS728" i="1"/>
  <c r="BC727" i="1"/>
  <c r="BB727" i="1"/>
  <c r="BA727" i="1"/>
  <c r="AZ727" i="1"/>
  <c r="AY727" i="1"/>
  <c r="AV727" i="1"/>
  <c r="AX727" i="1" s="1"/>
  <c r="AT727" i="1"/>
  <c r="AU727" i="1" s="1"/>
  <c r="AS727" i="1"/>
  <c r="BC726" i="1"/>
  <c r="BB726" i="1"/>
  <c r="BA726" i="1"/>
  <c r="AZ726" i="1"/>
  <c r="AY726" i="1"/>
  <c r="AV726" i="1"/>
  <c r="AX726" i="1" s="1"/>
  <c r="AT726" i="1"/>
  <c r="AU726" i="1" s="1"/>
  <c r="AS726" i="1"/>
  <c r="BC725" i="1"/>
  <c r="BB725" i="1"/>
  <c r="BA725" i="1"/>
  <c r="AZ725" i="1"/>
  <c r="AY725" i="1"/>
  <c r="AV725" i="1"/>
  <c r="AX725" i="1" s="1"/>
  <c r="AT725" i="1"/>
  <c r="AU725" i="1" s="1"/>
  <c r="AS725" i="1"/>
  <c r="BC724" i="1"/>
  <c r="BB724" i="1"/>
  <c r="BA724" i="1"/>
  <c r="AZ724" i="1"/>
  <c r="AY724" i="1"/>
  <c r="AV724" i="1"/>
  <c r="AX724" i="1" s="1"/>
  <c r="AT724" i="1"/>
  <c r="AU724" i="1" s="1"/>
  <c r="AS724" i="1"/>
  <c r="BC723" i="1"/>
  <c r="BB723" i="1"/>
  <c r="BA723" i="1"/>
  <c r="AZ723" i="1"/>
  <c r="AY723" i="1"/>
  <c r="AV723" i="1"/>
  <c r="AX723" i="1" s="1"/>
  <c r="AT723" i="1"/>
  <c r="AU723" i="1" s="1"/>
  <c r="AS723" i="1"/>
  <c r="BC722" i="1"/>
  <c r="BB722" i="1"/>
  <c r="BA722" i="1"/>
  <c r="AZ722" i="1"/>
  <c r="AY722" i="1"/>
  <c r="AV722" i="1"/>
  <c r="AT722" i="1"/>
  <c r="AU722" i="1" s="1"/>
  <c r="AS722" i="1"/>
  <c r="BC721" i="1"/>
  <c r="BB721" i="1"/>
  <c r="BA721" i="1"/>
  <c r="AZ721" i="1"/>
  <c r="AY721" i="1"/>
  <c r="AV721" i="1"/>
  <c r="AX721" i="1" s="1"/>
  <c r="AT721" i="1"/>
  <c r="AU721" i="1" s="1"/>
  <c r="AS721" i="1"/>
  <c r="BC720" i="1"/>
  <c r="BB720" i="1"/>
  <c r="BA720" i="1"/>
  <c r="AZ720" i="1"/>
  <c r="AY720" i="1"/>
  <c r="AV720" i="1"/>
  <c r="AX720" i="1" s="1"/>
  <c r="AT720" i="1"/>
  <c r="AU720" i="1" s="1"/>
  <c r="AS720" i="1"/>
  <c r="BC719" i="1"/>
  <c r="BB719" i="1"/>
  <c r="BA719" i="1"/>
  <c r="AZ719" i="1"/>
  <c r="AY719" i="1"/>
  <c r="AV719" i="1"/>
  <c r="AT719" i="1"/>
  <c r="AU719" i="1" s="1"/>
  <c r="AS719" i="1"/>
  <c r="BC718" i="1"/>
  <c r="BB718" i="1"/>
  <c r="BA718" i="1"/>
  <c r="AZ718" i="1"/>
  <c r="AY718" i="1"/>
  <c r="AV718" i="1"/>
  <c r="AX718" i="1" s="1"/>
  <c r="AT718" i="1"/>
  <c r="AU718" i="1" s="1"/>
  <c r="AS718" i="1"/>
  <c r="BC717" i="1"/>
  <c r="BB717" i="1"/>
  <c r="BA717" i="1"/>
  <c r="AZ717" i="1"/>
  <c r="AY717" i="1"/>
  <c r="AV717" i="1"/>
  <c r="AX717" i="1" s="1"/>
  <c r="AT717" i="1"/>
  <c r="AU717" i="1" s="1"/>
  <c r="AS717" i="1"/>
  <c r="BC716" i="1"/>
  <c r="BB716" i="1"/>
  <c r="BA716" i="1"/>
  <c r="AZ716" i="1"/>
  <c r="AY716" i="1"/>
  <c r="AV716" i="1"/>
  <c r="AW716" i="1" s="1"/>
  <c r="AT716" i="1"/>
  <c r="AU716" i="1" s="1"/>
  <c r="AS716" i="1"/>
  <c r="BC715" i="1"/>
  <c r="BB715" i="1"/>
  <c r="BA715" i="1"/>
  <c r="AZ715" i="1"/>
  <c r="AY715" i="1"/>
  <c r="AV715" i="1"/>
  <c r="AT715" i="1"/>
  <c r="AU715" i="1" s="1"/>
  <c r="AS715" i="1"/>
  <c r="BC714" i="1"/>
  <c r="BB714" i="1"/>
  <c r="BA714" i="1"/>
  <c r="AZ714" i="1"/>
  <c r="AY714" i="1"/>
  <c r="AV714" i="1"/>
  <c r="AT714" i="1"/>
  <c r="AU714" i="1" s="1"/>
  <c r="AS714" i="1"/>
  <c r="BC713" i="1"/>
  <c r="BB713" i="1"/>
  <c r="BA713" i="1"/>
  <c r="AZ713" i="1"/>
  <c r="AY713" i="1"/>
  <c r="AV713" i="1"/>
  <c r="AX713" i="1" s="1"/>
  <c r="AT713" i="1"/>
  <c r="AU713" i="1" s="1"/>
  <c r="AS713" i="1"/>
  <c r="BC712" i="1"/>
  <c r="BB712" i="1"/>
  <c r="BA712" i="1"/>
  <c r="AZ712" i="1"/>
  <c r="AY712" i="1"/>
  <c r="AV712" i="1"/>
  <c r="AX712" i="1" s="1"/>
  <c r="AT712" i="1"/>
  <c r="AU712" i="1" s="1"/>
  <c r="AS712" i="1"/>
  <c r="BC711" i="1"/>
  <c r="BB711" i="1"/>
  <c r="BA711" i="1"/>
  <c r="AZ711" i="1"/>
  <c r="AY711" i="1"/>
  <c r="AV711" i="1"/>
  <c r="AX711" i="1" s="1"/>
  <c r="AT711" i="1"/>
  <c r="AU711" i="1" s="1"/>
  <c r="AS711" i="1"/>
  <c r="BC710" i="1"/>
  <c r="BB710" i="1"/>
  <c r="BA710" i="1"/>
  <c r="AZ710" i="1"/>
  <c r="AY710" i="1"/>
  <c r="AV710" i="1"/>
  <c r="AX710" i="1" s="1"/>
  <c r="AT710" i="1"/>
  <c r="AU710" i="1" s="1"/>
  <c r="AS710" i="1"/>
  <c r="BC709" i="1"/>
  <c r="BB709" i="1"/>
  <c r="BA709" i="1"/>
  <c r="AZ709" i="1"/>
  <c r="AY709" i="1"/>
  <c r="AV709" i="1"/>
  <c r="AX709" i="1" s="1"/>
  <c r="AT709" i="1"/>
  <c r="AU709" i="1" s="1"/>
  <c r="AS709" i="1"/>
  <c r="BC708" i="1"/>
  <c r="BB708" i="1"/>
  <c r="BA708" i="1"/>
  <c r="AZ708" i="1"/>
  <c r="AY708" i="1"/>
  <c r="AV708" i="1"/>
  <c r="AX708" i="1" s="1"/>
  <c r="AT708" i="1"/>
  <c r="AU708" i="1" s="1"/>
  <c r="AS708" i="1"/>
  <c r="BC707" i="1"/>
  <c r="BB707" i="1"/>
  <c r="BA707" i="1"/>
  <c r="AZ707" i="1"/>
  <c r="AY707" i="1"/>
  <c r="AV707" i="1"/>
  <c r="AX707" i="1" s="1"/>
  <c r="AT707" i="1"/>
  <c r="AU707" i="1" s="1"/>
  <c r="AS707" i="1"/>
  <c r="BC706" i="1"/>
  <c r="BB706" i="1"/>
  <c r="BA706" i="1"/>
  <c r="AZ706" i="1"/>
  <c r="AY706" i="1"/>
  <c r="AV706" i="1"/>
  <c r="AT706" i="1"/>
  <c r="AU706" i="1" s="1"/>
  <c r="AS706" i="1"/>
  <c r="BC705" i="1"/>
  <c r="BB705" i="1"/>
  <c r="BA705" i="1"/>
  <c r="AZ705" i="1"/>
  <c r="AY705" i="1"/>
  <c r="AV705" i="1"/>
  <c r="AX705" i="1" s="1"/>
  <c r="AT705" i="1"/>
  <c r="AU705" i="1" s="1"/>
  <c r="AS705" i="1"/>
  <c r="BC704" i="1"/>
  <c r="BB704" i="1"/>
  <c r="BA704" i="1"/>
  <c r="AZ704" i="1"/>
  <c r="AY704" i="1"/>
  <c r="AV704" i="1"/>
  <c r="AX704" i="1" s="1"/>
  <c r="AT704" i="1"/>
  <c r="AU704" i="1" s="1"/>
  <c r="AS704" i="1"/>
  <c r="BC703" i="1"/>
  <c r="BB703" i="1"/>
  <c r="BA703" i="1"/>
  <c r="AZ703" i="1"/>
  <c r="AY703" i="1"/>
  <c r="AV703" i="1"/>
  <c r="AT703" i="1"/>
  <c r="AU703" i="1" s="1"/>
  <c r="AS703" i="1"/>
  <c r="BC702" i="1"/>
  <c r="BB702" i="1"/>
  <c r="BA702" i="1"/>
  <c r="AZ702" i="1"/>
  <c r="AY702" i="1"/>
  <c r="AV702" i="1"/>
  <c r="AX702" i="1" s="1"/>
  <c r="AT702" i="1"/>
  <c r="AU702" i="1" s="1"/>
  <c r="AS702" i="1"/>
  <c r="BC701" i="1"/>
  <c r="BB701" i="1"/>
  <c r="BA701" i="1"/>
  <c r="AZ701" i="1"/>
  <c r="AY701" i="1"/>
  <c r="AV701" i="1"/>
  <c r="AX701" i="1" s="1"/>
  <c r="AT701" i="1"/>
  <c r="AU701" i="1" s="1"/>
  <c r="AS701" i="1"/>
  <c r="BC700" i="1"/>
  <c r="BB700" i="1"/>
  <c r="BA700" i="1"/>
  <c r="AZ700" i="1"/>
  <c r="AY700" i="1"/>
  <c r="AV700" i="1"/>
  <c r="AW700" i="1" s="1"/>
  <c r="AT700" i="1"/>
  <c r="AU700" i="1" s="1"/>
  <c r="AS700" i="1"/>
  <c r="BC699" i="1"/>
  <c r="BB699" i="1"/>
  <c r="BA699" i="1"/>
  <c r="AZ699" i="1"/>
  <c r="AY699" i="1"/>
  <c r="AV699" i="1"/>
  <c r="AT699" i="1"/>
  <c r="AU699" i="1" s="1"/>
  <c r="AS699" i="1"/>
  <c r="BC698" i="1"/>
  <c r="BB698" i="1"/>
  <c r="BA698" i="1"/>
  <c r="AZ698" i="1"/>
  <c r="AY698" i="1"/>
  <c r="AV698" i="1"/>
  <c r="AT698" i="1"/>
  <c r="AU698" i="1" s="1"/>
  <c r="AS698" i="1"/>
  <c r="BC697" i="1"/>
  <c r="BB697" i="1"/>
  <c r="BA697" i="1"/>
  <c r="AZ697" i="1"/>
  <c r="AY697" i="1"/>
  <c r="AV697" i="1"/>
  <c r="AX697" i="1" s="1"/>
  <c r="AT697" i="1"/>
  <c r="AU697" i="1" s="1"/>
  <c r="AS697" i="1"/>
  <c r="BC696" i="1"/>
  <c r="BB696" i="1"/>
  <c r="BA696" i="1"/>
  <c r="AZ696" i="1"/>
  <c r="AY696" i="1"/>
  <c r="AV696" i="1"/>
  <c r="AX696" i="1" s="1"/>
  <c r="AT696" i="1"/>
  <c r="AU696" i="1" s="1"/>
  <c r="AS696" i="1"/>
  <c r="BC695" i="1"/>
  <c r="BB695" i="1"/>
  <c r="BA695" i="1"/>
  <c r="AZ695" i="1"/>
  <c r="AY695" i="1"/>
  <c r="AV695" i="1"/>
  <c r="AX695" i="1" s="1"/>
  <c r="AT695" i="1"/>
  <c r="AU695" i="1" s="1"/>
  <c r="AS695" i="1"/>
  <c r="BC694" i="1"/>
  <c r="BB694" i="1"/>
  <c r="BA694" i="1"/>
  <c r="AZ694" i="1"/>
  <c r="AY694" i="1"/>
  <c r="AV694" i="1"/>
  <c r="AX694" i="1" s="1"/>
  <c r="AT694" i="1"/>
  <c r="AU694" i="1" s="1"/>
  <c r="AS694" i="1"/>
  <c r="BC693" i="1"/>
  <c r="BB693" i="1"/>
  <c r="BA693" i="1"/>
  <c r="AZ693" i="1"/>
  <c r="AY693" i="1"/>
  <c r="AV693" i="1"/>
  <c r="AX693" i="1" s="1"/>
  <c r="AT693" i="1"/>
  <c r="AU693" i="1" s="1"/>
  <c r="AS693" i="1"/>
  <c r="BC692" i="1"/>
  <c r="BB692" i="1"/>
  <c r="BA692" i="1"/>
  <c r="AZ692" i="1"/>
  <c r="AY692" i="1"/>
  <c r="AV692" i="1"/>
  <c r="AX692" i="1" s="1"/>
  <c r="AT692" i="1"/>
  <c r="AU692" i="1" s="1"/>
  <c r="AS692" i="1"/>
  <c r="BC691" i="1"/>
  <c r="BB691" i="1"/>
  <c r="BA691" i="1"/>
  <c r="AZ691" i="1"/>
  <c r="AY691" i="1"/>
  <c r="AV691" i="1"/>
  <c r="AX691" i="1" s="1"/>
  <c r="AU691" i="1"/>
  <c r="AT691" i="1"/>
  <c r="AS691" i="1"/>
  <c r="BC690" i="1"/>
  <c r="BB690" i="1"/>
  <c r="BA690" i="1"/>
  <c r="AZ690" i="1"/>
  <c r="AY690" i="1"/>
  <c r="AV690" i="1"/>
  <c r="AT690" i="1"/>
  <c r="AU690" i="1" s="1"/>
  <c r="AS690" i="1"/>
  <c r="BC689" i="1"/>
  <c r="BB689" i="1"/>
  <c r="BA689" i="1"/>
  <c r="AZ689" i="1"/>
  <c r="AY689" i="1"/>
  <c r="AV689" i="1"/>
  <c r="AX689" i="1" s="1"/>
  <c r="AT689" i="1"/>
  <c r="AU689" i="1" s="1"/>
  <c r="AS689" i="1"/>
  <c r="BC688" i="1"/>
  <c r="BB688" i="1"/>
  <c r="BA688" i="1"/>
  <c r="AZ688" i="1"/>
  <c r="AY688" i="1"/>
  <c r="AV688" i="1"/>
  <c r="AX688" i="1" s="1"/>
  <c r="AT688" i="1"/>
  <c r="AU688" i="1" s="1"/>
  <c r="AS688" i="1"/>
  <c r="BC687" i="1"/>
  <c r="BB687" i="1"/>
  <c r="BA687" i="1"/>
  <c r="AZ687" i="1"/>
  <c r="AY687" i="1"/>
  <c r="AV687" i="1"/>
  <c r="AT687" i="1"/>
  <c r="AU687" i="1" s="1"/>
  <c r="AS687" i="1"/>
  <c r="BC686" i="1"/>
  <c r="BB686" i="1"/>
  <c r="BA686" i="1"/>
  <c r="AZ686" i="1"/>
  <c r="AY686" i="1"/>
  <c r="AV686" i="1"/>
  <c r="AX686" i="1" s="1"/>
  <c r="AT686" i="1"/>
  <c r="AU686" i="1" s="1"/>
  <c r="AS686" i="1"/>
  <c r="BC685" i="1"/>
  <c r="BB685" i="1"/>
  <c r="BA685" i="1"/>
  <c r="AZ685" i="1"/>
  <c r="AY685" i="1"/>
  <c r="AV685" i="1"/>
  <c r="AX685" i="1" s="1"/>
  <c r="AT685" i="1"/>
  <c r="AU685" i="1" s="1"/>
  <c r="AS685" i="1"/>
  <c r="BC684" i="1"/>
  <c r="BB684" i="1"/>
  <c r="BA684" i="1"/>
  <c r="AZ684" i="1"/>
  <c r="AY684" i="1"/>
  <c r="AV684" i="1"/>
  <c r="AW684" i="1" s="1"/>
  <c r="AT684" i="1"/>
  <c r="AU684" i="1" s="1"/>
  <c r="AS684" i="1"/>
  <c r="BC683" i="1"/>
  <c r="BB683" i="1"/>
  <c r="BA683" i="1"/>
  <c r="AZ683" i="1"/>
  <c r="AY683" i="1"/>
  <c r="AV683" i="1"/>
  <c r="AT683" i="1"/>
  <c r="AU683" i="1" s="1"/>
  <c r="AS683" i="1"/>
  <c r="BC682" i="1"/>
  <c r="BB682" i="1"/>
  <c r="BA682" i="1"/>
  <c r="AZ682" i="1"/>
  <c r="AY682" i="1"/>
  <c r="AV682" i="1"/>
  <c r="AT682" i="1"/>
  <c r="AU682" i="1" s="1"/>
  <c r="AS682" i="1"/>
  <c r="BC681" i="1"/>
  <c r="BB681" i="1"/>
  <c r="BA681" i="1"/>
  <c r="AZ681" i="1"/>
  <c r="AY681" i="1"/>
  <c r="AV681" i="1"/>
  <c r="AX681" i="1" s="1"/>
  <c r="AT681" i="1"/>
  <c r="AU681" i="1" s="1"/>
  <c r="AS681" i="1"/>
  <c r="BC680" i="1"/>
  <c r="BB680" i="1"/>
  <c r="BA680" i="1"/>
  <c r="AZ680" i="1"/>
  <c r="AY680" i="1"/>
  <c r="AV680" i="1"/>
  <c r="AX680" i="1" s="1"/>
  <c r="AT680" i="1"/>
  <c r="AU680" i="1" s="1"/>
  <c r="AS680" i="1"/>
  <c r="BC679" i="1"/>
  <c r="BB679" i="1"/>
  <c r="BA679" i="1"/>
  <c r="AZ679" i="1"/>
  <c r="AY679" i="1"/>
  <c r="AV679" i="1"/>
  <c r="AX679" i="1" s="1"/>
  <c r="AT679" i="1"/>
  <c r="AU679" i="1" s="1"/>
  <c r="AS679" i="1"/>
  <c r="BC678" i="1"/>
  <c r="BB678" i="1"/>
  <c r="BA678" i="1"/>
  <c r="AZ678" i="1"/>
  <c r="AY678" i="1"/>
  <c r="AV678" i="1"/>
  <c r="AX678" i="1" s="1"/>
  <c r="AT678" i="1"/>
  <c r="AU678" i="1" s="1"/>
  <c r="AS678" i="1"/>
  <c r="BC677" i="1"/>
  <c r="BB677" i="1"/>
  <c r="BA677" i="1"/>
  <c r="AZ677" i="1"/>
  <c r="AY677" i="1"/>
  <c r="AV677" i="1"/>
  <c r="AX677" i="1" s="1"/>
  <c r="AT677" i="1"/>
  <c r="AU677" i="1" s="1"/>
  <c r="AS677" i="1"/>
  <c r="BC676" i="1"/>
  <c r="BB676" i="1"/>
  <c r="BA676" i="1"/>
  <c r="AZ676" i="1"/>
  <c r="AY676" i="1"/>
  <c r="AV676" i="1"/>
  <c r="AX676" i="1" s="1"/>
  <c r="AT676" i="1"/>
  <c r="AU676" i="1" s="1"/>
  <c r="AS676" i="1"/>
  <c r="BC675" i="1"/>
  <c r="BB675" i="1"/>
  <c r="BA675" i="1"/>
  <c r="AZ675" i="1"/>
  <c r="AY675" i="1"/>
  <c r="AV675" i="1"/>
  <c r="AX675" i="1" s="1"/>
  <c r="AT675" i="1"/>
  <c r="AU675" i="1" s="1"/>
  <c r="AS675" i="1"/>
  <c r="BC674" i="1"/>
  <c r="BB674" i="1"/>
  <c r="BA674" i="1"/>
  <c r="AZ674" i="1"/>
  <c r="AY674" i="1"/>
  <c r="AV674" i="1"/>
  <c r="AT674" i="1"/>
  <c r="AU674" i="1" s="1"/>
  <c r="AS674" i="1"/>
  <c r="BC673" i="1"/>
  <c r="BB673" i="1"/>
  <c r="BA673" i="1"/>
  <c r="AZ673" i="1"/>
  <c r="AY673" i="1"/>
  <c r="AV673" i="1"/>
  <c r="AX673" i="1" s="1"/>
  <c r="AT673" i="1"/>
  <c r="AU673" i="1" s="1"/>
  <c r="AS673" i="1"/>
  <c r="BC672" i="1"/>
  <c r="BB672" i="1"/>
  <c r="BA672" i="1"/>
  <c r="AZ672" i="1"/>
  <c r="AY672" i="1"/>
  <c r="AV672" i="1"/>
  <c r="AX672" i="1" s="1"/>
  <c r="AT672" i="1"/>
  <c r="AU672" i="1" s="1"/>
  <c r="AS672" i="1"/>
  <c r="BC671" i="1"/>
  <c r="BB671" i="1"/>
  <c r="BA671" i="1"/>
  <c r="AZ671" i="1"/>
  <c r="AY671" i="1"/>
  <c r="AV671" i="1"/>
  <c r="AT671" i="1"/>
  <c r="AU671" i="1" s="1"/>
  <c r="AS671" i="1"/>
  <c r="BC670" i="1"/>
  <c r="BB670" i="1"/>
  <c r="BA670" i="1"/>
  <c r="AZ670" i="1"/>
  <c r="AY670" i="1"/>
  <c r="AV670" i="1"/>
  <c r="AX670" i="1" s="1"/>
  <c r="AT670" i="1"/>
  <c r="AU670" i="1" s="1"/>
  <c r="AS670" i="1"/>
  <c r="BC669" i="1"/>
  <c r="BB669" i="1"/>
  <c r="BA669" i="1"/>
  <c r="AZ669" i="1"/>
  <c r="AY669" i="1"/>
  <c r="AV669" i="1"/>
  <c r="AX669" i="1" s="1"/>
  <c r="AT669" i="1"/>
  <c r="AU669" i="1" s="1"/>
  <c r="AS669" i="1"/>
  <c r="BC668" i="1"/>
  <c r="BB668" i="1"/>
  <c r="BA668" i="1"/>
  <c r="AZ668" i="1"/>
  <c r="AY668" i="1"/>
  <c r="AV668" i="1"/>
  <c r="AW668" i="1" s="1"/>
  <c r="AT668" i="1"/>
  <c r="AU668" i="1" s="1"/>
  <c r="AS668" i="1"/>
  <c r="BC667" i="1"/>
  <c r="BB667" i="1"/>
  <c r="BA667" i="1"/>
  <c r="AZ667" i="1"/>
  <c r="AY667" i="1"/>
  <c r="AV667" i="1"/>
  <c r="AT667" i="1"/>
  <c r="AU667" i="1" s="1"/>
  <c r="AS667" i="1"/>
  <c r="BC666" i="1"/>
  <c r="BB666" i="1"/>
  <c r="BA666" i="1"/>
  <c r="AZ666" i="1"/>
  <c r="AY666" i="1"/>
  <c r="AV666" i="1"/>
  <c r="AT666" i="1"/>
  <c r="AU666" i="1" s="1"/>
  <c r="AS666" i="1"/>
  <c r="BC665" i="1"/>
  <c r="BB665" i="1"/>
  <c r="BA665" i="1"/>
  <c r="AZ665" i="1"/>
  <c r="AY665" i="1"/>
  <c r="AV665" i="1"/>
  <c r="AX665" i="1" s="1"/>
  <c r="AT665" i="1"/>
  <c r="AU665" i="1" s="1"/>
  <c r="AS665" i="1"/>
  <c r="BC664" i="1"/>
  <c r="BB664" i="1"/>
  <c r="BA664" i="1"/>
  <c r="AZ664" i="1"/>
  <c r="AY664" i="1"/>
  <c r="AV664" i="1"/>
  <c r="AX664" i="1" s="1"/>
  <c r="AT664" i="1"/>
  <c r="AU664" i="1" s="1"/>
  <c r="AS664" i="1"/>
  <c r="BC663" i="1"/>
  <c r="BB663" i="1"/>
  <c r="BA663" i="1"/>
  <c r="AZ663" i="1"/>
  <c r="AY663" i="1"/>
  <c r="AV663" i="1"/>
  <c r="AX663" i="1" s="1"/>
  <c r="AT663" i="1"/>
  <c r="AU663" i="1" s="1"/>
  <c r="AS663" i="1"/>
  <c r="BC662" i="1"/>
  <c r="BB662" i="1"/>
  <c r="BA662" i="1"/>
  <c r="AZ662" i="1"/>
  <c r="AY662" i="1"/>
  <c r="AV662" i="1"/>
  <c r="AX662" i="1" s="1"/>
  <c r="AT662" i="1"/>
  <c r="AU662" i="1" s="1"/>
  <c r="AS662" i="1"/>
  <c r="BC661" i="1"/>
  <c r="BB661" i="1"/>
  <c r="BA661" i="1"/>
  <c r="AZ661" i="1"/>
  <c r="AY661" i="1"/>
  <c r="AV661" i="1"/>
  <c r="AX661" i="1" s="1"/>
  <c r="AT661" i="1"/>
  <c r="AU661" i="1" s="1"/>
  <c r="AS661" i="1"/>
  <c r="BC660" i="1"/>
  <c r="BB660" i="1"/>
  <c r="BA660" i="1"/>
  <c r="AZ660" i="1"/>
  <c r="AY660" i="1"/>
  <c r="AV660" i="1"/>
  <c r="AX660" i="1" s="1"/>
  <c r="AT660" i="1"/>
  <c r="AU660" i="1" s="1"/>
  <c r="AS660" i="1"/>
  <c r="BC659" i="1"/>
  <c r="BB659" i="1"/>
  <c r="BA659" i="1"/>
  <c r="AZ659" i="1"/>
  <c r="AY659" i="1"/>
  <c r="AX659" i="1"/>
  <c r="AW659" i="1"/>
  <c r="AV659" i="1"/>
  <c r="AT659" i="1"/>
  <c r="AU659" i="1" s="1"/>
  <c r="AS659" i="1"/>
  <c r="BC658" i="1"/>
  <c r="BB658" i="1"/>
  <c r="BA658" i="1"/>
  <c r="AZ658" i="1"/>
  <c r="AY658" i="1"/>
  <c r="AV658" i="1"/>
  <c r="AT658" i="1"/>
  <c r="AU658" i="1" s="1"/>
  <c r="AS658" i="1"/>
  <c r="BC657" i="1"/>
  <c r="BB657" i="1"/>
  <c r="BA657" i="1"/>
  <c r="AZ657" i="1"/>
  <c r="AY657" i="1"/>
  <c r="AV657" i="1"/>
  <c r="AX657" i="1" s="1"/>
  <c r="AT657" i="1"/>
  <c r="AU657" i="1" s="1"/>
  <c r="AS657" i="1"/>
  <c r="BC656" i="1"/>
  <c r="BB656" i="1"/>
  <c r="BA656" i="1"/>
  <c r="AZ656" i="1"/>
  <c r="AY656" i="1"/>
  <c r="AV656" i="1"/>
  <c r="AX656" i="1" s="1"/>
  <c r="AT656" i="1"/>
  <c r="AU656" i="1" s="1"/>
  <c r="AS656" i="1"/>
  <c r="BC655" i="1"/>
  <c r="BB655" i="1"/>
  <c r="BA655" i="1"/>
  <c r="AZ655" i="1"/>
  <c r="AY655" i="1"/>
  <c r="AV655" i="1"/>
  <c r="AT655" i="1"/>
  <c r="AU655" i="1" s="1"/>
  <c r="AS655" i="1"/>
  <c r="BC654" i="1"/>
  <c r="BB654" i="1"/>
  <c r="BA654" i="1"/>
  <c r="AZ654" i="1"/>
  <c r="AY654" i="1"/>
  <c r="AV654" i="1"/>
  <c r="AX654" i="1" s="1"/>
  <c r="AT654" i="1"/>
  <c r="AU654" i="1" s="1"/>
  <c r="AS654" i="1"/>
  <c r="BC653" i="1"/>
  <c r="BB653" i="1"/>
  <c r="BA653" i="1"/>
  <c r="AZ653" i="1"/>
  <c r="AY653" i="1"/>
  <c r="AV653" i="1"/>
  <c r="AX653" i="1" s="1"/>
  <c r="AT653" i="1"/>
  <c r="AU653" i="1" s="1"/>
  <c r="AS653" i="1"/>
  <c r="BC652" i="1"/>
  <c r="BB652" i="1"/>
  <c r="BA652" i="1"/>
  <c r="AZ652" i="1"/>
  <c r="AY652" i="1"/>
  <c r="AV652" i="1"/>
  <c r="AW652" i="1" s="1"/>
  <c r="AT652" i="1"/>
  <c r="AU652" i="1" s="1"/>
  <c r="AS652" i="1"/>
  <c r="BC651" i="1"/>
  <c r="BB651" i="1"/>
  <c r="BA651" i="1"/>
  <c r="AZ651" i="1"/>
  <c r="AY651" i="1"/>
  <c r="AV651" i="1"/>
  <c r="AT651" i="1"/>
  <c r="AU651" i="1" s="1"/>
  <c r="AS651" i="1"/>
  <c r="BC650" i="1"/>
  <c r="BB650" i="1"/>
  <c r="BA650" i="1"/>
  <c r="AZ650" i="1"/>
  <c r="AY650" i="1"/>
  <c r="AV650" i="1"/>
  <c r="AT650" i="1"/>
  <c r="AU650" i="1" s="1"/>
  <c r="AS650" i="1"/>
  <c r="BC649" i="1"/>
  <c r="BB649" i="1"/>
  <c r="BA649" i="1"/>
  <c r="AZ649" i="1"/>
  <c r="AY649" i="1"/>
  <c r="AV649" i="1"/>
  <c r="AX649" i="1" s="1"/>
  <c r="AT649" i="1"/>
  <c r="AU649" i="1" s="1"/>
  <c r="AS649" i="1"/>
  <c r="BC648" i="1"/>
  <c r="BB648" i="1"/>
  <c r="BA648" i="1"/>
  <c r="AZ648" i="1"/>
  <c r="AY648" i="1"/>
  <c r="AV648" i="1"/>
  <c r="AX648" i="1" s="1"/>
  <c r="AT648" i="1"/>
  <c r="AU648" i="1" s="1"/>
  <c r="AS648" i="1"/>
  <c r="BC647" i="1"/>
  <c r="BB647" i="1"/>
  <c r="BA647" i="1"/>
  <c r="AZ647" i="1"/>
  <c r="AY647" i="1"/>
  <c r="AV647" i="1"/>
  <c r="AX647" i="1" s="1"/>
  <c r="AT647" i="1"/>
  <c r="AU647" i="1" s="1"/>
  <c r="AS647" i="1"/>
  <c r="BC646" i="1"/>
  <c r="BB646" i="1"/>
  <c r="BA646" i="1"/>
  <c r="AZ646" i="1"/>
  <c r="AY646" i="1"/>
  <c r="AV646" i="1"/>
  <c r="AX646" i="1" s="1"/>
  <c r="AT646" i="1"/>
  <c r="AU646" i="1" s="1"/>
  <c r="AS646" i="1"/>
  <c r="BC645" i="1"/>
  <c r="BB645" i="1"/>
  <c r="BA645" i="1"/>
  <c r="AZ645" i="1"/>
  <c r="AY645" i="1"/>
  <c r="AV645" i="1"/>
  <c r="AX645" i="1" s="1"/>
  <c r="AT645" i="1"/>
  <c r="AU645" i="1" s="1"/>
  <c r="AS645" i="1"/>
  <c r="BC644" i="1"/>
  <c r="BB644" i="1"/>
  <c r="BA644" i="1"/>
  <c r="AZ644" i="1"/>
  <c r="AY644" i="1"/>
  <c r="AV644" i="1"/>
  <c r="AX644" i="1" s="1"/>
  <c r="AT644" i="1"/>
  <c r="AU644" i="1" s="1"/>
  <c r="AS644" i="1"/>
  <c r="BC643" i="1"/>
  <c r="BB643" i="1"/>
  <c r="BA643" i="1"/>
  <c r="AZ643" i="1"/>
  <c r="AY643" i="1"/>
  <c r="AW643" i="1"/>
  <c r="AV643" i="1"/>
  <c r="AX643" i="1" s="1"/>
  <c r="AT643" i="1"/>
  <c r="AU643" i="1" s="1"/>
  <c r="AS643" i="1"/>
  <c r="BC642" i="1"/>
  <c r="BB642" i="1"/>
  <c r="BA642" i="1"/>
  <c r="AZ642" i="1"/>
  <c r="AY642" i="1"/>
  <c r="AV642" i="1"/>
  <c r="AT642" i="1"/>
  <c r="AU642" i="1" s="1"/>
  <c r="AS642" i="1"/>
  <c r="BC641" i="1"/>
  <c r="BB641" i="1"/>
  <c r="BA641" i="1"/>
  <c r="AZ641" i="1"/>
  <c r="AY641" i="1"/>
  <c r="AV641" i="1"/>
  <c r="AX641" i="1" s="1"/>
  <c r="AT641" i="1"/>
  <c r="AU641" i="1" s="1"/>
  <c r="AS641" i="1"/>
  <c r="BC640" i="1"/>
  <c r="BB640" i="1"/>
  <c r="BA640" i="1"/>
  <c r="AZ640" i="1"/>
  <c r="AY640" i="1"/>
  <c r="AV640" i="1"/>
  <c r="AX640" i="1" s="1"/>
  <c r="AT640" i="1"/>
  <c r="AU640" i="1" s="1"/>
  <c r="AS640" i="1"/>
  <c r="BC639" i="1"/>
  <c r="BB639" i="1"/>
  <c r="BA639" i="1"/>
  <c r="AZ639" i="1"/>
  <c r="AY639" i="1"/>
  <c r="AV639" i="1"/>
  <c r="AT639" i="1"/>
  <c r="AU639" i="1" s="1"/>
  <c r="AS639" i="1"/>
  <c r="BC638" i="1"/>
  <c r="BB638" i="1"/>
  <c r="BA638" i="1"/>
  <c r="AZ638" i="1"/>
  <c r="AY638" i="1"/>
  <c r="AV638" i="1"/>
  <c r="AX638" i="1" s="1"/>
  <c r="AT638" i="1"/>
  <c r="AU638" i="1" s="1"/>
  <c r="AS638" i="1"/>
  <c r="BC637" i="1"/>
  <c r="BB637" i="1"/>
  <c r="BA637" i="1"/>
  <c r="AZ637" i="1"/>
  <c r="AY637" i="1"/>
  <c r="AV637" i="1"/>
  <c r="AX637" i="1" s="1"/>
  <c r="AU637" i="1"/>
  <c r="AT637" i="1"/>
  <c r="AS637" i="1"/>
  <c r="BC636" i="1"/>
  <c r="BB636" i="1"/>
  <c r="BA636" i="1"/>
  <c r="AZ636" i="1"/>
  <c r="AY636" i="1"/>
  <c r="AX636" i="1"/>
  <c r="AV636" i="1"/>
  <c r="AW636" i="1" s="1"/>
  <c r="AT636" i="1"/>
  <c r="AU636" i="1" s="1"/>
  <c r="AS636" i="1"/>
  <c r="BC635" i="1"/>
  <c r="BB635" i="1"/>
  <c r="BA635" i="1"/>
  <c r="AZ635" i="1"/>
  <c r="AY635" i="1"/>
  <c r="AV635" i="1"/>
  <c r="AT635" i="1"/>
  <c r="AU635" i="1" s="1"/>
  <c r="AS635" i="1"/>
  <c r="BC634" i="1"/>
  <c r="BB634" i="1"/>
  <c r="BA634" i="1"/>
  <c r="AZ634" i="1"/>
  <c r="AY634" i="1"/>
  <c r="AV634" i="1"/>
  <c r="AT634" i="1"/>
  <c r="AU634" i="1" s="1"/>
  <c r="AS634" i="1"/>
  <c r="BC633" i="1"/>
  <c r="BB633" i="1"/>
  <c r="BA633" i="1"/>
  <c r="AZ633" i="1"/>
  <c r="AY633" i="1"/>
  <c r="AV633" i="1"/>
  <c r="AX633" i="1" s="1"/>
  <c r="AT633" i="1"/>
  <c r="AU633" i="1" s="1"/>
  <c r="AS633" i="1"/>
  <c r="BC632" i="1"/>
  <c r="BB632" i="1"/>
  <c r="BA632" i="1"/>
  <c r="AZ632" i="1"/>
  <c r="AY632" i="1"/>
  <c r="AV632" i="1"/>
  <c r="AX632" i="1" s="1"/>
  <c r="AT632" i="1"/>
  <c r="AU632" i="1" s="1"/>
  <c r="AS632" i="1"/>
  <c r="BC631" i="1"/>
  <c r="BB631" i="1"/>
  <c r="BA631" i="1"/>
  <c r="AZ631" i="1"/>
  <c r="AY631" i="1"/>
  <c r="AV631" i="1"/>
  <c r="AX631" i="1" s="1"/>
  <c r="AT631" i="1"/>
  <c r="AU631" i="1" s="1"/>
  <c r="AS631" i="1"/>
  <c r="BC630" i="1"/>
  <c r="BB630" i="1"/>
  <c r="BA630" i="1"/>
  <c r="AZ630" i="1"/>
  <c r="AY630" i="1"/>
  <c r="AV630" i="1"/>
  <c r="AX630" i="1" s="1"/>
  <c r="AT630" i="1"/>
  <c r="AU630" i="1" s="1"/>
  <c r="AS630" i="1"/>
  <c r="BC629" i="1"/>
  <c r="BB629" i="1"/>
  <c r="BA629" i="1"/>
  <c r="AZ629" i="1"/>
  <c r="AY629" i="1"/>
  <c r="AV629" i="1"/>
  <c r="AX629" i="1" s="1"/>
  <c r="AT629" i="1"/>
  <c r="AU629" i="1" s="1"/>
  <c r="AS629" i="1"/>
  <c r="BC628" i="1"/>
  <c r="BB628" i="1"/>
  <c r="BA628" i="1"/>
  <c r="AZ628" i="1"/>
  <c r="AY628" i="1"/>
  <c r="AV628" i="1"/>
  <c r="AX628" i="1" s="1"/>
  <c r="AT628" i="1"/>
  <c r="AU628" i="1" s="1"/>
  <c r="AS628" i="1"/>
  <c r="BC627" i="1"/>
  <c r="BB627" i="1"/>
  <c r="BA627" i="1"/>
  <c r="AZ627" i="1"/>
  <c r="AY627" i="1"/>
  <c r="AV627" i="1"/>
  <c r="AX627" i="1" s="1"/>
  <c r="AT627" i="1"/>
  <c r="AU627" i="1" s="1"/>
  <c r="AS627" i="1"/>
  <c r="BC626" i="1"/>
  <c r="BB626" i="1"/>
  <c r="BA626" i="1"/>
  <c r="AZ626" i="1"/>
  <c r="AY626" i="1"/>
  <c r="AV626" i="1"/>
  <c r="AT626" i="1"/>
  <c r="AU626" i="1" s="1"/>
  <c r="AS626" i="1"/>
  <c r="BC625" i="1"/>
  <c r="BB625" i="1"/>
  <c r="BA625" i="1"/>
  <c r="AZ625" i="1"/>
  <c r="AY625" i="1"/>
  <c r="AV625" i="1"/>
  <c r="AX625" i="1" s="1"/>
  <c r="AT625" i="1"/>
  <c r="AU625" i="1" s="1"/>
  <c r="AS625" i="1"/>
  <c r="BC624" i="1"/>
  <c r="BB624" i="1"/>
  <c r="BA624" i="1"/>
  <c r="AZ624" i="1"/>
  <c r="AY624" i="1"/>
  <c r="AV624" i="1"/>
  <c r="AX624" i="1" s="1"/>
  <c r="AT624" i="1"/>
  <c r="AU624" i="1" s="1"/>
  <c r="AS624" i="1"/>
  <c r="BC623" i="1"/>
  <c r="BB623" i="1"/>
  <c r="BA623" i="1"/>
  <c r="AZ623" i="1"/>
  <c r="AY623" i="1"/>
  <c r="AV623" i="1"/>
  <c r="AT623" i="1"/>
  <c r="AU623" i="1" s="1"/>
  <c r="AS623" i="1"/>
  <c r="BC622" i="1"/>
  <c r="BB622" i="1"/>
  <c r="BA622" i="1"/>
  <c r="AZ622" i="1"/>
  <c r="AY622" i="1"/>
  <c r="AV622" i="1"/>
  <c r="AX622" i="1" s="1"/>
  <c r="AT622" i="1"/>
  <c r="AU622" i="1" s="1"/>
  <c r="AS622" i="1"/>
  <c r="BC621" i="1"/>
  <c r="BB621" i="1"/>
  <c r="BA621" i="1"/>
  <c r="AZ621" i="1"/>
  <c r="AY621" i="1"/>
  <c r="AV621" i="1"/>
  <c r="AX621" i="1" s="1"/>
  <c r="AT621" i="1"/>
  <c r="AU621" i="1" s="1"/>
  <c r="AS621" i="1"/>
  <c r="BC620" i="1"/>
  <c r="BB620" i="1"/>
  <c r="BA620" i="1"/>
  <c r="AZ620" i="1"/>
  <c r="AY620" i="1"/>
  <c r="AV620" i="1"/>
  <c r="AW620" i="1" s="1"/>
  <c r="AT620" i="1"/>
  <c r="AU620" i="1" s="1"/>
  <c r="AS620" i="1"/>
  <c r="BC619" i="1"/>
  <c r="BB619" i="1"/>
  <c r="BA619" i="1"/>
  <c r="AZ619" i="1"/>
  <c r="AY619" i="1"/>
  <c r="AV619" i="1"/>
  <c r="AT619" i="1"/>
  <c r="AU619" i="1" s="1"/>
  <c r="AS619" i="1"/>
  <c r="BC618" i="1"/>
  <c r="BB618" i="1"/>
  <c r="BA618" i="1"/>
  <c r="AZ618" i="1"/>
  <c r="AY618" i="1"/>
  <c r="AV618" i="1"/>
  <c r="AT618" i="1"/>
  <c r="AU618" i="1" s="1"/>
  <c r="AS618" i="1"/>
  <c r="BC617" i="1"/>
  <c r="BB617" i="1"/>
  <c r="BA617" i="1"/>
  <c r="AZ617" i="1"/>
  <c r="AY617" i="1"/>
  <c r="AV617" i="1"/>
  <c r="AX617" i="1" s="1"/>
  <c r="AT617" i="1"/>
  <c r="AU617" i="1" s="1"/>
  <c r="AS617" i="1"/>
  <c r="BC616" i="1"/>
  <c r="BB616" i="1"/>
  <c r="BA616" i="1"/>
  <c r="AZ616" i="1"/>
  <c r="AY616" i="1"/>
  <c r="AV616" i="1"/>
  <c r="AX616" i="1" s="1"/>
  <c r="AT616" i="1"/>
  <c r="AU616" i="1" s="1"/>
  <c r="AS616" i="1"/>
  <c r="BC615" i="1"/>
  <c r="BB615" i="1"/>
  <c r="BA615" i="1"/>
  <c r="AZ615" i="1"/>
  <c r="AY615" i="1"/>
  <c r="AV615" i="1"/>
  <c r="AX615" i="1" s="1"/>
  <c r="AT615" i="1"/>
  <c r="AU615" i="1" s="1"/>
  <c r="AS615" i="1"/>
  <c r="BC614" i="1"/>
  <c r="BB614" i="1"/>
  <c r="BA614" i="1"/>
  <c r="AZ614" i="1"/>
  <c r="AY614" i="1"/>
  <c r="AV614" i="1"/>
  <c r="AX614" i="1" s="1"/>
  <c r="AT614" i="1"/>
  <c r="AU614" i="1" s="1"/>
  <c r="AS614" i="1"/>
  <c r="BC613" i="1"/>
  <c r="BB613" i="1"/>
  <c r="BA613" i="1"/>
  <c r="AZ613" i="1"/>
  <c r="AY613" i="1"/>
  <c r="AV613" i="1"/>
  <c r="AX613" i="1" s="1"/>
  <c r="AT613" i="1"/>
  <c r="AU613" i="1" s="1"/>
  <c r="AS613" i="1"/>
  <c r="BC612" i="1"/>
  <c r="BB612" i="1"/>
  <c r="BA612" i="1"/>
  <c r="AZ612" i="1"/>
  <c r="AY612" i="1"/>
  <c r="AV612" i="1"/>
  <c r="AX612" i="1" s="1"/>
  <c r="AT612" i="1"/>
  <c r="AU612" i="1" s="1"/>
  <c r="AS612" i="1"/>
  <c r="BC611" i="1"/>
  <c r="BB611" i="1"/>
  <c r="BA611" i="1"/>
  <c r="AZ611" i="1"/>
  <c r="AY611" i="1"/>
  <c r="AV611" i="1"/>
  <c r="AW611" i="1" s="1"/>
  <c r="AT611" i="1"/>
  <c r="AU611" i="1" s="1"/>
  <c r="AS611" i="1"/>
  <c r="BC610" i="1"/>
  <c r="BB610" i="1"/>
  <c r="BA610" i="1"/>
  <c r="AZ610" i="1"/>
  <c r="AY610" i="1"/>
  <c r="AV610" i="1"/>
  <c r="AT610" i="1"/>
  <c r="AU610" i="1" s="1"/>
  <c r="AS610" i="1"/>
  <c r="BC609" i="1"/>
  <c r="BB609" i="1"/>
  <c r="BA609" i="1"/>
  <c r="AZ609" i="1"/>
  <c r="AY609" i="1"/>
  <c r="AV609" i="1"/>
  <c r="AX609" i="1" s="1"/>
  <c r="AT609" i="1"/>
  <c r="AU609" i="1" s="1"/>
  <c r="AS609" i="1"/>
  <c r="BC608" i="1"/>
  <c r="BB608" i="1"/>
  <c r="BA608" i="1"/>
  <c r="AZ608" i="1"/>
  <c r="AY608" i="1"/>
  <c r="AV608" i="1"/>
  <c r="AX608" i="1" s="1"/>
  <c r="AT608" i="1"/>
  <c r="AU608" i="1" s="1"/>
  <c r="AS608" i="1"/>
  <c r="BC607" i="1"/>
  <c r="BB607" i="1"/>
  <c r="BA607" i="1"/>
  <c r="AZ607" i="1"/>
  <c r="AY607" i="1"/>
  <c r="AV607" i="1"/>
  <c r="AT607" i="1"/>
  <c r="AU607" i="1" s="1"/>
  <c r="AS607" i="1"/>
  <c r="BC606" i="1"/>
  <c r="BB606" i="1"/>
  <c r="BA606" i="1"/>
  <c r="AZ606" i="1"/>
  <c r="AY606" i="1"/>
  <c r="AV606" i="1"/>
  <c r="AX606" i="1" s="1"/>
  <c r="AT606" i="1"/>
  <c r="AU606" i="1" s="1"/>
  <c r="AS606" i="1"/>
  <c r="BC605" i="1"/>
  <c r="BB605" i="1"/>
  <c r="BA605" i="1"/>
  <c r="AZ605" i="1"/>
  <c r="AY605" i="1"/>
  <c r="AV605" i="1"/>
  <c r="AX605" i="1" s="1"/>
  <c r="AT605" i="1"/>
  <c r="AU605" i="1" s="1"/>
  <c r="AS605" i="1"/>
  <c r="BC604" i="1"/>
  <c r="BB604" i="1"/>
  <c r="BA604" i="1"/>
  <c r="AZ604" i="1"/>
  <c r="AY604" i="1"/>
  <c r="AV604" i="1"/>
  <c r="AW604" i="1" s="1"/>
  <c r="AT604" i="1"/>
  <c r="AU604" i="1" s="1"/>
  <c r="AS604" i="1"/>
  <c r="BC603" i="1"/>
  <c r="BB603" i="1"/>
  <c r="BA603" i="1"/>
  <c r="AZ603" i="1"/>
  <c r="AY603" i="1"/>
  <c r="AV603" i="1"/>
  <c r="AT603" i="1"/>
  <c r="AU603" i="1" s="1"/>
  <c r="AS603" i="1"/>
  <c r="BC602" i="1"/>
  <c r="BB602" i="1"/>
  <c r="BA602" i="1"/>
  <c r="AZ602" i="1"/>
  <c r="AY602" i="1"/>
  <c r="AV602" i="1"/>
  <c r="AT602" i="1"/>
  <c r="AU602" i="1" s="1"/>
  <c r="AS602" i="1"/>
  <c r="BC601" i="1"/>
  <c r="BB601" i="1"/>
  <c r="BA601" i="1"/>
  <c r="AZ601" i="1"/>
  <c r="AY601" i="1"/>
  <c r="AV601" i="1"/>
  <c r="AT601" i="1"/>
  <c r="AU601" i="1" s="1"/>
  <c r="AS601" i="1"/>
  <c r="BC600" i="1"/>
  <c r="BB600" i="1"/>
  <c r="BA600" i="1"/>
  <c r="AZ600" i="1"/>
  <c r="AY600" i="1"/>
  <c r="AV600" i="1"/>
  <c r="AT600" i="1"/>
  <c r="AU600" i="1" s="1"/>
  <c r="AS600" i="1"/>
  <c r="BC599" i="1"/>
  <c r="BB599" i="1"/>
  <c r="BA599" i="1"/>
  <c r="AZ599" i="1"/>
  <c r="AY599" i="1"/>
  <c r="AV599" i="1"/>
  <c r="AX599" i="1" s="1"/>
  <c r="AT599" i="1"/>
  <c r="AU599" i="1" s="1"/>
  <c r="AS599" i="1"/>
  <c r="BC598" i="1"/>
  <c r="BB598" i="1"/>
  <c r="BA598" i="1"/>
  <c r="AZ598" i="1"/>
  <c r="AY598" i="1"/>
  <c r="AV598" i="1"/>
  <c r="AX598" i="1" s="1"/>
  <c r="AT598" i="1"/>
  <c r="AU598" i="1" s="1"/>
  <c r="AS598" i="1"/>
  <c r="BC597" i="1"/>
  <c r="BB597" i="1"/>
  <c r="BA597" i="1"/>
  <c r="AZ597" i="1"/>
  <c r="AY597" i="1"/>
  <c r="AV597" i="1"/>
  <c r="AX597" i="1" s="1"/>
  <c r="AT597" i="1"/>
  <c r="AU597" i="1" s="1"/>
  <c r="AS597" i="1"/>
  <c r="BC596" i="1"/>
  <c r="BB596" i="1"/>
  <c r="BA596" i="1"/>
  <c r="AZ596" i="1"/>
  <c r="AY596" i="1"/>
  <c r="AV596" i="1"/>
  <c r="AX596" i="1" s="1"/>
  <c r="AT596" i="1"/>
  <c r="AU596" i="1" s="1"/>
  <c r="AS596" i="1"/>
  <c r="BC595" i="1"/>
  <c r="BB595" i="1"/>
  <c r="BA595" i="1"/>
  <c r="AZ595" i="1"/>
  <c r="AY595" i="1"/>
  <c r="AV595" i="1"/>
  <c r="AW595" i="1" s="1"/>
  <c r="AT595" i="1"/>
  <c r="AU595" i="1" s="1"/>
  <c r="AS595" i="1"/>
  <c r="BC594" i="1"/>
  <c r="BB594" i="1"/>
  <c r="BA594" i="1"/>
  <c r="AZ594" i="1"/>
  <c r="AY594" i="1"/>
  <c r="AV594" i="1"/>
  <c r="AW594" i="1" s="1"/>
  <c r="AT594" i="1"/>
  <c r="AU594" i="1" s="1"/>
  <c r="AS594" i="1"/>
  <c r="BC593" i="1"/>
  <c r="BB593" i="1"/>
  <c r="BA593" i="1"/>
  <c r="AZ593" i="1"/>
  <c r="AY593" i="1"/>
  <c r="AV593" i="1"/>
  <c r="AT593" i="1"/>
  <c r="AU593" i="1" s="1"/>
  <c r="AS593" i="1"/>
  <c r="BC592" i="1"/>
  <c r="BB592" i="1"/>
  <c r="BA592" i="1"/>
  <c r="AZ592" i="1"/>
  <c r="AY592" i="1"/>
  <c r="AV592" i="1"/>
  <c r="AW592" i="1" s="1"/>
  <c r="AT592" i="1"/>
  <c r="AU592" i="1" s="1"/>
  <c r="AS592" i="1"/>
  <c r="BC591" i="1"/>
  <c r="BB591" i="1"/>
  <c r="BA591" i="1"/>
  <c r="AZ591" i="1"/>
  <c r="AY591" i="1"/>
  <c r="AV591" i="1"/>
  <c r="AX591" i="1" s="1"/>
  <c r="AT591" i="1"/>
  <c r="AU591" i="1" s="1"/>
  <c r="AS591" i="1"/>
  <c r="BC590" i="1"/>
  <c r="BB590" i="1"/>
  <c r="BA590" i="1"/>
  <c r="AZ590" i="1"/>
  <c r="AY590" i="1"/>
  <c r="AV590" i="1"/>
  <c r="AX590" i="1" s="1"/>
  <c r="AT590" i="1"/>
  <c r="AU590" i="1" s="1"/>
  <c r="AS590" i="1"/>
  <c r="BC589" i="1"/>
  <c r="BB589" i="1"/>
  <c r="BA589" i="1"/>
  <c r="AZ589" i="1"/>
  <c r="AY589" i="1"/>
  <c r="AV589" i="1"/>
  <c r="AX589" i="1" s="1"/>
  <c r="AT589" i="1"/>
  <c r="AU589" i="1" s="1"/>
  <c r="AS589" i="1"/>
  <c r="BC588" i="1"/>
  <c r="BB588" i="1"/>
  <c r="BA588" i="1"/>
  <c r="AZ588" i="1"/>
  <c r="AY588" i="1"/>
  <c r="AV588" i="1"/>
  <c r="AW588" i="1" s="1"/>
  <c r="AT588" i="1"/>
  <c r="AU588" i="1" s="1"/>
  <c r="AS588" i="1"/>
  <c r="BC587" i="1"/>
  <c r="BB587" i="1"/>
  <c r="BA587" i="1"/>
  <c r="AZ587" i="1"/>
  <c r="AY587" i="1"/>
  <c r="AV587" i="1"/>
  <c r="AT587" i="1"/>
  <c r="AU587" i="1" s="1"/>
  <c r="AS587" i="1"/>
  <c r="BC586" i="1"/>
  <c r="BB586" i="1"/>
  <c r="BA586" i="1"/>
  <c r="AZ586" i="1"/>
  <c r="AY586" i="1"/>
  <c r="AV586" i="1"/>
  <c r="AW586" i="1" s="1"/>
  <c r="AT586" i="1"/>
  <c r="AU586" i="1" s="1"/>
  <c r="AS586" i="1"/>
  <c r="BC585" i="1"/>
  <c r="BB585" i="1"/>
  <c r="BA585" i="1"/>
  <c r="AZ585" i="1"/>
  <c r="AY585" i="1"/>
  <c r="AV585" i="1"/>
  <c r="AW585" i="1" s="1"/>
  <c r="AT585" i="1"/>
  <c r="AU585" i="1" s="1"/>
  <c r="AS585" i="1"/>
  <c r="BC584" i="1"/>
  <c r="BB584" i="1"/>
  <c r="BA584" i="1"/>
  <c r="AZ584" i="1"/>
  <c r="AY584" i="1"/>
  <c r="AV584" i="1"/>
  <c r="AT584" i="1"/>
  <c r="AU584" i="1" s="1"/>
  <c r="AS584" i="1"/>
  <c r="BC583" i="1"/>
  <c r="BB583" i="1"/>
  <c r="BA583" i="1"/>
  <c r="AZ583" i="1"/>
  <c r="AY583" i="1"/>
  <c r="AV583" i="1"/>
  <c r="AX583" i="1" s="1"/>
  <c r="AT583" i="1"/>
  <c r="AU583" i="1" s="1"/>
  <c r="AS583" i="1"/>
  <c r="BC582" i="1"/>
  <c r="BB582" i="1"/>
  <c r="BA582" i="1"/>
  <c r="AZ582" i="1"/>
  <c r="AY582" i="1"/>
  <c r="AV582" i="1"/>
  <c r="AX582" i="1" s="1"/>
  <c r="AT582" i="1"/>
  <c r="AU582" i="1" s="1"/>
  <c r="AS582" i="1"/>
  <c r="BC581" i="1"/>
  <c r="BB581" i="1"/>
  <c r="BA581" i="1"/>
  <c r="AZ581" i="1"/>
  <c r="AY581" i="1"/>
  <c r="AV581" i="1"/>
  <c r="AX581" i="1" s="1"/>
  <c r="AT581" i="1"/>
  <c r="AU581" i="1" s="1"/>
  <c r="AS581" i="1"/>
  <c r="BC580" i="1"/>
  <c r="BB580" i="1"/>
  <c r="BA580" i="1"/>
  <c r="AZ580" i="1"/>
  <c r="AY580" i="1"/>
  <c r="AV580" i="1"/>
  <c r="AX580" i="1" s="1"/>
  <c r="AT580" i="1"/>
  <c r="AU580" i="1" s="1"/>
  <c r="AS580" i="1"/>
  <c r="BC579" i="1"/>
  <c r="BB579" i="1"/>
  <c r="BA579" i="1"/>
  <c r="AZ579" i="1"/>
  <c r="AY579" i="1"/>
  <c r="AV579" i="1"/>
  <c r="AX579" i="1" s="1"/>
  <c r="AT579" i="1"/>
  <c r="AU579" i="1" s="1"/>
  <c r="AS579" i="1"/>
  <c r="BC578" i="1"/>
  <c r="BB578" i="1"/>
  <c r="BA578" i="1"/>
  <c r="AZ578" i="1"/>
  <c r="AY578" i="1"/>
  <c r="AV578" i="1"/>
  <c r="AW578" i="1" s="1"/>
  <c r="AT578" i="1"/>
  <c r="AU578" i="1" s="1"/>
  <c r="AS578" i="1"/>
  <c r="BC577" i="1"/>
  <c r="BB577" i="1"/>
  <c r="BA577" i="1"/>
  <c r="AZ577" i="1"/>
  <c r="AY577" i="1"/>
  <c r="AV577" i="1"/>
  <c r="AW577" i="1" s="1"/>
  <c r="AT577" i="1"/>
  <c r="AU577" i="1" s="1"/>
  <c r="AS577" i="1"/>
  <c r="BC576" i="1"/>
  <c r="BB576" i="1"/>
  <c r="BA576" i="1"/>
  <c r="AZ576" i="1"/>
  <c r="AY576" i="1"/>
  <c r="AV576" i="1"/>
  <c r="AW576" i="1" s="1"/>
  <c r="AT576" i="1"/>
  <c r="AU576" i="1" s="1"/>
  <c r="AS576" i="1"/>
  <c r="BC575" i="1"/>
  <c r="BB575" i="1"/>
  <c r="BA575" i="1"/>
  <c r="AZ575" i="1"/>
  <c r="AY575" i="1"/>
  <c r="AV575" i="1"/>
  <c r="AT575" i="1"/>
  <c r="AU575" i="1" s="1"/>
  <c r="AS575" i="1"/>
  <c r="BC574" i="1"/>
  <c r="BB574" i="1"/>
  <c r="BA574" i="1"/>
  <c r="AZ574" i="1"/>
  <c r="AY574" i="1"/>
  <c r="AV574" i="1"/>
  <c r="AW574" i="1" s="1"/>
  <c r="AT574" i="1"/>
  <c r="AU574" i="1" s="1"/>
  <c r="AS574" i="1"/>
  <c r="BC573" i="1"/>
  <c r="BB573" i="1"/>
  <c r="BA573" i="1"/>
  <c r="AZ573" i="1"/>
  <c r="AY573" i="1"/>
  <c r="AV573" i="1"/>
  <c r="AX573" i="1" s="1"/>
  <c r="AT573" i="1"/>
  <c r="AU573" i="1" s="1"/>
  <c r="AS573" i="1"/>
  <c r="BC572" i="1"/>
  <c r="BB572" i="1"/>
  <c r="BA572" i="1"/>
  <c r="AZ572" i="1"/>
  <c r="AY572" i="1"/>
  <c r="AV572" i="1"/>
  <c r="AW572" i="1" s="1"/>
  <c r="AT572" i="1"/>
  <c r="AU572" i="1" s="1"/>
  <c r="AS572" i="1"/>
  <c r="BC571" i="1"/>
  <c r="BB571" i="1"/>
  <c r="BA571" i="1"/>
  <c r="AZ571" i="1"/>
  <c r="AY571" i="1"/>
  <c r="AV571" i="1"/>
  <c r="AW571" i="1" s="1"/>
  <c r="AU571" i="1"/>
  <c r="AT571" i="1"/>
  <c r="AS571" i="1"/>
  <c r="BC570" i="1"/>
  <c r="BB570" i="1"/>
  <c r="BA570" i="1"/>
  <c r="AZ570" i="1"/>
  <c r="AY570" i="1"/>
  <c r="AV570" i="1"/>
  <c r="AX570" i="1" s="1"/>
  <c r="AT570" i="1"/>
  <c r="AU570" i="1" s="1"/>
  <c r="AS570" i="1"/>
  <c r="BC569" i="1"/>
  <c r="BB569" i="1"/>
  <c r="BA569" i="1"/>
  <c r="AZ569" i="1"/>
  <c r="AY569" i="1"/>
  <c r="AV569" i="1"/>
  <c r="AW569" i="1" s="1"/>
  <c r="AT569" i="1"/>
  <c r="AU569" i="1" s="1"/>
  <c r="AS569" i="1"/>
  <c r="BC568" i="1"/>
  <c r="BB568" i="1"/>
  <c r="BA568" i="1"/>
  <c r="AZ568" i="1"/>
  <c r="AY568" i="1"/>
  <c r="AV568" i="1"/>
  <c r="AW568" i="1" s="1"/>
  <c r="AT568" i="1"/>
  <c r="AU568" i="1" s="1"/>
  <c r="AS568" i="1"/>
  <c r="BC567" i="1"/>
  <c r="BB567" i="1"/>
  <c r="BA567" i="1"/>
  <c r="AZ567" i="1"/>
  <c r="AY567" i="1"/>
  <c r="AV567" i="1"/>
  <c r="AX567" i="1" s="1"/>
  <c r="AT567" i="1"/>
  <c r="AU567" i="1" s="1"/>
  <c r="AS567" i="1"/>
  <c r="BC566" i="1"/>
  <c r="BB566" i="1"/>
  <c r="BA566" i="1"/>
  <c r="AZ566" i="1"/>
  <c r="AY566" i="1"/>
  <c r="AV566" i="1"/>
  <c r="AW566" i="1" s="1"/>
  <c r="AT566" i="1"/>
  <c r="AU566" i="1" s="1"/>
  <c r="AS566" i="1"/>
  <c r="BC565" i="1"/>
  <c r="BB565" i="1"/>
  <c r="BA565" i="1"/>
  <c r="AZ565" i="1"/>
  <c r="AY565" i="1"/>
  <c r="AV565" i="1"/>
  <c r="AX565" i="1" s="1"/>
  <c r="AT565" i="1"/>
  <c r="AU565" i="1" s="1"/>
  <c r="AS565" i="1"/>
  <c r="BC564" i="1"/>
  <c r="BB564" i="1"/>
  <c r="BA564" i="1"/>
  <c r="AZ564" i="1"/>
  <c r="AY564" i="1"/>
  <c r="AV564" i="1"/>
  <c r="AT564" i="1"/>
  <c r="AU564" i="1" s="1"/>
  <c r="AS564" i="1"/>
  <c r="BC563" i="1"/>
  <c r="BB563" i="1"/>
  <c r="BA563" i="1"/>
  <c r="AZ563" i="1"/>
  <c r="AY563" i="1"/>
  <c r="AV563" i="1"/>
  <c r="AW563" i="1" s="1"/>
  <c r="AT563" i="1"/>
  <c r="AU563" i="1" s="1"/>
  <c r="AS563" i="1"/>
  <c r="BC562" i="1"/>
  <c r="BB562" i="1"/>
  <c r="BA562" i="1"/>
  <c r="AZ562" i="1"/>
  <c r="AY562" i="1"/>
  <c r="AV562" i="1"/>
  <c r="AW562" i="1" s="1"/>
  <c r="AT562" i="1"/>
  <c r="AU562" i="1" s="1"/>
  <c r="AS562" i="1"/>
  <c r="BC561" i="1"/>
  <c r="BB561" i="1"/>
  <c r="BA561" i="1"/>
  <c r="AZ561" i="1"/>
  <c r="AY561" i="1"/>
  <c r="AV561" i="1"/>
  <c r="AX561" i="1" s="1"/>
  <c r="AT561" i="1"/>
  <c r="AU561" i="1" s="1"/>
  <c r="AS561" i="1"/>
  <c r="BC560" i="1"/>
  <c r="BB560" i="1"/>
  <c r="BA560" i="1"/>
  <c r="AZ560" i="1"/>
  <c r="AY560" i="1"/>
  <c r="AV560" i="1"/>
  <c r="AW560" i="1" s="1"/>
  <c r="AT560" i="1"/>
  <c r="AU560" i="1" s="1"/>
  <c r="AS560" i="1"/>
  <c r="BC559" i="1"/>
  <c r="BB559" i="1"/>
  <c r="BA559" i="1"/>
  <c r="AZ559" i="1"/>
  <c r="AY559" i="1"/>
  <c r="AV559" i="1"/>
  <c r="AX559" i="1" s="1"/>
  <c r="AT559" i="1"/>
  <c r="AU559" i="1" s="1"/>
  <c r="AS559" i="1"/>
  <c r="BC558" i="1"/>
  <c r="BB558" i="1"/>
  <c r="BA558" i="1"/>
  <c r="AZ558" i="1"/>
  <c r="AY558" i="1"/>
  <c r="AV558" i="1"/>
  <c r="AX558" i="1" s="1"/>
  <c r="AT558" i="1"/>
  <c r="AU558" i="1" s="1"/>
  <c r="AS558" i="1"/>
  <c r="BC557" i="1"/>
  <c r="BB557" i="1"/>
  <c r="BA557" i="1"/>
  <c r="AZ557" i="1"/>
  <c r="AY557" i="1"/>
  <c r="AV557" i="1"/>
  <c r="AW557" i="1" s="1"/>
  <c r="AT557" i="1"/>
  <c r="AU557" i="1" s="1"/>
  <c r="AS557" i="1"/>
  <c r="BC556" i="1"/>
  <c r="BB556" i="1"/>
  <c r="BA556" i="1"/>
  <c r="AZ556" i="1"/>
  <c r="AY556" i="1"/>
  <c r="AV556" i="1"/>
  <c r="AW556" i="1" s="1"/>
  <c r="AT556" i="1"/>
  <c r="AU556" i="1" s="1"/>
  <c r="AS556" i="1"/>
  <c r="BC555" i="1"/>
  <c r="BB555" i="1"/>
  <c r="BA555" i="1"/>
  <c r="AZ555" i="1"/>
  <c r="AY555" i="1"/>
  <c r="AV555" i="1"/>
  <c r="AT555" i="1"/>
  <c r="AU555" i="1" s="1"/>
  <c r="AS555" i="1"/>
  <c r="BC554" i="1"/>
  <c r="BB554" i="1"/>
  <c r="BA554" i="1"/>
  <c r="AZ554" i="1"/>
  <c r="AY554" i="1"/>
  <c r="AV554" i="1"/>
  <c r="AX554" i="1" s="1"/>
  <c r="AT554" i="1"/>
  <c r="AU554" i="1" s="1"/>
  <c r="AS554" i="1"/>
  <c r="BC553" i="1"/>
  <c r="BB553" i="1"/>
  <c r="BA553" i="1"/>
  <c r="AZ553" i="1"/>
  <c r="AY553" i="1"/>
  <c r="AV553" i="1"/>
  <c r="AX553" i="1" s="1"/>
  <c r="AT553" i="1"/>
  <c r="AU553" i="1" s="1"/>
  <c r="AS553" i="1"/>
  <c r="BC552" i="1"/>
  <c r="BB552" i="1"/>
  <c r="BA552" i="1"/>
  <c r="AZ552" i="1"/>
  <c r="AY552" i="1"/>
  <c r="AV552" i="1"/>
  <c r="AX552" i="1" s="1"/>
  <c r="AT552" i="1"/>
  <c r="AU552" i="1" s="1"/>
  <c r="AS552" i="1"/>
  <c r="BC551" i="1"/>
  <c r="BB551" i="1"/>
  <c r="BA551" i="1"/>
  <c r="AZ551" i="1"/>
  <c r="AY551" i="1"/>
  <c r="AV551" i="1"/>
  <c r="AX551" i="1" s="1"/>
  <c r="AT551" i="1"/>
  <c r="AU551" i="1" s="1"/>
  <c r="AS551" i="1"/>
  <c r="BC550" i="1"/>
  <c r="BB550" i="1"/>
  <c r="BA550" i="1"/>
  <c r="AZ550" i="1"/>
  <c r="AY550" i="1"/>
  <c r="AV550" i="1"/>
  <c r="AX550" i="1" s="1"/>
  <c r="AT550" i="1"/>
  <c r="AU550" i="1" s="1"/>
  <c r="AS550" i="1"/>
  <c r="BC549" i="1"/>
  <c r="BB549" i="1"/>
  <c r="BA549" i="1"/>
  <c r="AZ549" i="1"/>
  <c r="AY549" i="1"/>
  <c r="AV549" i="1"/>
  <c r="AW549" i="1" s="1"/>
  <c r="AT549" i="1"/>
  <c r="AU549" i="1" s="1"/>
  <c r="AS549" i="1"/>
  <c r="BC548" i="1"/>
  <c r="BB548" i="1"/>
  <c r="BA548" i="1"/>
  <c r="AZ548" i="1"/>
  <c r="AY548" i="1"/>
  <c r="AV548" i="1"/>
  <c r="AT548" i="1"/>
  <c r="AU548" i="1" s="1"/>
  <c r="AS548" i="1"/>
  <c r="BC547" i="1"/>
  <c r="BB547" i="1"/>
  <c r="BA547" i="1"/>
  <c r="AZ547" i="1"/>
  <c r="AY547" i="1"/>
  <c r="AV547" i="1"/>
  <c r="AT547" i="1"/>
  <c r="AU547" i="1" s="1"/>
  <c r="AS547" i="1"/>
  <c r="BC546" i="1"/>
  <c r="BB546" i="1"/>
  <c r="BA546" i="1"/>
  <c r="AZ546" i="1"/>
  <c r="AY546" i="1"/>
  <c r="AV546" i="1"/>
  <c r="AX546" i="1" s="1"/>
  <c r="AT546" i="1"/>
  <c r="AU546" i="1" s="1"/>
  <c r="AS546" i="1"/>
  <c r="BC545" i="1"/>
  <c r="BB545" i="1"/>
  <c r="BA545" i="1"/>
  <c r="AZ545" i="1"/>
  <c r="AY545" i="1"/>
  <c r="AV545" i="1"/>
  <c r="AX545" i="1" s="1"/>
  <c r="AT545" i="1"/>
  <c r="AU545" i="1" s="1"/>
  <c r="AS545" i="1"/>
  <c r="BC544" i="1"/>
  <c r="BB544" i="1"/>
  <c r="BA544" i="1"/>
  <c r="AZ544" i="1"/>
  <c r="AY544" i="1"/>
  <c r="AV544" i="1"/>
  <c r="AX544" i="1" s="1"/>
  <c r="AT544" i="1"/>
  <c r="AU544" i="1" s="1"/>
  <c r="AS544" i="1"/>
  <c r="BC543" i="1"/>
  <c r="BB543" i="1"/>
  <c r="BA543" i="1"/>
  <c r="AZ543" i="1"/>
  <c r="AY543" i="1"/>
  <c r="AV543" i="1"/>
  <c r="AW543" i="1" s="1"/>
  <c r="AT543" i="1"/>
  <c r="AU543" i="1" s="1"/>
  <c r="AS543" i="1"/>
  <c r="BC542" i="1"/>
  <c r="BB542" i="1"/>
  <c r="BA542" i="1"/>
  <c r="AZ542" i="1"/>
  <c r="AY542" i="1"/>
  <c r="AV542" i="1"/>
  <c r="AX542" i="1" s="1"/>
  <c r="AT542" i="1"/>
  <c r="AU542" i="1" s="1"/>
  <c r="AS542" i="1"/>
  <c r="BC541" i="1"/>
  <c r="BB541" i="1"/>
  <c r="BA541" i="1"/>
  <c r="AZ541" i="1"/>
  <c r="AY541" i="1"/>
  <c r="AV541" i="1"/>
  <c r="AT541" i="1"/>
  <c r="AU541" i="1" s="1"/>
  <c r="AS541" i="1"/>
  <c r="BC540" i="1"/>
  <c r="BB540" i="1"/>
  <c r="BA540" i="1"/>
  <c r="AZ540" i="1"/>
  <c r="AY540" i="1"/>
  <c r="AV540" i="1"/>
  <c r="AW540" i="1" s="1"/>
  <c r="AT540" i="1"/>
  <c r="AU540" i="1" s="1"/>
  <c r="AS540" i="1"/>
  <c r="BC539" i="1"/>
  <c r="BB539" i="1"/>
  <c r="BA539" i="1"/>
  <c r="AZ539" i="1"/>
  <c r="AY539" i="1"/>
  <c r="AV539" i="1"/>
  <c r="AT539" i="1"/>
  <c r="AU539" i="1" s="1"/>
  <c r="AS539" i="1"/>
  <c r="BC538" i="1"/>
  <c r="BB538" i="1"/>
  <c r="BA538" i="1"/>
  <c r="AZ538" i="1"/>
  <c r="AY538" i="1"/>
  <c r="AV538" i="1"/>
  <c r="AX538" i="1" s="1"/>
  <c r="AT538" i="1"/>
  <c r="AU538" i="1" s="1"/>
  <c r="AS538" i="1"/>
  <c r="BC537" i="1"/>
  <c r="BB537" i="1"/>
  <c r="BA537" i="1"/>
  <c r="AZ537" i="1"/>
  <c r="AY537" i="1"/>
  <c r="AV537" i="1"/>
  <c r="AX537" i="1" s="1"/>
  <c r="AT537" i="1"/>
  <c r="AU537" i="1" s="1"/>
  <c r="AS537" i="1"/>
  <c r="BC536" i="1"/>
  <c r="BB536" i="1"/>
  <c r="BA536" i="1"/>
  <c r="AZ536" i="1"/>
  <c r="AY536" i="1"/>
  <c r="AV536" i="1"/>
  <c r="AW536" i="1" s="1"/>
  <c r="AT536" i="1"/>
  <c r="AU536" i="1" s="1"/>
  <c r="AS536" i="1"/>
  <c r="BC535" i="1"/>
  <c r="BB535" i="1"/>
  <c r="BA535" i="1"/>
  <c r="AZ535" i="1"/>
  <c r="AY535" i="1"/>
  <c r="AV535" i="1"/>
  <c r="AW535" i="1" s="1"/>
  <c r="AT535" i="1"/>
  <c r="AU535" i="1" s="1"/>
  <c r="AS535" i="1"/>
  <c r="BC534" i="1"/>
  <c r="BB534" i="1"/>
  <c r="BA534" i="1"/>
  <c r="AZ534" i="1"/>
  <c r="AY534" i="1"/>
  <c r="AV534" i="1"/>
  <c r="AX534" i="1" s="1"/>
  <c r="AT534" i="1"/>
  <c r="AU534" i="1" s="1"/>
  <c r="AS534" i="1"/>
  <c r="BC533" i="1"/>
  <c r="BB533" i="1"/>
  <c r="BA533" i="1"/>
  <c r="AZ533" i="1"/>
  <c r="AY533" i="1"/>
  <c r="AV533" i="1"/>
  <c r="AW533" i="1" s="1"/>
  <c r="AT533" i="1"/>
  <c r="AU533" i="1" s="1"/>
  <c r="AS533" i="1"/>
  <c r="BC532" i="1"/>
  <c r="BB532" i="1"/>
  <c r="BA532" i="1"/>
  <c r="AZ532" i="1"/>
  <c r="AY532" i="1"/>
  <c r="AV532" i="1"/>
  <c r="AW532" i="1" s="1"/>
  <c r="AT532" i="1"/>
  <c r="AU532" i="1" s="1"/>
  <c r="AS532" i="1"/>
  <c r="BC531" i="1"/>
  <c r="BB531" i="1"/>
  <c r="BA531" i="1"/>
  <c r="AZ531" i="1"/>
  <c r="AY531" i="1"/>
  <c r="AV531" i="1"/>
  <c r="AT531" i="1"/>
  <c r="AU531" i="1" s="1"/>
  <c r="AS531" i="1"/>
  <c r="BC530" i="1"/>
  <c r="BB530" i="1"/>
  <c r="BA530" i="1"/>
  <c r="AZ530" i="1"/>
  <c r="AY530" i="1"/>
  <c r="AV530" i="1"/>
  <c r="AX530" i="1" s="1"/>
  <c r="AT530" i="1"/>
  <c r="AU530" i="1" s="1"/>
  <c r="AS530" i="1"/>
  <c r="BC529" i="1"/>
  <c r="BB529" i="1"/>
  <c r="BA529" i="1"/>
  <c r="AZ529" i="1"/>
  <c r="AY529" i="1"/>
  <c r="AV529" i="1"/>
  <c r="AX529" i="1" s="1"/>
  <c r="AT529" i="1"/>
  <c r="AU529" i="1" s="1"/>
  <c r="AS529" i="1"/>
  <c r="BC528" i="1"/>
  <c r="BB528" i="1"/>
  <c r="BA528" i="1"/>
  <c r="AZ528" i="1"/>
  <c r="AY528" i="1"/>
  <c r="AV528" i="1"/>
  <c r="AW528" i="1" s="1"/>
  <c r="AT528" i="1"/>
  <c r="AU528" i="1" s="1"/>
  <c r="AS528" i="1"/>
  <c r="BC527" i="1"/>
  <c r="BB527" i="1"/>
  <c r="BA527" i="1"/>
  <c r="AZ527" i="1"/>
  <c r="AY527" i="1"/>
  <c r="AV527" i="1"/>
  <c r="AX527" i="1" s="1"/>
  <c r="AT527" i="1"/>
  <c r="AU527" i="1" s="1"/>
  <c r="AS527" i="1"/>
  <c r="BC526" i="1"/>
  <c r="BB526" i="1"/>
  <c r="BA526" i="1"/>
  <c r="AZ526" i="1"/>
  <c r="AY526" i="1"/>
  <c r="AV526" i="1"/>
  <c r="AX526" i="1" s="1"/>
  <c r="AT526" i="1"/>
  <c r="AU526" i="1" s="1"/>
  <c r="AS526" i="1"/>
  <c r="BC525" i="1"/>
  <c r="BB525" i="1"/>
  <c r="BA525" i="1"/>
  <c r="AZ525" i="1"/>
  <c r="AY525" i="1"/>
  <c r="AV525" i="1"/>
  <c r="AW525" i="1" s="1"/>
  <c r="AT525" i="1"/>
  <c r="AU525" i="1" s="1"/>
  <c r="AS525" i="1"/>
  <c r="BC524" i="1"/>
  <c r="BB524" i="1"/>
  <c r="BA524" i="1"/>
  <c r="AZ524" i="1"/>
  <c r="AY524" i="1"/>
  <c r="AV524" i="1"/>
  <c r="AW524" i="1" s="1"/>
  <c r="AT524" i="1"/>
  <c r="AU524" i="1" s="1"/>
  <c r="AS524" i="1"/>
  <c r="BC523" i="1"/>
  <c r="BB523" i="1"/>
  <c r="BA523" i="1"/>
  <c r="AZ523" i="1"/>
  <c r="AY523" i="1"/>
  <c r="AV523" i="1"/>
  <c r="AT523" i="1"/>
  <c r="AU523" i="1" s="1"/>
  <c r="AS523" i="1"/>
  <c r="BC522" i="1"/>
  <c r="BB522" i="1"/>
  <c r="BA522" i="1"/>
  <c r="AZ522" i="1"/>
  <c r="AY522" i="1"/>
  <c r="AV522" i="1"/>
  <c r="AX522" i="1" s="1"/>
  <c r="AT522" i="1"/>
  <c r="AU522" i="1" s="1"/>
  <c r="AS522" i="1"/>
  <c r="BC521" i="1"/>
  <c r="BB521" i="1"/>
  <c r="BA521" i="1"/>
  <c r="AZ521" i="1"/>
  <c r="AY521" i="1"/>
  <c r="AV521" i="1"/>
  <c r="AX521" i="1" s="1"/>
  <c r="AT521" i="1"/>
  <c r="AU521" i="1" s="1"/>
  <c r="AS521" i="1"/>
  <c r="BC520" i="1"/>
  <c r="BB520" i="1"/>
  <c r="BA520" i="1"/>
  <c r="AZ520" i="1"/>
  <c r="AY520" i="1"/>
  <c r="AV520" i="1"/>
  <c r="AX520" i="1" s="1"/>
  <c r="AT520" i="1"/>
  <c r="AU520" i="1" s="1"/>
  <c r="AS520" i="1"/>
  <c r="BC519" i="1"/>
  <c r="BB519" i="1"/>
  <c r="BA519" i="1"/>
  <c r="AZ519" i="1"/>
  <c r="AY519" i="1"/>
  <c r="AV519" i="1"/>
  <c r="AX519" i="1" s="1"/>
  <c r="AT519" i="1"/>
  <c r="AU519" i="1" s="1"/>
  <c r="AS519" i="1"/>
  <c r="BC518" i="1"/>
  <c r="BB518" i="1"/>
  <c r="BA518" i="1"/>
  <c r="AZ518" i="1"/>
  <c r="AY518" i="1"/>
  <c r="AV518" i="1"/>
  <c r="AX518" i="1" s="1"/>
  <c r="AT518" i="1"/>
  <c r="AU518" i="1" s="1"/>
  <c r="AS518" i="1"/>
  <c r="BC517" i="1"/>
  <c r="BB517" i="1"/>
  <c r="BA517" i="1"/>
  <c r="AZ517" i="1"/>
  <c r="AY517" i="1"/>
  <c r="AV517" i="1"/>
  <c r="AW517" i="1" s="1"/>
  <c r="AT517" i="1"/>
  <c r="AU517" i="1" s="1"/>
  <c r="AS517" i="1"/>
  <c r="BC516" i="1"/>
  <c r="BB516" i="1"/>
  <c r="BA516" i="1"/>
  <c r="AZ516" i="1"/>
  <c r="AY516" i="1"/>
  <c r="AV516" i="1"/>
  <c r="AT516" i="1"/>
  <c r="AU516" i="1" s="1"/>
  <c r="AS516" i="1"/>
  <c r="BC515" i="1"/>
  <c r="BB515" i="1"/>
  <c r="BA515" i="1"/>
  <c r="AZ515" i="1"/>
  <c r="AY515" i="1"/>
  <c r="AV515" i="1"/>
  <c r="AT515" i="1"/>
  <c r="AU515" i="1" s="1"/>
  <c r="AS515" i="1"/>
  <c r="BC514" i="1"/>
  <c r="BB514" i="1"/>
  <c r="BA514" i="1"/>
  <c r="AZ514" i="1"/>
  <c r="AY514" i="1"/>
  <c r="AV514" i="1"/>
  <c r="AX514" i="1" s="1"/>
  <c r="AT514" i="1"/>
  <c r="AU514" i="1" s="1"/>
  <c r="AS514" i="1"/>
  <c r="BC513" i="1"/>
  <c r="BB513" i="1"/>
  <c r="BA513" i="1"/>
  <c r="AZ513" i="1"/>
  <c r="AY513" i="1"/>
  <c r="AV513" i="1"/>
  <c r="AX513" i="1" s="1"/>
  <c r="AT513" i="1"/>
  <c r="AU513" i="1" s="1"/>
  <c r="AS513" i="1"/>
  <c r="BC512" i="1"/>
  <c r="BB512" i="1"/>
  <c r="BA512" i="1"/>
  <c r="AZ512" i="1"/>
  <c r="AY512" i="1"/>
  <c r="AV512" i="1"/>
  <c r="AX512" i="1" s="1"/>
  <c r="AT512" i="1"/>
  <c r="AU512" i="1" s="1"/>
  <c r="AS512" i="1"/>
  <c r="BC511" i="1"/>
  <c r="BB511" i="1"/>
  <c r="BA511" i="1"/>
  <c r="AZ511" i="1"/>
  <c r="AY511" i="1"/>
  <c r="AV511" i="1"/>
  <c r="AW511" i="1" s="1"/>
  <c r="AT511" i="1"/>
  <c r="AU511" i="1" s="1"/>
  <c r="AS511" i="1"/>
  <c r="BC510" i="1"/>
  <c r="BB510" i="1"/>
  <c r="BA510" i="1"/>
  <c r="AZ510" i="1"/>
  <c r="AY510" i="1"/>
  <c r="AV510" i="1"/>
  <c r="AX510" i="1" s="1"/>
  <c r="AT510" i="1"/>
  <c r="AU510" i="1" s="1"/>
  <c r="AS510" i="1"/>
  <c r="BC509" i="1"/>
  <c r="BB509" i="1"/>
  <c r="BA509" i="1"/>
  <c r="AZ509" i="1"/>
  <c r="AY509" i="1"/>
  <c r="AV509" i="1"/>
  <c r="AT509" i="1"/>
  <c r="AU509" i="1" s="1"/>
  <c r="AS509" i="1"/>
  <c r="BC508" i="1"/>
  <c r="BB508" i="1"/>
  <c r="BA508" i="1"/>
  <c r="AZ508" i="1"/>
  <c r="AY508" i="1"/>
  <c r="AV508" i="1"/>
  <c r="AW508" i="1" s="1"/>
  <c r="AT508" i="1"/>
  <c r="AU508" i="1" s="1"/>
  <c r="AS508" i="1"/>
  <c r="BC507" i="1"/>
  <c r="BB507" i="1"/>
  <c r="BA507" i="1"/>
  <c r="AZ507" i="1"/>
  <c r="AY507" i="1"/>
  <c r="AV507" i="1"/>
  <c r="AT507" i="1"/>
  <c r="AU507" i="1" s="1"/>
  <c r="AS507" i="1"/>
  <c r="BC506" i="1"/>
  <c r="BB506" i="1"/>
  <c r="BA506" i="1"/>
  <c r="AZ506" i="1"/>
  <c r="AY506" i="1"/>
  <c r="AV506" i="1"/>
  <c r="AX506" i="1" s="1"/>
  <c r="AT506" i="1"/>
  <c r="AU506" i="1" s="1"/>
  <c r="AS506" i="1"/>
  <c r="BC505" i="1"/>
  <c r="BB505" i="1"/>
  <c r="BA505" i="1"/>
  <c r="AZ505" i="1"/>
  <c r="AY505" i="1"/>
  <c r="AW505" i="1"/>
  <c r="AV505" i="1"/>
  <c r="AX505" i="1" s="1"/>
  <c r="AT505" i="1"/>
  <c r="AU505" i="1" s="1"/>
  <c r="AS505" i="1"/>
  <c r="BC504" i="1"/>
  <c r="BB504" i="1"/>
  <c r="BA504" i="1"/>
  <c r="AZ504" i="1"/>
  <c r="AY504" i="1"/>
  <c r="AV504" i="1"/>
  <c r="AW504" i="1" s="1"/>
  <c r="AT504" i="1"/>
  <c r="AU504" i="1" s="1"/>
  <c r="AS504" i="1"/>
  <c r="BC503" i="1"/>
  <c r="BB503" i="1"/>
  <c r="BA503" i="1"/>
  <c r="AZ503" i="1"/>
  <c r="AY503" i="1"/>
  <c r="AV503" i="1"/>
  <c r="AW503" i="1" s="1"/>
  <c r="AT503" i="1"/>
  <c r="AU503" i="1" s="1"/>
  <c r="AS503" i="1"/>
  <c r="BC502" i="1"/>
  <c r="BB502" i="1"/>
  <c r="BA502" i="1"/>
  <c r="AZ502" i="1"/>
  <c r="AY502" i="1"/>
  <c r="AV502" i="1"/>
  <c r="AX502" i="1" s="1"/>
  <c r="AT502" i="1"/>
  <c r="AU502" i="1" s="1"/>
  <c r="AS502" i="1"/>
  <c r="BC501" i="1"/>
  <c r="BB501" i="1"/>
  <c r="BA501" i="1"/>
  <c r="AZ501" i="1"/>
  <c r="AY501" i="1"/>
  <c r="AV501" i="1"/>
  <c r="AT501" i="1"/>
  <c r="AU501" i="1" s="1"/>
  <c r="AS501" i="1"/>
  <c r="BC500" i="1"/>
  <c r="BB500" i="1"/>
  <c r="BA500" i="1"/>
  <c r="AZ500" i="1"/>
  <c r="AY500" i="1"/>
  <c r="AV500" i="1"/>
  <c r="AW500" i="1" s="1"/>
  <c r="AT500" i="1"/>
  <c r="AU500" i="1" s="1"/>
  <c r="AS500" i="1"/>
  <c r="BC499" i="1"/>
  <c r="BB499" i="1"/>
  <c r="BA499" i="1"/>
  <c r="AZ499" i="1"/>
  <c r="AY499" i="1"/>
  <c r="AV499" i="1"/>
  <c r="AT499" i="1"/>
  <c r="AU499" i="1" s="1"/>
  <c r="AS499" i="1"/>
  <c r="BC498" i="1"/>
  <c r="BB498" i="1"/>
  <c r="BA498" i="1"/>
  <c r="AZ498" i="1"/>
  <c r="AY498" i="1"/>
  <c r="AV498" i="1"/>
  <c r="AX498" i="1" s="1"/>
  <c r="AT498" i="1"/>
  <c r="AU498" i="1" s="1"/>
  <c r="AS498" i="1"/>
  <c r="BC497" i="1"/>
  <c r="BB497" i="1"/>
  <c r="BA497" i="1"/>
  <c r="AZ497" i="1"/>
  <c r="AY497" i="1"/>
  <c r="AV497" i="1"/>
  <c r="AX497" i="1" s="1"/>
  <c r="AT497" i="1"/>
  <c r="AU497" i="1" s="1"/>
  <c r="AS497" i="1"/>
  <c r="BC496" i="1"/>
  <c r="BB496" i="1"/>
  <c r="BA496" i="1"/>
  <c r="AZ496" i="1"/>
  <c r="AY496" i="1"/>
  <c r="AV496" i="1"/>
  <c r="AW496" i="1" s="1"/>
  <c r="AT496" i="1"/>
  <c r="AU496" i="1" s="1"/>
  <c r="AS496" i="1"/>
  <c r="BC495" i="1"/>
  <c r="BB495" i="1"/>
  <c r="BA495" i="1"/>
  <c r="AZ495" i="1"/>
  <c r="AY495" i="1"/>
  <c r="AW495" i="1"/>
  <c r="AV495" i="1"/>
  <c r="AX495" i="1" s="1"/>
  <c r="AT495" i="1"/>
  <c r="AU495" i="1" s="1"/>
  <c r="AS495" i="1"/>
  <c r="BC494" i="1"/>
  <c r="BB494" i="1"/>
  <c r="BA494" i="1"/>
  <c r="AZ494" i="1"/>
  <c r="AY494" i="1"/>
  <c r="AV494" i="1"/>
  <c r="AX494" i="1" s="1"/>
  <c r="AT494" i="1"/>
  <c r="AU494" i="1" s="1"/>
  <c r="AS494" i="1"/>
  <c r="BC493" i="1"/>
  <c r="BB493" i="1"/>
  <c r="BA493" i="1"/>
  <c r="AZ493" i="1"/>
  <c r="AY493" i="1"/>
  <c r="AV493" i="1"/>
  <c r="AW493" i="1" s="1"/>
  <c r="AU493" i="1"/>
  <c r="AT493" i="1"/>
  <c r="AS493" i="1"/>
  <c r="BC492" i="1"/>
  <c r="BB492" i="1"/>
  <c r="BA492" i="1"/>
  <c r="AZ492" i="1"/>
  <c r="AY492" i="1"/>
  <c r="AX492" i="1"/>
  <c r="AV492" i="1"/>
  <c r="AW492" i="1" s="1"/>
  <c r="AT492" i="1"/>
  <c r="AU492" i="1" s="1"/>
  <c r="AS492" i="1"/>
  <c r="BC491" i="1"/>
  <c r="BB491" i="1"/>
  <c r="BA491" i="1"/>
  <c r="AZ491" i="1"/>
  <c r="AY491" i="1"/>
  <c r="AV491" i="1"/>
  <c r="AT491" i="1"/>
  <c r="AU491" i="1" s="1"/>
  <c r="AS491" i="1"/>
  <c r="BC490" i="1"/>
  <c r="BB490" i="1"/>
  <c r="BA490" i="1"/>
  <c r="AZ490" i="1"/>
  <c r="AY490" i="1"/>
  <c r="AV490" i="1"/>
  <c r="AX490" i="1" s="1"/>
  <c r="AT490" i="1"/>
  <c r="AU490" i="1" s="1"/>
  <c r="AS490" i="1"/>
  <c r="BC489" i="1"/>
  <c r="BB489" i="1"/>
  <c r="BA489" i="1"/>
  <c r="AZ489" i="1"/>
  <c r="AY489" i="1"/>
  <c r="AV489" i="1"/>
  <c r="AX489" i="1" s="1"/>
  <c r="AT489" i="1"/>
  <c r="AU489" i="1" s="1"/>
  <c r="AS489" i="1"/>
  <c r="BC488" i="1"/>
  <c r="BB488" i="1"/>
  <c r="BA488" i="1"/>
  <c r="AZ488" i="1"/>
  <c r="AY488" i="1"/>
  <c r="AV488" i="1"/>
  <c r="AX488" i="1" s="1"/>
  <c r="AT488" i="1"/>
  <c r="AU488" i="1" s="1"/>
  <c r="AS488" i="1"/>
  <c r="BC487" i="1"/>
  <c r="BB487" i="1"/>
  <c r="BA487" i="1"/>
  <c r="AZ487" i="1"/>
  <c r="AY487" i="1"/>
  <c r="AV487" i="1"/>
  <c r="AX487" i="1" s="1"/>
  <c r="AT487" i="1"/>
  <c r="AU487" i="1" s="1"/>
  <c r="AS487" i="1"/>
  <c r="BC486" i="1"/>
  <c r="BB486" i="1"/>
  <c r="BA486" i="1"/>
  <c r="AZ486" i="1"/>
  <c r="AY486" i="1"/>
  <c r="AV486" i="1"/>
  <c r="AX486" i="1" s="1"/>
  <c r="AT486" i="1"/>
  <c r="AU486" i="1" s="1"/>
  <c r="AS486" i="1"/>
  <c r="BC485" i="1"/>
  <c r="BB485" i="1"/>
  <c r="BA485" i="1"/>
  <c r="AZ485" i="1"/>
  <c r="AY485" i="1"/>
  <c r="AV485" i="1"/>
  <c r="AW485" i="1" s="1"/>
  <c r="AT485" i="1"/>
  <c r="AU485" i="1" s="1"/>
  <c r="AS485" i="1"/>
  <c r="BC484" i="1"/>
  <c r="BB484" i="1"/>
  <c r="BA484" i="1"/>
  <c r="AZ484" i="1"/>
  <c r="AY484" i="1"/>
  <c r="AV484" i="1"/>
  <c r="AT484" i="1"/>
  <c r="AU484" i="1" s="1"/>
  <c r="AS484" i="1"/>
  <c r="BC483" i="1"/>
  <c r="BB483" i="1"/>
  <c r="BA483" i="1"/>
  <c r="AZ483" i="1"/>
  <c r="AY483" i="1"/>
  <c r="AV483" i="1"/>
  <c r="AT483" i="1"/>
  <c r="AU483" i="1" s="1"/>
  <c r="AS483" i="1"/>
  <c r="BC482" i="1"/>
  <c r="BB482" i="1"/>
  <c r="BA482" i="1"/>
  <c r="AZ482" i="1"/>
  <c r="AY482" i="1"/>
  <c r="AV482" i="1"/>
  <c r="AX482" i="1" s="1"/>
  <c r="AT482" i="1"/>
  <c r="AU482" i="1" s="1"/>
  <c r="AS482" i="1"/>
  <c r="BC481" i="1"/>
  <c r="BB481" i="1"/>
  <c r="BA481" i="1"/>
  <c r="AZ481" i="1"/>
  <c r="AY481" i="1"/>
  <c r="AV481" i="1"/>
  <c r="AX481" i="1" s="1"/>
  <c r="AT481" i="1"/>
  <c r="AU481" i="1" s="1"/>
  <c r="AS481" i="1"/>
  <c r="BC480" i="1"/>
  <c r="BB480" i="1"/>
  <c r="BA480" i="1"/>
  <c r="AZ480" i="1"/>
  <c r="AY480" i="1"/>
  <c r="AV480" i="1"/>
  <c r="AX480" i="1" s="1"/>
  <c r="AT480" i="1"/>
  <c r="AU480" i="1" s="1"/>
  <c r="AS480" i="1"/>
  <c r="BC479" i="1"/>
  <c r="BB479" i="1"/>
  <c r="BA479" i="1"/>
  <c r="AZ479" i="1"/>
  <c r="AY479" i="1"/>
  <c r="AV479" i="1"/>
  <c r="AW479" i="1" s="1"/>
  <c r="AT479" i="1"/>
  <c r="AU479" i="1" s="1"/>
  <c r="AS479" i="1"/>
  <c r="BC478" i="1"/>
  <c r="BB478" i="1"/>
  <c r="BA478" i="1"/>
  <c r="AZ478" i="1"/>
  <c r="AY478" i="1"/>
  <c r="AV478" i="1"/>
  <c r="AX478" i="1" s="1"/>
  <c r="AT478" i="1"/>
  <c r="AU478" i="1" s="1"/>
  <c r="AS478" i="1"/>
  <c r="BC477" i="1"/>
  <c r="BB477" i="1"/>
  <c r="BA477" i="1"/>
  <c r="AZ477" i="1"/>
  <c r="AY477" i="1"/>
  <c r="AV477" i="1"/>
  <c r="AT477" i="1"/>
  <c r="AU477" i="1" s="1"/>
  <c r="AS477" i="1"/>
  <c r="BC476" i="1"/>
  <c r="BB476" i="1"/>
  <c r="BA476" i="1"/>
  <c r="AZ476" i="1"/>
  <c r="AY476" i="1"/>
  <c r="AV476" i="1"/>
  <c r="AT476" i="1"/>
  <c r="AU476" i="1" s="1"/>
  <c r="AS476" i="1"/>
  <c r="BC475" i="1"/>
  <c r="BB475" i="1"/>
  <c r="BA475" i="1"/>
  <c r="AZ475" i="1"/>
  <c r="AY475" i="1"/>
  <c r="AV475" i="1"/>
  <c r="AT475" i="1"/>
  <c r="AU475" i="1" s="1"/>
  <c r="AS475" i="1"/>
  <c r="BC474" i="1"/>
  <c r="BB474" i="1"/>
  <c r="BA474" i="1"/>
  <c r="AZ474" i="1"/>
  <c r="AY474" i="1"/>
  <c r="AV474" i="1"/>
  <c r="AX474" i="1" s="1"/>
  <c r="AT474" i="1"/>
  <c r="AU474" i="1" s="1"/>
  <c r="AS474" i="1"/>
  <c r="BC473" i="1"/>
  <c r="BB473" i="1"/>
  <c r="BA473" i="1"/>
  <c r="AZ473" i="1"/>
  <c r="AY473" i="1"/>
  <c r="AV473" i="1"/>
  <c r="AX473" i="1" s="1"/>
  <c r="AT473" i="1"/>
  <c r="AU473" i="1" s="1"/>
  <c r="AS473" i="1"/>
  <c r="BC472" i="1"/>
  <c r="BB472" i="1"/>
  <c r="BA472" i="1"/>
  <c r="AZ472" i="1"/>
  <c r="AY472" i="1"/>
  <c r="AV472" i="1"/>
  <c r="AW472" i="1" s="1"/>
  <c r="AT472" i="1"/>
  <c r="AU472" i="1" s="1"/>
  <c r="AS472" i="1"/>
  <c r="BC471" i="1"/>
  <c r="BB471" i="1"/>
  <c r="BA471" i="1"/>
  <c r="AZ471" i="1"/>
  <c r="AY471" i="1"/>
  <c r="AV471" i="1"/>
  <c r="AX471" i="1" s="1"/>
  <c r="AT471" i="1"/>
  <c r="AU471" i="1" s="1"/>
  <c r="AS471" i="1"/>
  <c r="BC470" i="1"/>
  <c r="BB470" i="1"/>
  <c r="BA470" i="1"/>
  <c r="AZ470" i="1"/>
  <c r="AY470" i="1"/>
  <c r="AV470" i="1"/>
  <c r="AX470" i="1" s="1"/>
  <c r="AT470" i="1"/>
  <c r="AU470" i="1" s="1"/>
  <c r="AS470" i="1"/>
  <c r="BC469" i="1"/>
  <c r="BB469" i="1"/>
  <c r="BA469" i="1"/>
  <c r="AZ469" i="1"/>
  <c r="AY469" i="1"/>
  <c r="AV469" i="1"/>
  <c r="AW469" i="1" s="1"/>
  <c r="AT469" i="1"/>
  <c r="AU469" i="1" s="1"/>
  <c r="AS469" i="1"/>
  <c r="BC468" i="1"/>
  <c r="BB468" i="1"/>
  <c r="BA468" i="1"/>
  <c r="AZ468" i="1"/>
  <c r="AY468" i="1"/>
  <c r="AV468" i="1"/>
  <c r="AW468" i="1" s="1"/>
  <c r="AT468" i="1"/>
  <c r="AU468" i="1" s="1"/>
  <c r="AS468" i="1"/>
  <c r="BC467" i="1"/>
  <c r="BB467" i="1"/>
  <c r="BA467" i="1"/>
  <c r="AZ467" i="1"/>
  <c r="AY467" i="1"/>
  <c r="AV467" i="1"/>
  <c r="AT467" i="1"/>
  <c r="AU467" i="1" s="1"/>
  <c r="AS467" i="1"/>
  <c r="BC466" i="1"/>
  <c r="BB466" i="1"/>
  <c r="BA466" i="1"/>
  <c r="AZ466" i="1"/>
  <c r="AY466" i="1"/>
  <c r="AV466" i="1"/>
  <c r="AX466" i="1" s="1"/>
  <c r="AT466" i="1"/>
  <c r="AU466" i="1" s="1"/>
  <c r="AS466" i="1"/>
  <c r="BC465" i="1"/>
  <c r="BB465" i="1"/>
  <c r="BA465" i="1"/>
  <c r="AZ465" i="1"/>
  <c r="AY465" i="1"/>
  <c r="AV465" i="1"/>
  <c r="AX465" i="1" s="1"/>
  <c r="AT465" i="1"/>
  <c r="AU465" i="1" s="1"/>
  <c r="AS465" i="1"/>
  <c r="BC464" i="1"/>
  <c r="BB464" i="1"/>
  <c r="BA464" i="1"/>
  <c r="AZ464" i="1"/>
  <c r="AY464" i="1"/>
  <c r="AV464" i="1"/>
  <c r="AX464" i="1" s="1"/>
  <c r="AT464" i="1"/>
  <c r="AU464" i="1" s="1"/>
  <c r="AS464" i="1"/>
  <c r="BC463" i="1"/>
  <c r="BB463" i="1"/>
  <c r="BA463" i="1"/>
  <c r="AZ463" i="1"/>
  <c r="AY463" i="1"/>
  <c r="AV463" i="1"/>
  <c r="AX463" i="1" s="1"/>
  <c r="AT463" i="1"/>
  <c r="AU463" i="1" s="1"/>
  <c r="AS463" i="1"/>
  <c r="BC462" i="1"/>
  <c r="BB462" i="1"/>
  <c r="BA462" i="1"/>
  <c r="AZ462" i="1"/>
  <c r="AY462" i="1"/>
  <c r="AV462" i="1"/>
  <c r="AX462" i="1" s="1"/>
  <c r="AT462" i="1"/>
  <c r="AU462" i="1" s="1"/>
  <c r="AS462" i="1"/>
  <c r="BC461" i="1"/>
  <c r="BB461" i="1"/>
  <c r="BA461" i="1"/>
  <c r="AZ461" i="1"/>
  <c r="AY461" i="1"/>
  <c r="AV461" i="1"/>
  <c r="AX461" i="1" s="1"/>
  <c r="AT461" i="1"/>
  <c r="AU461" i="1" s="1"/>
  <c r="AS461" i="1"/>
  <c r="BC460" i="1"/>
  <c r="BB460" i="1"/>
  <c r="BA460" i="1"/>
  <c r="AZ460" i="1"/>
  <c r="AY460" i="1"/>
  <c r="AV460" i="1"/>
  <c r="AW460" i="1" s="1"/>
  <c r="AT460" i="1"/>
  <c r="AU460" i="1" s="1"/>
  <c r="AS460" i="1"/>
  <c r="BC459" i="1"/>
  <c r="BB459" i="1"/>
  <c r="BA459" i="1"/>
  <c r="AZ459" i="1"/>
  <c r="AY459" i="1"/>
  <c r="AV459" i="1"/>
  <c r="AT459" i="1"/>
  <c r="AU459" i="1" s="1"/>
  <c r="AS459" i="1"/>
  <c r="BC458" i="1"/>
  <c r="BB458" i="1"/>
  <c r="BA458" i="1"/>
  <c r="AZ458" i="1"/>
  <c r="AY458" i="1"/>
  <c r="AV458" i="1"/>
  <c r="AX458" i="1" s="1"/>
  <c r="AT458" i="1"/>
  <c r="AU458" i="1" s="1"/>
  <c r="AS458" i="1"/>
  <c r="BC457" i="1"/>
  <c r="BB457" i="1"/>
  <c r="BA457" i="1"/>
  <c r="AZ457" i="1"/>
  <c r="AY457" i="1"/>
  <c r="AV457" i="1"/>
  <c r="AX457" i="1" s="1"/>
  <c r="AT457" i="1"/>
  <c r="AU457" i="1" s="1"/>
  <c r="AS457" i="1"/>
  <c r="BC456" i="1"/>
  <c r="BB456" i="1"/>
  <c r="BA456" i="1"/>
  <c r="AZ456" i="1"/>
  <c r="AY456" i="1"/>
  <c r="AV456" i="1"/>
  <c r="AX456" i="1" s="1"/>
  <c r="AT456" i="1"/>
  <c r="AU456" i="1" s="1"/>
  <c r="AS456" i="1"/>
  <c r="BC455" i="1"/>
  <c r="BB455" i="1"/>
  <c r="BA455" i="1"/>
  <c r="AZ455" i="1"/>
  <c r="AY455" i="1"/>
  <c r="AV455" i="1"/>
  <c r="AX455" i="1" s="1"/>
  <c r="AT455" i="1"/>
  <c r="AU455" i="1" s="1"/>
  <c r="AS455" i="1"/>
  <c r="BC454" i="1"/>
  <c r="BB454" i="1"/>
  <c r="BA454" i="1"/>
  <c r="AZ454" i="1"/>
  <c r="AY454" i="1"/>
  <c r="AV454" i="1"/>
  <c r="AX454" i="1" s="1"/>
  <c r="AT454" i="1"/>
  <c r="AU454" i="1" s="1"/>
  <c r="AS454" i="1"/>
  <c r="BC453" i="1"/>
  <c r="BB453" i="1"/>
  <c r="BA453" i="1"/>
  <c r="AZ453" i="1"/>
  <c r="AY453" i="1"/>
  <c r="AV453" i="1"/>
  <c r="AX453" i="1" s="1"/>
  <c r="AT453" i="1"/>
  <c r="AU453" i="1" s="1"/>
  <c r="AS453" i="1"/>
  <c r="BC452" i="1"/>
  <c r="BB452" i="1"/>
  <c r="BA452" i="1"/>
  <c r="AZ452" i="1"/>
  <c r="AY452" i="1"/>
  <c r="AV452" i="1"/>
  <c r="AT452" i="1"/>
  <c r="AU452" i="1" s="1"/>
  <c r="AS452" i="1"/>
  <c r="BC451" i="1"/>
  <c r="BB451" i="1"/>
  <c r="BA451" i="1"/>
  <c r="AZ451" i="1"/>
  <c r="AY451" i="1"/>
  <c r="AV451" i="1"/>
  <c r="AT451" i="1"/>
  <c r="AU451" i="1" s="1"/>
  <c r="AS451" i="1"/>
  <c r="BC450" i="1"/>
  <c r="BB450" i="1"/>
  <c r="BA450" i="1"/>
  <c r="AZ450" i="1"/>
  <c r="AY450" i="1"/>
  <c r="AV450" i="1"/>
  <c r="AX450" i="1" s="1"/>
  <c r="AT450" i="1"/>
  <c r="AU450" i="1" s="1"/>
  <c r="AS450" i="1"/>
  <c r="BC449" i="1"/>
  <c r="BB449" i="1"/>
  <c r="BA449" i="1"/>
  <c r="AZ449" i="1"/>
  <c r="AY449" i="1"/>
  <c r="AV449" i="1"/>
  <c r="AX449" i="1" s="1"/>
  <c r="AT449" i="1"/>
  <c r="AU449" i="1" s="1"/>
  <c r="AS449" i="1"/>
  <c r="BC448" i="1"/>
  <c r="BB448" i="1"/>
  <c r="BA448" i="1"/>
  <c r="AZ448" i="1"/>
  <c r="AY448" i="1"/>
  <c r="AV448" i="1"/>
  <c r="AX448" i="1" s="1"/>
  <c r="AT448" i="1"/>
  <c r="AU448" i="1" s="1"/>
  <c r="AS448" i="1"/>
  <c r="BC447" i="1"/>
  <c r="BB447" i="1"/>
  <c r="BA447" i="1"/>
  <c r="AZ447" i="1"/>
  <c r="AY447" i="1"/>
  <c r="AV447" i="1"/>
  <c r="AT447" i="1"/>
  <c r="AU447" i="1" s="1"/>
  <c r="AS447" i="1"/>
  <c r="BC446" i="1"/>
  <c r="BB446" i="1"/>
  <c r="BA446" i="1"/>
  <c r="AZ446" i="1"/>
  <c r="AY446" i="1"/>
  <c r="AV446" i="1"/>
  <c r="AX446" i="1" s="1"/>
  <c r="AT446" i="1"/>
  <c r="AU446" i="1" s="1"/>
  <c r="AS446" i="1"/>
  <c r="BC445" i="1"/>
  <c r="BB445" i="1"/>
  <c r="BA445" i="1"/>
  <c r="AZ445" i="1"/>
  <c r="AY445" i="1"/>
  <c r="AV445" i="1"/>
  <c r="AX445" i="1" s="1"/>
  <c r="AT445" i="1"/>
  <c r="AU445" i="1" s="1"/>
  <c r="AS445" i="1"/>
  <c r="BC444" i="1"/>
  <c r="BB444" i="1"/>
  <c r="BA444" i="1"/>
  <c r="AZ444" i="1"/>
  <c r="AY444" i="1"/>
  <c r="AV444" i="1"/>
  <c r="AW444" i="1" s="1"/>
  <c r="AT444" i="1"/>
  <c r="AU444" i="1" s="1"/>
  <c r="AS444" i="1"/>
  <c r="BC443" i="1"/>
  <c r="BB443" i="1"/>
  <c r="BA443" i="1"/>
  <c r="AZ443" i="1"/>
  <c r="AY443" i="1"/>
  <c r="AV443" i="1"/>
  <c r="AT443" i="1"/>
  <c r="AU443" i="1" s="1"/>
  <c r="AS443" i="1"/>
  <c r="BC442" i="1"/>
  <c r="BB442" i="1"/>
  <c r="BA442" i="1"/>
  <c r="AZ442" i="1"/>
  <c r="AY442" i="1"/>
  <c r="AV442" i="1"/>
  <c r="AX442" i="1" s="1"/>
  <c r="AT442" i="1"/>
  <c r="AU442" i="1" s="1"/>
  <c r="AS442" i="1"/>
  <c r="BC441" i="1"/>
  <c r="BB441" i="1"/>
  <c r="BA441" i="1"/>
  <c r="AZ441" i="1"/>
  <c r="AY441" i="1"/>
  <c r="AV441" i="1"/>
  <c r="AT441" i="1"/>
  <c r="AU441" i="1" s="1"/>
  <c r="AS441" i="1"/>
  <c r="BC440" i="1"/>
  <c r="BB440" i="1"/>
  <c r="BA440" i="1"/>
  <c r="AZ440" i="1"/>
  <c r="AY440" i="1"/>
  <c r="AV440" i="1"/>
  <c r="AX440" i="1" s="1"/>
  <c r="AT440" i="1"/>
  <c r="AU440" i="1" s="1"/>
  <c r="AS440" i="1"/>
  <c r="BC439" i="1"/>
  <c r="BB439" i="1"/>
  <c r="BA439" i="1"/>
  <c r="AZ439" i="1"/>
  <c r="AY439" i="1"/>
  <c r="AV439" i="1"/>
  <c r="AT439" i="1"/>
  <c r="AU439" i="1" s="1"/>
  <c r="AS439" i="1"/>
  <c r="BC438" i="1"/>
  <c r="BB438" i="1"/>
  <c r="BA438" i="1"/>
  <c r="AZ438" i="1"/>
  <c r="AY438" i="1"/>
  <c r="AV438" i="1"/>
  <c r="AX438" i="1" s="1"/>
  <c r="AT438" i="1"/>
  <c r="AU438" i="1" s="1"/>
  <c r="AS438" i="1"/>
  <c r="BC437" i="1"/>
  <c r="BB437" i="1"/>
  <c r="BA437" i="1"/>
  <c r="AZ437" i="1"/>
  <c r="AY437" i="1"/>
  <c r="AV437" i="1"/>
  <c r="AW437" i="1" s="1"/>
  <c r="AT437" i="1"/>
  <c r="AU437" i="1" s="1"/>
  <c r="AS437" i="1"/>
  <c r="BC436" i="1"/>
  <c r="BB436" i="1"/>
  <c r="BA436" i="1"/>
  <c r="AZ436" i="1"/>
  <c r="AY436" i="1"/>
  <c r="AV436" i="1"/>
  <c r="AW436" i="1" s="1"/>
  <c r="AT436" i="1"/>
  <c r="AU436" i="1" s="1"/>
  <c r="AS436" i="1"/>
  <c r="BC435" i="1"/>
  <c r="BB435" i="1"/>
  <c r="BA435" i="1"/>
  <c r="AZ435" i="1"/>
  <c r="AY435" i="1"/>
  <c r="AV435" i="1"/>
  <c r="AT435" i="1"/>
  <c r="AU435" i="1" s="1"/>
  <c r="AS435" i="1"/>
  <c r="BC434" i="1"/>
  <c r="BB434" i="1"/>
  <c r="BA434" i="1"/>
  <c r="AZ434" i="1"/>
  <c r="AY434" i="1"/>
  <c r="AV434" i="1"/>
  <c r="AX434" i="1" s="1"/>
  <c r="AT434" i="1"/>
  <c r="AU434" i="1" s="1"/>
  <c r="AS434" i="1"/>
  <c r="BC433" i="1"/>
  <c r="BB433" i="1"/>
  <c r="BA433" i="1"/>
  <c r="AZ433" i="1"/>
  <c r="AY433" i="1"/>
  <c r="AV433" i="1"/>
  <c r="AX433" i="1" s="1"/>
  <c r="AT433" i="1"/>
  <c r="AU433" i="1" s="1"/>
  <c r="AS433" i="1"/>
  <c r="BC432" i="1"/>
  <c r="BB432" i="1"/>
  <c r="BA432" i="1"/>
  <c r="AZ432" i="1"/>
  <c r="AY432" i="1"/>
  <c r="AV432" i="1"/>
  <c r="AT432" i="1"/>
  <c r="AU432" i="1" s="1"/>
  <c r="AS432" i="1"/>
  <c r="BC431" i="1"/>
  <c r="BB431" i="1"/>
  <c r="BA431" i="1"/>
  <c r="AZ431" i="1"/>
  <c r="AY431" i="1"/>
  <c r="AV431" i="1"/>
  <c r="AX431" i="1" s="1"/>
  <c r="AT431" i="1"/>
  <c r="AU431" i="1" s="1"/>
  <c r="AS431" i="1"/>
  <c r="BC430" i="1"/>
  <c r="BB430" i="1"/>
  <c r="BA430" i="1"/>
  <c r="AZ430" i="1"/>
  <c r="AY430" i="1"/>
  <c r="AV430" i="1"/>
  <c r="AX430" i="1" s="1"/>
  <c r="AT430" i="1"/>
  <c r="AU430" i="1" s="1"/>
  <c r="AS430" i="1"/>
  <c r="BC429" i="1"/>
  <c r="BB429" i="1"/>
  <c r="BA429" i="1"/>
  <c r="AZ429" i="1"/>
  <c r="AY429" i="1"/>
  <c r="AV429" i="1"/>
  <c r="AX429" i="1" s="1"/>
  <c r="AT429" i="1"/>
  <c r="AU429" i="1" s="1"/>
  <c r="AS429" i="1"/>
  <c r="BC428" i="1"/>
  <c r="BB428" i="1"/>
  <c r="BA428" i="1"/>
  <c r="AZ428" i="1"/>
  <c r="AY428" i="1"/>
  <c r="AV428" i="1"/>
  <c r="AW428" i="1" s="1"/>
  <c r="AT428" i="1"/>
  <c r="AU428" i="1" s="1"/>
  <c r="AS428" i="1"/>
  <c r="BC427" i="1"/>
  <c r="BB427" i="1"/>
  <c r="BA427" i="1"/>
  <c r="AZ427" i="1"/>
  <c r="AY427" i="1"/>
  <c r="AV427" i="1"/>
  <c r="AT427" i="1"/>
  <c r="AU427" i="1" s="1"/>
  <c r="AS427" i="1"/>
  <c r="BC426" i="1"/>
  <c r="BB426" i="1"/>
  <c r="BA426" i="1"/>
  <c r="AZ426" i="1"/>
  <c r="AY426" i="1"/>
  <c r="AV426" i="1"/>
  <c r="AX426" i="1" s="1"/>
  <c r="AT426" i="1"/>
  <c r="AU426" i="1" s="1"/>
  <c r="AS426" i="1"/>
  <c r="BC425" i="1"/>
  <c r="BB425" i="1"/>
  <c r="BA425" i="1"/>
  <c r="AZ425" i="1"/>
  <c r="AY425" i="1"/>
  <c r="AV425" i="1"/>
  <c r="AT425" i="1"/>
  <c r="AU425" i="1" s="1"/>
  <c r="AS425" i="1"/>
  <c r="BC424" i="1"/>
  <c r="BB424" i="1"/>
  <c r="BA424" i="1"/>
  <c r="AZ424" i="1"/>
  <c r="AY424" i="1"/>
  <c r="AV424" i="1"/>
  <c r="AW424" i="1" s="1"/>
  <c r="AT424" i="1"/>
  <c r="AU424" i="1" s="1"/>
  <c r="AS424" i="1"/>
  <c r="BC423" i="1"/>
  <c r="BB423" i="1"/>
  <c r="BA423" i="1"/>
  <c r="AZ423" i="1"/>
  <c r="AY423" i="1"/>
  <c r="AV423" i="1"/>
  <c r="AX423" i="1" s="1"/>
  <c r="AT423" i="1"/>
  <c r="AU423" i="1" s="1"/>
  <c r="AS423" i="1"/>
  <c r="BC422" i="1"/>
  <c r="BB422" i="1"/>
  <c r="BA422" i="1"/>
  <c r="AZ422" i="1"/>
  <c r="AY422" i="1"/>
  <c r="AV422" i="1"/>
  <c r="AX422" i="1" s="1"/>
  <c r="AT422" i="1"/>
  <c r="AU422" i="1" s="1"/>
  <c r="AS422" i="1"/>
  <c r="BC421" i="1"/>
  <c r="BB421" i="1"/>
  <c r="BA421" i="1"/>
  <c r="AZ421" i="1"/>
  <c r="AY421" i="1"/>
  <c r="AV421" i="1"/>
  <c r="AW421" i="1" s="1"/>
  <c r="AT421" i="1"/>
  <c r="AU421" i="1" s="1"/>
  <c r="AS421" i="1"/>
  <c r="BC420" i="1"/>
  <c r="BB420" i="1"/>
  <c r="BA420" i="1"/>
  <c r="AZ420" i="1"/>
  <c r="AY420" i="1"/>
  <c r="AV420" i="1"/>
  <c r="AW420" i="1" s="1"/>
  <c r="AT420" i="1"/>
  <c r="AU420" i="1" s="1"/>
  <c r="AS420" i="1"/>
  <c r="BC419" i="1"/>
  <c r="BB419" i="1"/>
  <c r="BA419" i="1"/>
  <c r="AZ419" i="1"/>
  <c r="AY419" i="1"/>
  <c r="AV419" i="1"/>
  <c r="AT419" i="1"/>
  <c r="AU419" i="1" s="1"/>
  <c r="AS419" i="1"/>
  <c r="BC418" i="1"/>
  <c r="BB418" i="1"/>
  <c r="BA418" i="1"/>
  <c r="AZ418" i="1"/>
  <c r="AY418" i="1"/>
  <c r="AV418" i="1"/>
  <c r="AX418" i="1" s="1"/>
  <c r="AT418" i="1"/>
  <c r="AU418" i="1" s="1"/>
  <c r="AS418" i="1"/>
  <c r="BC417" i="1"/>
  <c r="BB417" i="1"/>
  <c r="BA417" i="1"/>
  <c r="AZ417" i="1"/>
  <c r="AY417" i="1"/>
  <c r="AV417" i="1"/>
  <c r="AX417" i="1" s="1"/>
  <c r="AT417" i="1"/>
  <c r="AU417" i="1" s="1"/>
  <c r="AS417" i="1"/>
  <c r="BC416" i="1"/>
  <c r="BB416" i="1"/>
  <c r="BA416" i="1"/>
  <c r="AZ416" i="1"/>
  <c r="AY416" i="1"/>
  <c r="AV416" i="1"/>
  <c r="AW416" i="1" s="1"/>
  <c r="AT416" i="1"/>
  <c r="AU416" i="1" s="1"/>
  <c r="AS416" i="1"/>
  <c r="BC415" i="1"/>
  <c r="BB415" i="1"/>
  <c r="BA415" i="1"/>
  <c r="AZ415" i="1"/>
  <c r="AY415" i="1"/>
  <c r="AV415" i="1"/>
  <c r="AX415" i="1" s="1"/>
  <c r="AT415" i="1"/>
  <c r="AU415" i="1" s="1"/>
  <c r="AS415" i="1"/>
  <c r="BC414" i="1"/>
  <c r="BB414" i="1"/>
  <c r="BA414" i="1"/>
  <c r="AZ414" i="1"/>
  <c r="AY414" i="1"/>
  <c r="AV414" i="1"/>
  <c r="AT414" i="1"/>
  <c r="AU414" i="1" s="1"/>
  <c r="AS414" i="1"/>
  <c r="BC413" i="1"/>
  <c r="BB413" i="1"/>
  <c r="BA413" i="1"/>
  <c r="AZ413" i="1"/>
  <c r="AY413" i="1"/>
  <c r="AV413" i="1"/>
  <c r="AT413" i="1"/>
  <c r="AU413" i="1" s="1"/>
  <c r="AS413" i="1"/>
  <c r="BC412" i="1"/>
  <c r="BB412" i="1"/>
  <c r="BA412" i="1"/>
  <c r="AZ412" i="1"/>
  <c r="AY412" i="1"/>
  <c r="AV412" i="1"/>
  <c r="AW412" i="1" s="1"/>
  <c r="AT412" i="1"/>
  <c r="AU412" i="1" s="1"/>
  <c r="AS412" i="1"/>
  <c r="BC411" i="1"/>
  <c r="BB411" i="1"/>
  <c r="BA411" i="1"/>
  <c r="AZ411" i="1"/>
  <c r="AY411" i="1"/>
  <c r="AV411" i="1"/>
  <c r="AT411" i="1"/>
  <c r="AU411" i="1" s="1"/>
  <c r="AS411" i="1"/>
  <c r="BC410" i="1"/>
  <c r="BB410" i="1"/>
  <c r="BA410" i="1"/>
  <c r="AZ410" i="1"/>
  <c r="AY410" i="1"/>
  <c r="AV410" i="1"/>
  <c r="AX410" i="1" s="1"/>
  <c r="AT410" i="1"/>
  <c r="AU410" i="1" s="1"/>
  <c r="AS410" i="1"/>
  <c r="BC409" i="1"/>
  <c r="BB409" i="1"/>
  <c r="BA409" i="1"/>
  <c r="AZ409" i="1"/>
  <c r="AY409" i="1"/>
  <c r="AV409" i="1"/>
  <c r="AX409" i="1" s="1"/>
  <c r="AT409" i="1"/>
  <c r="AU409" i="1" s="1"/>
  <c r="AS409" i="1"/>
  <c r="BC408" i="1"/>
  <c r="BB408" i="1"/>
  <c r="BA408" i="1"/>
  <c r="AZ408" i="1"/>
  <c r="AY408" i="1"/>
  <c r="AV408" i="1"/>
  <c r="AW408" i="1" s="1"/>
  <c r="AT408" i="1"/>
  <c r="AU408" i="1" s="1"/>
  <c r="AS408" i="1"/>
  <c r="BC407" i="1"/>
  <c r="BB407" i="1"/>
  <c r="BA407" i="1"/>
  <c r="AZ407" i="1"/>
  <c r="AY407" i="1"/>
  <c r="AV407" i="1"/>
  <c r="AX407" i="1" s="1"/>
  <c r="AT407" i="1"/>
  <c r="AU407" i="1" s="1"/>
  <c r="AS407" i="1"/>
  <c r="BC406" i="1"/>
  <c r="BB406" i="1"/>
  <c r="BA406" i="1"/>
  <c r="AZ406" i="1"/>
  <c r="AY406" i="1"/>
  <c r="AV406" i="1"/>
  <c r="AT406" i="1"/>
  <c r="AU406" i="1" s="1"/>
  <c r="AS406" i="1"/>
  <c r="BC405" i="1"/>
  <c r="BB405" i="1"/>
  <c r="BA405" i="1"/>
  <c r="AZ405" i="1"/>
  <c r="AY405" i="1"/>
  <c r="AV405" i="1"/>
  <c r="AX405" i="1" s="1"/>
  <c r="AT405" i="1"/>
  <c r="AU405" i="1" s="1"/>
  <c r="AS405" i="1"/>
  <c r="BC404" i="1"/>
  <c r="BB404" i="1"/>
  <c r="BA404" i="1"/>
  <c r="AZ404" i="1"/>
  <c r="AY404" i="1"/>
  <c r="AV404" i="1"/>
  <c r="AW404" i="1" s="1"/>
  <c r="AT404" i="1"/>
  <c r="AU404" i="1" s="1"/>
  <c r="AS404" i="1"/>
  <c r="BC403" i="1"/>
  <c r="BB403" i="1"/>
  <c r="BA403" i="1"/>
  <c r="AZ403" i="1"/>
  <c r="AY403" i="1"/>
  <c r="AV403" i="1"/>
  <c r="AX403" i="1" s="1"/>
  <c r="AT403" i="1"/>
  <c r="AU403" i="1" s="1"/>
  <c r="AS403" i="1"/>
  <c r="BC402" i="1"/>
  <c r="BB402" i="1"/>
  <c r="BA402" i="1"/>
  <c r="AZ402" i="1"/>
  <c r="AY402" i="1"/>
  <c r="AV402" i="1"/>
  <c r="AX402" i="1" s="1"/>
  <c r="AT402" i="1"/>
  <c r="AU402" i="1" s="1"/>
  <c r="AS402" i="1"/>
  <c r="BC401" i="1"/>
  <c r="BB401" i="1"/>
  <c r="BA401" i="1"/>
  <c r="AZ401" i="1"/>
  <c r="AY401" i="1"/>
  <c r="AV401" i="1"/>
  <c r="AT401" i="1"/>
  <c r="AU401" i="1" s="1"/>
  <c r="AS401" i="1"/>
  <c r="BC400" i="1"/>
  <c r="BB400" i="1"/>
  <c r="BA400" i="1"/>
  <c r="AZ400" i="1"/>
  <c r="AY400" i="1"/>
  <c r="AV400" i="1"/>
  <c r="AX400" i="1" s="1"/>
  <c r="AT400" i="1"/>
  <c r="AU400" i="1" s="1"/>
  <c r="AS400" i="1"/>
  <c r="BC399" i="1"/>
  <c r="BB399" i="1"/>
  <c r="BA399" i="1"/>
  <c r="AZ399" i="1"/>
  <c r="AY399" i="1"/>
  <c r="AV399" i="1"/>
  <c r="AX399" i="1" s="1"/>
  <c r="AT399" i="1"/>
  <c r="AU399" i="1" s="1"/>
  <c r="AS399" i="1"/>
  <c r="BC398" i="1"/>
  <c r="BB398" i="1"/>
  <c r="BA398" i="1"/>
  <c r="AZ398" i="1"/>
  <c r="AY398" i="1"/>
  <c r="AV398" i="1"/>
  <c r="AT398" i="1"/>
  <c r="AU398" i="1" s="1"/>
  <c r="AS398" i="1"/>
  <c r="BC397" i="1"/>
  <c r="BB397" i="1"/>
  <c r="BA397" i="1"/>
  <c r="AZ397" i="1"/>
  <c r="AY397" i="1"/>
  <c r="AV397" i="1"/>
  <c r="AT397" i="1"/>
  <c r="AU397" i="1" s="1"/>
  <c r="AS397" i="1"/>
  <c r="BC396" i="1"/>
  <c r="BB396" i="1"/>
  <c r="BA396" i="1"/>
  <c r="AZ396" i="1"/>
  <c r="AY396" i="1"/>
  <c r="AV396" i="1"/>
  <c r="AW396" i="1" s="1"/>
  <c r="AT396" i="1"/>
  <c r="AU396" i="1" s="1"/>
  <c r="AS396" i="1"/>
  <c r="BC395" i="1"/>
  <c r="BB395" i="1"/>
  <c r="BA395" i="1"/>
  <c r="AZ395" i="1"/>
  <c r="AY395" i="1"/>
  <c r="AV395" i="1"/>
  <c r="AX395" i="1" s="1"/>
  <c r="AT395" i="1"/>
  <c r="AU395" i="1" s="1"/>
  <c r="AS395" i="1"/>
  <c r="BC394" i="1"/>
  <c r="BB394" i="1"/>
  <c r="BA394" i="1"/>
  <c r="AZ394" i="1"/>
  <c r="AY394" i="1"/>
  <c r="AV394" i="1"/>
  <c r="AX394" i="1" s="1"/>
  <c r="AT394" i="1"/>
  <c r="AU394" i="1" s="1"/>
  <c r="AS394" i="1"/>
  <c r="BC393" i="1"/>
  <c r="BB393" i="1"/>
  <c r="BA393" i="1"/>
  <c r="AZ393" i="1"/>
  <c r="AY393" i="1"/>
  <c r="AV393" i="1"/>
  <c r="AX393" i="1" s="1"/>
  <c r="AT393" i="1"/>
  <c r="AU393" i="1" s="1"/>
  <c r="AS393" i="1"/>
  <c r="BC392" i="1"/>
  <c r="BB392" i="1"/>
  <c r="BA392" i="1"/>
  <c r="AZ392" i="1"/>
  <c r="AY392" i="1"/>
  <c r="AV392" i="1"/>
  <c r="AW392" i="1" s="1"/>
  <c r="AT392" i="1"/>
  <c r="AU392" i="1" s="1"/>
  <c r="AS392" i="1"/>
  <c r="BC391" i="1"/>
  <c r="BB391" i="1"/>
  <c r="BA391" i="1"/>
  <c r="AZ391" i="1"/>
  <c r="AY391" i="1"/>
  <c r="AV391" i="1"/>
  <c r="AX391" i="1" s="1"/>
  <c r="AT391" i="1"/>
  <c r="AU391" i="1" s="1"/>
  <c r="AS391" i="1"/>
  <c r="BC390" i="1"/>
  <c r="BB390" i="1"/>
  <c r="BA390" i="1"/>
  <c r="AZ390" i="1"/>
  <c r="AY390" i="1"/>
  <c r="AV390" i="1"/>
  <c r="AT390" i="1"/>
  <c r="AU390" i="1" s="1"/>
  <c r="AS390" i="1"/>
  <c r="BC389" i="1"/>
  <c r="BB389" i="1"/>
  <c r="BA389" i="1"/>
  <c r="AZ389" i="1"/>
  <c r="AY389" i="1"/>
  <c r="AV389" i="1"/>
  <c r="AX389" i="1" s="1"/>
  <c r="AT389" i="1"/>
  <c r="AU389" i="1" s="1"/>
  <c r="AS389" i="1"/>
  <c r="BC388" i="1"/>
  <c r="BB388" i="1"/>
  <c r="BA388" i="1"/>
  <c r="AZ388" i="1"/>
  <c r="AY388" i="1"/>
  <c r="AV388" i="1"/>
  <c r="AW388" i="1" s="1"/>
  <c r="AT388" i="1"/>
  <c r="AU388" i="1" s="1"/>
  <c r="AS388" i="1"/>
  <c r="BC387" i="1"/>
  <c r="BB387" i="1"/>
  <c r="BA387" i="1"/>
  <c r="AZ387" i="1"/>
  <c r="AY387" i="1"/>
  <c r="AV387" i="1"/>
  <c r="AX387" i="1" s="1"/>
  <c r="AT387" i="1"/>
  <c r="AU387" i="1" s="1"/>
  <c r="AS387" i="1"/>
  <c r="BC386" i="1"/>
  <c r="BB386" i="1"/>
  <c r="BA386" i="1"/>
  <c r="AZ386" i="1"/>
  <c r="AY386" i="1"/>
  <c r="AV386" i="1"/>
  <c r="AX386" i="1" s="1"/>
  <c r="AT386" i="1"/>
  <c r="AU386" i="1" s="1"/>
  <c r="AS386" i="1"/>
  <c r="BC385" i="1"/>
  <c r="BB385" i="1"/>
  <c r="BA385" i="1"/>
  <c r="AZ385" i="1"/>
  <c r="AY385" i="1"/>
  <c r="AV385" i="1"/>
  <c r="AT385" i="1"/>
  <c r="AU385" i="1" s="1"/>
  <c r="AS385" i="1"/>
  <c r="BC384" i="1"/>
  <c r="BB384" i="1"/>
  <c r="BA384" i="1"/>
  <c r="AZ384" i="1"/>
  <c r="AY384" i="1"/>
  <c r="AV384" i="1"/>
  <c r="AX384" i="1" s="1"/>
  <c r="AT384" i="1"/>
  <c r="AU384" i="1" s="1"/>
  <c r="AS384" i="1"/>
  <c r="BC383" i="1"/>
  <c r="BB383" i="1"/>
  <c r="BA383" i="1"/>
  <c r="AZ383" i="1"/>
  <c r="AY383" i="1"/>
  <c r="AV383" i="1"/>
  <c r="AX383" i="1" s="1"/>
  <c r="AT383" i="1"/>
  <c r="AU383" i="1" s="1"/>
  <c r="AS383" i="1"/>
  <c r="BC382" i="1"/>
  <c r="BB382" i="1"/>
  <c r="BA382" i="1"/>
  <c r="AZ382" i="1"/>
  <c r="AY382" i="1"/>
  <c r="AV382" i="1"/>
  <c r="AT382" i="1"/>
  <c r="AU382" i="1" s="1"/>
  <c r="AS382" i="1"/>
  <c r="BC381" i="1"/>
  <c r="BB381" i="1"/>
  <c r="BA381" i="1"/>
  <c r="AZ381" i="1"/>
  <c r="AY381" i="1"/>
  <c r="AV381" i="1"/>
  <c r="AT381" i="1"/>
  <c r="AU381" i="1" s="1"/>
  <c r="AS381" i="1"/>
  <c r="BC380" i="1"/>
  <c r="BB380" i="1"/>
  <c r="BA380" i="1"/>
  <c r="AZ380" i="1"/>
  <c r="AY380" i="1"/>
  <c r="AV380" i="1"/>
  <c r="AW380" i="1" s="1"/>
  <c r="AT380" i="1"/>
  <c r="AU380" i="1" s="1"/>
  <c r="AS380" i="1"/>
  <c r="BC379" i="1"/>
  <c r="BB379" i="1"/>
  <c r="BA379" i="1"/>
  <c r="AZ379" i="1"/>
  <c r="AY379" i="1"/>
  <c r="AV379" i="1"/>
  <c r="AX379" i="1" s="1"/>
  <c r="AT379" i="1"/>
  <c r="AU379" i="1" s="1"/>
  <c r="AS379" i="1"/>
  <c r="BC378" i="1"/>
  <c r="BB378" i="1"/>
  <c r="BA378" i="1"/>
  <c r="AZ378" i="1"/>
  <c r="AY378" i="1"/>
  <c r="AV378" i="1"/>
  <c r="AT378" i="1"/>
  <c r="AU378" i="1" s="1"/>
  <c r="AS378" i="1"/>
  <c r="BC377" i="1"/>
  <c r="BB377" i="1"/>
  <c r="BA377" i="1"/>
  <c r="AZ377" i="1"/>
  <c r="AY377" i="1"/>
  <c r="AV377" i="1"/>
  <c r="AX377" i="1" s="1"/>
  <c r="AT377" i="1"/>
  <c r="AU377" i="1" s="1"/>
  <c r="AS377" i="1"/>
  <c r="BC376" i="1"/>
  <c r="BB376" i="1"/>
  <c r="BA376" i="1"/>
  <c r="AZ376" i="1"/>
  <c r="AY376" i="1"/>
  <c r="AV376" i="1"/>
  <c r="AW376" i="1" s="1"/>
  <c r="AT376" i="1"/>
  <c r="AU376" i="1" s="1"/>
  <c r="AS376" i="1"/>
  <c r="BC375" i="1"/>
  <c r="BB375" i="1"/>
  <c r="BA375" i="1"/>
  <c r="AZ375" i="1"/>
  <c r="AY375" i="1"/>
  <c r="AV375" i="1"/>
  <c r="AX375" i="1" s="1"/>
  <c r="AU375" i="1"/>
  <c r="AT375" i="1"/>
  <c r="AS375" i="1"/>
  <c r="BC374" i="1"/>
  <c r="BB374" i="1"/>
  <c r="BA374" i="1"/>
  <c r="AZ374" i="1"/>
  <c r="AY374" i="1"/>
  <c r="AV374" i="1"/>
  <c r="AT374" i="1"/>
  <c r="AU374" i="1" s="1"/>
  <c r="AS374" i="1"/>
  <c r="BC373" i="1"/>
  <c r="BB373" i="1"/>
  <c r="BA373" i="1"/>
  <c r="AZ373" i="1"/>
  <c r="AY373" i="1"/>
  <c r="AW373" i="1"/>
  <c r="AV373" i="1"/>
  <c r="AX373" i="1" s="1"/>
  <c r="AT373" i="1"/>
  <c r="AU373" i="1" s="1"/>
  <c r="AS373" i="1"/>
  <c r="BC372" i="1"/>
  <c r="BB372" i="1"/>
  <c r="BA372" i="1"/>
  <c r="AZ372" i="1"/>
  <c r="AY372" i="1"/>
  <c r="AV372" i="1"/>
  <c r="AW372" i="1" s="1"/>
  <c r="AT372" i="1"/>
  <c r="AU372" i="1" s="1"/>
  <c r="AS372" i="1"/>
  <c r="BC371" i="1"/>
  <c r="BB371" i="1"/>
  <c r="BA371" i="1"/>
  <c r="AZ371" i="1"/>
  <c r="AY371" i="1"/>
  <c r="AV371" i="1"/>
  <c r="AX371" i="1" s="1"/>
  <c r="AT371" i="1"/>
  <c r="AU371" i="1" s="1"/>
  <c r="AS371" i="1"/>
  <c r="BC370" i="1"/>
  <c r="BB370" i="1"/>
  <c r="BA370" i="1"/>
  <c r="AZ370" i="1"/>
  <c r="AY370" i="1"/>
  <c r="AV370" i="1"/>
  <c r="AT370" i="1"/>
  <c r="AU370" i="1" s="1"/>
  <c r="AS370" i="1"/>
  <c r="BC369" i="1"/>
  <c r="BB369" i="1"/>
  <c r="BA369" i="1"/>
  <c r="AZ369" i="1"/>
  <c r="AY369" i="1"/>
  <c r="AV369" i="1"/>
  <c r="AT369" i="1"/>
  <c r="AU369" i="1" s="1"/>
  <c r="AS369" i="1"/>
  <c r="BC368" i="1"/>
  <c r="BB368" i="1"/>
  <c r="BA368" i="1"/>
  <c r="AZ368" i="1"/>
  <c r="AY368" i="1"/>
  <c r="AV368" i="1"/>
  <c r="AX368" i="1" s="1"/>
  <c r="AT368" i="1"/>
  <c r="AU368" i="1" s="1"/>
  <c r="AS368" i="1"/>
  <c r="BC367" i="1"/>
  <c r="BB367" i="1"/>
  <c r="BA367" i="1"/>
  <c r="AZ367" i="1"/>
  <c r="AY367" i="1"/>
  <c r="AV367" i="1"/>
  <c r="AX367" i="1" s="1"/>
  <c r="AT367" i="1"/>
  <c r="AU367" i="1" s="1"/>
  <c r="AS367" i="1"/>
  <c r="BC366" i="1"/>
  <c r="BB366" i="1"/>
  <c r="BA366" i="1"/>
  <c r="AZ366" i="1"/>
  <c r="AY366" i="1"/>
  <c r="AV366" i="1"/>
  <c r="AT366" i="1"/>
  <c r="AU366" i="1" s="1"/>
  <c r="AS366" i="1"/>
  <c r="BC365" i="1"/>
  <c r="BB365" i="1"/>
  <c r="BA365" i="1"/>
  <c r="AZ365" i="1"/>
  <c r="AY365" i="1"/>
  <c r="AV365" i="1"/>
  <c r="AT365" i="1"/>
  <c r="AU365" i="1" s="1"/>
  <c r="AS365" i="1"/>
  <c r="BC364" i="1"/>
  <c r="BB364" i="1"/>
  <c r="BA364" i="1"/>
  <c r="AZ364" i="1"/>
  <c r="AY364" i="1"/>
  <c r="AV364" i="1"/>
  <c r="AW364" i="1" s="1"/>
  <c r="AT364" i="1"/>
  <c r="AU364" i="1" s="1"/>
  <c r="AS364" i="1"/>
  <c r="BC363" i="1"/>
  <c r="BB363" i="1"/>
  <c r="BA363" i="1"/>
  <c r="AZ363" i="1"/>
  <c r="AY363" i="1"/>
  <c r="AV363" i="1"/>
  <c r="AX363" i="1" s="1"/>
  <c r="AT363" i="1"/>
  <c r="AU363" i="1" s="1"/>
  <c r="AS363" i="1"/>
  <c r="BC362" i="1"/>
  <c r="BB362" i="1"/>
  <c r="BA362" i="1"/>
  <c r="AZ362" i="1"/>
  <c r="AY362" i="1"/>
  <c r="AV362" i="1"/>
  <c r="AT362" i="1"/>
  <c r="AU362" i="1" s="1"/>
  <c r="AS362" i="1"/>
  <c r="BC361" i="1"/>
  <c r="BB361" i="1"/>
  <c r="BA361" i="1"/>
  <c r="AZ361" i="1"/>
  <c r="AY361" i="1"/>
  <c r="AV361" i="1"/>
  <c r="AX361" i="1" s="1"/>
  <c r="AT361" i="1"/>
  <c r="AU361" i="1" s="1"/>
  <c r="AS361" i="1"/>
  <c r="BC360" i="1"/>
  <c r="BB360" i="1"/>
  <c r="BA360" i="1"/>
  <c r="AZ360" i="1"/>
  <c r="AY360" i="1"/>
  <c r="AV360" i="1"/>
  <c r="AW360" i="1" s="1"/>
  <c r="AT360" i="1"/>
  <c r="AU360" i="1" s="1"/>
  <c r="AS360" i="1"/>
  <c r="BC359" i="1"/>
  <c r="BB359" i="1"/>
  <c r="BA359" i="1"/>
  <c r="AZ359" i="1"/>
  <c r="AY359" i="1"/>
  <c r="AV359" i="1"/>
  <c r="AX359" i="1" s="1"/>
  <c r="AT359" i="1"/>
  <c r="AU359" i="1" s="1"/>
  <c r="AS359" i="1"/>
  <c r="BC358" i="1"/>
  <c r="BB358" i="1"/>
  <c r="BA358" i="1"/>
  <c r="AZ358" i="1"/>
  <c r="AY358" i="1"/>
  <c r="AV358" i="1"/>
  <c r="AW358" i="1" s="1"/>
  <c r="AT358" i="1"/>
  <c r="AU358" i="1" s="1"/>
  <c r="AS358" i="1"/>
  <c r="BC357" i="1"/>
  <c r="BB357" i="1"/>
  <c r="BA357" i="1"/>
  <c r="AZ357" i="1"/>
  <c r="AY357" i="1"/>
  <c r="AV357" i="1"/>
  <c r="AX357" i="1" s="1"/>
  <c r="AT357" i="1"/>
  <c r="AU357" i="1" s="1"/>
  <c r="AS357" i="1"/>
  <c r="BC356" i="1"/>
  <c r="BB356" i="1"/>
  <c r="BA356" i="1"/>
  <c r="AZ356" i="1"/>
  <c r="AY356" i="1"/>
  <c r="AV356" i="1"/>
  <c r="AW356" i="1" s="1"/>
  <c r="AT356" i="1"/>
  <c r="AU356" i="1" s="1"/>
  <c r="AS356" i="1"/>
  <c r="BC355" i="1"/>
  <c r="BB355" i="1"/>
  <c r="BA355" i="1"/>
  <c r="AZ355" i="1"/>
  <c r="AY355" i="1"/>
  <c r="AV355" i="1"/>
  <c r="AX355" i="1" s="1"/>
  <c r="AT355" i="1"/>
  <c r="AU355" i="1" s="1"/>
  <c r="AS355" i="1"/>
  <c r="BC354" i="1"/>
  <c r="BB354" i="1"/>
  <c r="BA354" i="1"/>
  <c r="AZ354" i="1"/>
  <c r="AY354" i="1"/>
  <c r="AV354" i="1"/>
  <c r="AT354" i="1"/>
  <c r="AU354" i="1" s="1"/>
  <c r="AS354" i="1"/>
  <c r="BC353" i="1"/>
  <c r="BB353" i="1"/>
  <c r="BA353" i="1"/>
  <c r="AZ353" i="1"/>
  <c r="AY353" i="1"/>
  <c r="AV353" i="1"/>
  <c r="AX353" i="1" s="1"/>
  <c r="AT353" i="1"/>
  <c r="AU353" i="1" s="1"/>
  <c r="AS353" i="1"/>
  <c r="BC352" i="1"/>
  <c r="BB352" i="1"/>
  <c r="BA352" i="1"/>
  <c r="AZ352" i="1"/>
  <c r="AY352" i="1"/>
  <c r="AV352" i="1"/>
  <c r="AX352" i="1" s="1"/>
  <c r="AT352" i="1"/>
  <c r="AU352" i="1" s="1"/>
  <c r="AS352" i="1"/>
  <c r="BC351" i="1"/>
  <c r="BB351" i="1"/>
  <c r="BA351" i="1"/>
  <c r="AZ351" i="1"/>
  <c r="AY351" i="1"/>
  <c r="AV351" i="1"/>
  <c r="AX351" i="1" s="1"/>
  <c r="AT351" i="1"/>
  <c r="AU351" i="1" s="1"/>
  <c r="AS351" i="1"/>
  <c r="BC350" i="1"/>
  <c r="BB350" i="1"/>
  <c r="BA350" i="1"/>
  <c r="AZ350" i="1"/>
  <c r="AY350" i="1"/>
  <c r="AV350" i="1"/>
  <c r="AW350" i="1" s="1"/>
  <c r="AT350" i="1"/>
  <c r="AU350" i="1" s="1"/>
  <c r="AS350" i="1"/>
  <c r="BC349" i="1"/>
  <c r="BB349" i="1"/>
  <c r="BA349" i="1"/>
  <c r="AZ349" i="1"/>
  <c r="AY349" i="1"/>
  <c r="AV349" i="1"/>
  <c r="AX349" i="1" s="1"/>
  <c r="AT349" i="1"/>
  <c r="AU349" i="1" s="1"/>
  <c r="AS349" i="1"/>
  <c r="BC348" i="1"/>
  <c r="BB348" i="1"/>
  <c r="BA348" i="1"/>
  <c r="AZ348" i="1"/>
  <c r="AY348" i="1"/>
  <c r="AV348" i="1"/>
  <c r="AW348" i="1" s="1"/>
  <c r="AT348" i="1"/>
  <c r="AU348" i="1" s="1"/>
  <c r="AS348" i="1"/>
  <c r="BC347" i="1"/>
  <c r="BB347" i="1"/>
  <c r="BA347" i="1"/>
  <c r="AZ347" i="1"/>
  <c r="AY347" i="1"/>
  <c r="AV347" i="1"/>
  <c r="AW347" i="1" s="1"/>
  <c r="AT347" i="1"/>
  <c r="AU347" i="1" s="1"/>
  <c r="AS347" i="1"/>
  <c r="BC346" i="1"/>
  <c r="BB346" i="1"/>
  <c r="BA346" i="1"/>
  <c r="AZ346" i="1"/>
  <c r="AY346" i="1"/>
  <c r="AV346" i="1"/>
  <c r="AW346" i="1" s="1"/>
  <c r="AT346" i="1"/>
  <c r="AU346" i="1" s="1"/>
  <c r="AS346" i="1"/>
  <c r="BC345" i="1"/>
  <c r="BB345" i="1"/>
  <c r="BA345" i="1"/>
  <c r="AZ345" i="1"/>
  <c r="AY345" i="1"/>
  <c r="AV345" i="1"/>
  <c r="AT345" i="1"/>
  <c r="AU345" i="1" s="1"/>
  <c r="AS345" i="1"/>
  <c r="BC344" i="1"/>
  <c r="BB344" i="1"/>
  <c r="BA344" i="1"/>
  <c r="AZ344" i="1"/>
  <c r="AY344" i="1"/>
  <c r="AV344" i="1"/>
  <c r="AX344" i="1" s="1"/>
  <c r="AT344" i="1"/>
  <c r="AU344" i="1" s="1"/>
  <c r="AS344" i="1"/>
  <c r="BC343" i="1"/>
  <c r="BB343" i="1"/>
  <c r="BA343" i="1"/>
  <c r="AZ343" i="1"/>
  <c r="AY343" i="1"/>
  <c r="AV343" i="1"/>
  <c r="AX343" i="1" s="1"/>
  <c r="AT343" i="1"/>
  <c r="AU343" i="1" s="1"/>
  <c r="AS343" i="1"/>
  <c r="BC342" i="1"/>
  <c r="BB342" i="1"/>
  <c r="BA342" i="1"/>
  <c r="AZ342" i="1"/>
  <c r="AY342" i="1"/>
  <c r="AV342" i="1"/>
  <c r="AT342" i="1"/>
  <c r="AU342" i="1" s="1"/>
  <c r="AS342" i="1"/>
  <c r="BC341" i="1"/>
  <c r="BB341" i="1"/>
  <c r="BA341" i="1"/>
  <c r="AZ341" i="1"/>
  <c r="AY341" i="1"/>
  <c r="AV341" i="1"/>
  <c r="AX341" i="1" s="1"/>
  <c r="AT341" i="1"/>
  <c r="AU341" i="1" s="1"/>
  <c r="AS341" i="1"/>
  <c r="BC340" i="1"/>
  <c r="BB340" i="1"/>
  <c r="BA340" i="1"/>
  <c r="AZ340" i="1"/>
  <c r="AY340" i="1"/>
  <c r="AV340" i="1"/>
  <c r="AX340" i="1" s="1"/>
  <c r="AT340" i="1"/>
  <c r="AU340" i="1" s="1"/>
  <c r="AS340" i="1"/>
  <c r="BC339" i="1"/>
  <c r="BB339" i="1"/>
  <c r="BA339" i="1"/>
  <c r="AZ339" i="1"/>
  <c r="AY339" i="1"/>
  <c r="AV339" i="1"/>
  <c r="AT339" i="1"/>
  <c r="AU339" i="1" s="1"/>
  <c r="AS339" i="1"/>
  <c r="BC338" i="1"/>
  <c r="BB338" i="1"/>
  <c r="BA338" i="1"/>
  <c r="AZ338" i="1"/>
  <c r="AY338" i="1"/>
  <c r="AV338" i="1"/>
  <c r="AW338" i="1" s="1"/>
  <c r="AT338" i="1"/>
  <c r="AU338" i="1" s="1"/>
  <c r="AS338" i="1"/>
  <c r="BC337" i="1"/>
  <c r="BB337" i="1"/>
  <c r="BA337" i="1"/>
  <c r="AZ337" i="1"/>
  <c r="AY337" i="1"/>
  <c r="AV337" i="1"/>
  <c r="AX337" i="1" s="1"/>
  <c r="AT337" i="1"/>
  <c r="AU337" i="1" s="1"/>
  <c r="AS337" i="1"/>
  <c r="BC336" i="1"/>
  <c r="BB336" i="1"/>
  <c r="BA336" i="1"/>
  <c r="AZ336" i="1"/>
  <c r="AY336" i="1"/>
  <c r="AV336" i="1"/>
  <c r="AT336" i="1"/>
  <c r="AU336" i="1" s="1"/>
  <c r="AS336" i="1"/>
  <c r="BC335" i="1"/>
  <c r="BB335" i="1"/>
  <c r="BA335" i="1"/>
  <c r="AZ335" i="1"/>
  <c r="AY335" i="1"/>
  <c r="AV335" i="1"/>
  <c r="AX335" i="1" s="1"/>
  <c r="AT335" i="1"/>
  <c r="AU335" i="1" s="1"/>
  <c r="AS335" i="1"/>
  <c r="BC334" i="1"/>
  <c r="BB334" i="1"/>
  <c r="BA334" i="1"/>
  <c r="AZ334" i="1"/>
  <c r="AY334" i="1"/>
  <c r="AV334" i="1"/>
  <c r="AW334" i="1" s="1"/>
  <c r="AT334" i="1"/>
  <c r="AU334" i="1" s="1"/>
  <c r="AS334" i="1"/>
  <c r="BC333" i="1"/>
  <c r="BB333" i="1"/>
  <c r="BA333" i="1"/>
  <c r="AZ333" i="1"/>
  <c r="AY333" i="1"/>
  <c r="AV333" i="1"/>
  <c r="AX333" i="1" s="1"/>
  <c r="AT333" i="1"/>
  <c r="AU333" i="1" s="1"/>
  <c r="AS333" i="1"/>
  <c r="BC332" i="1"/>
  <c r="BB332" i="1"/>
  <c r="BA332" i="1"/>
  <c r="AZ332" i="1"/>
  <c r="AY332" i="1"/>
  <c r="AV332" i="1"/>
  <c r="AW332" i="1" s="1"/>
  <c r="AT332" i="1"/>
  <c r="AU332" i="1" s="1"/>
  <c r="AS332" i="1"/>
  <c r="BC331" i="1"/>
  <c r="BB331" i="1"/>
  <c r="BA331" i="1"/>
  <c r="AZ331" i="1"/>
  <c r="AY331" i="1"/>
  <c r="AV331" i="1"/>
  <c r="AX331" i="1" s="1"/>
  <c r="AT331" i="1"/>
  <c r="AU331" i="1" s="1"/>
  <c r="AS331" i="1"/>
  <c r="BC330" i="1"/>
  <c r="BB330" i="1"/>
  <c r="BA330" i="1"/>
  <c r="AZ330" i="1"/>
  <c r="AY330" i="1"/>
  <c r="AV330" i="1"/>
  <c r="AT330" i="1"/>
  <c r="AU330" i="1" s="1"/>
  <c r="AS330" i="1"/>
  <c r="BC329" i="1"/>
  <c r="BB329" i="1"/>
  <c r="BA329" i="1"/>
  <c r="AZ329" i="1"/>
  <c r="AY329" i="1"/>
  <c r="AV329" i="1"/>
  <c r="AW329" i="1" s="1"/>
  <c r="AT329" i="1"/>
  <c r="AU329" i="1" s="1"/>
  <c r="AS329" i="1"/>
  <c r="BC328" i="1"/>
  <c r="BB328" i="1"/>
  <c r="BA328" i="1"/>
  <c r="AZ328" i="1"/>
  <c r="AY328" i="1"/>
  <c r="AV328" i="1"/>
  <c r="AX328" i="1" s="1"/>
  <c r="AT328" i="1"/>
  <c r="AU328" i="1" s="1"/>
  <c r="AS328" i="1"/>
  <c r="BC327" i="1"/>
  <c r="BB327" i="1"/>
  <c r="BA327" i="1"/>
  <c r="AZ327" i="1"/>
  <c r="AY327" i="1"/>
  <c r="AV327" i="1"/>
  <c r="AX327" i="1" s="1"/>
  <c r="AT327" i="1"/>
  <c r="AU327" i="1" s="1"/>
  <c r="AS327" i="1"/>
  <c r="BC326" i="1"/>
  <c r="BB326" i="1"/>
  <c r="BA326" i="1"/>
  <c r="AZ326" i="1"/>
  <c r="AY326" i="1"/>
  <c r="AV326" i="1"/>
  <c r="AX326" i="1" s="1"/>
  <c r="AT326" i="1"/>
  <c r="AU326" i="1" s="1"/>
  <c r="AS326" i="1"/>
  <c r="BC325" i="1"/>
  <c r="BB325" i="1"/>
  <c r="BA325" i="1"/>
  <c r="AZ325" i="1"/>
  <c r="AY325" i="1"/>
  <c r="AV325" i="1"/>
  <c r="AT325" i="1"/>
  <c r="AU325" i="1" s="1"/>
  <c r="AS325" i="1"/>
  <c r="BC324" i="1"/>
  <c r="BB324" i="1"/>
  <c r="BA324" i="1"/>
  <c r="AZ324" i="1"/>
  <c r="AY324" i="1"/>
  <c r="AV324" i="1"/>
  <c r="AX324" i="1" s="1"/>
  <c r="AT324" i="1"/>
  <c r="AU324" i="1" s="1"/>
  <c r="AS324" i="1"/>
  <c r="BC323" i="1"/>
  <c r="BB323" i="1"/>
  <c r="BA323" i="1"/>
  <c r="AZ323" i="1"/>
  <c r="AY323" i="1"/>
  <c r="AV323" i="1"/>
  <c r="AW323" i="1" s="1"/>
  <c r="AT323" i="1"/>
  <c r="AU323" i="1" s="1"/>
  <c r="AS323" i="1"/>
  <c r="BC322" i="1"/>
  <c r="BB322" i="1"/>
  <c r="BA322" i="1"/>
  <c r="AZ322" i="1"/>
  <c r="AY322" i="1"/>
  <c r="AV322" i="1"/>
  <c r="AW322" i="1" s="1"/>
  <c r="AT322" i="1"/>
  <c r="AU322" i="1" s="1"/>
  <c r="AS322" i="1"/>
  <c r="BC321" i="1"/>
  <c r="BB321" i="1"/>
  <c r="BA321" i="1"/>
  <c r="AZ321" i="1"/>
  <c r="AY321" i="1"/>
  <c r="AV321" i="1"/>
  <c r="AW321" i="1" s="1"/>
  <c r="AT321" i="1"/>
  <c r="AU321" i="1" s="1"/>
  <c r="AS321" i="1"/>
  <c r="BC320" i="1"/>
  <c r="BB320" i="1"/>
  <c r="BA320" i="1"/>
  <c r="AZ320" i="1"/>
  <c r="AY320" i="1"/>
  <c r="AV320" i="1"/>
  <c r="AW320" i="1" s="1"/>
  <c r="AT320" i="1"/>
  <c r="AU320" i="1" s="1"/>
  <c r="AS320" i="1"/>
  <c r="BC319" i="1"/>
  <c r="BB319" i="1"/>
  <c r="BA319" i="1"/>
  <c r="AZ319" i="1"/>
  <c r="AY319" i="1"/>
  <c r="AV319" i="1"/>
  <c r="AX319" i="1" s="1"/>
  <c r="AT319" i="1"/>
  <c r="AU319" i="1" s="1"/>
  <c r="AS319" i="1"/>
  <c r="BC318" i="1"/>
  <c r="BB318" i="1"/>
  <c r="BA318" i="1"/>
  <c r="AZ318" i="1"/>
  <c r="AY318" i="1"/>
  <c r="AV318" i="1"/>
  <c r="AT318" i="1"/>
  <c r="AU318" i="1" s="1"/>
  <c r="AS318" i="1"/>
  <c r="BC317" i="1"/>
  <c r="BB317" i="1"/>
  <c r="BA317" i="1"/>
  <c r="AZ317" i="1"/>
  <c r="AY317" i="1"/>
  <c r="AV317" i="1"/>
  <c r="AW317" i="1" s="1"/>
  <c r="AT317" i="1"/>
  <c r="AU317" i="1" s="1"/>
  <c r="AS317" i="1"/>
  <c r="BC316" i="1"/>
  <c r="BB316" i="1"/>
  <c r="BA316" i="1"/>
  <c r="AZ316" i="1"/>
  <c r="AY316" i="1"/>
  <c r="AV316" i="1"/>
  <c r="AX316" i="1" s="1"/>
  <c r="AT316" i="1"/>
  <c r="AU316" i="1" s="1"/>
  <c r="AS316" i="1"/>
  <c r="BC315" i="1"/>
  <c r="BB315" i="1"/>
  <c r="BA315" i="1"/>
  <c r="AZ315" i="1"/>
  <c r="AY315" i="1"/>
  <c r="AV315" i="1"/>
  <c r="AX315" i="1" s="1"/>
  <c r="AT315" i="1"/>
  <c r="AU315" i="1" s="1"/>
  <c r="AS315" i="1"/>
  <c r="BC314" i="1"/>
  <c r="BB314" i="1"/>
  <c r="BA314" i="1"/>
  <c r="AZ314" i="1"/>
  <c r="AY314" i="1"/>
  <c r="AV314" i="1"/>
  <c r="AW314" i="1" s="1"/>
  <c r="AT314" i="1"/>
  <c r="AU314" i="1" s="1"/>
  <c r="AS314" i="1"/>
  <c r="BC313" i="1"/>
  <c r="BB313" i="1"/>
  <c r="BA313" i="1"/>
  <c r="AZ313" i="1"/>
  <c r="AY313" i="1"/>
  <c r="AV313" i="1"/>
  <c r="AW313" i="1" s="1"/>
  <c r="AT313" i="1"/>
  <c r="AU313" i="1" s="1"/>
  <c r="AS313" i="1"/>
  <c r="BC312" i="1"/>
  <c r="BB312" i="1"/>
  <c r="BA312" i="1"/>
  <c r="AZ312" i="1"/>
  <c r="AY312" i="1"/>
  <c r="AV312" i="1"/>
  <c r="AT312" i="1"/>
  <c r="AU312" i="1" s="1"/>
  <c r="AS312" i="1"/>
  <c r="BC311" i="1"/>
  <c r="BB311" i="1"/>
  <c r="BA311" i="1"/>
  <c r="AZ311" i="1"/>
  <c r="AY311" i="1"/>
  <c r="AV311" i="1"/>
  <c r="AX311" i="1" s="1"/>
  <c r="AT311" i="1"/>
  <c r="AU311" i="1" s="1"/>
  <c r="AS311" i="1"/>
  <c r="BC310" i="1"/>
  <c r="BB310" i="1"/>
  <c r="BA310" i="1"/>
  <c r="AZ310" i="1"/>
  <c r="AY310" i="1"/>
  <c r="AV310" i="1"/>
  <c r="AT310" i="1"/>
  <c r="AU310" i="1" s="1"/>
  <c r="AS310" i="1"/>
  <c r="BC309" i="1"/>
  <c r="BB309" i="1"/>
  <c r="BA309" i="1"/>
  <c r="AZ309" i="1"/>
  <c r="AY309" i="1"/>
  <c r="AV309" i="1"/>
  <c r="AX309" i="1" s="1"/>
  <c r="AT309" i="1"/>
  <c r="AU309" i="1" s="1"/>
  <c r="AS309" i="1"/>
  <c r="BC308" i="1"/>
  <c r="BB308" i="1"/>
  <c r="BA308" i="1"/>
  <c r="AZ308" i="1"/>
  <c r="AY308" i="1"/>
  <c r="AV308" i="1"/>
  <c r="AX308" i="1" s="1"/>
  <c r="AT308" i="1"/>
  <c r="AU308" i="1" s="1"/>
  <c r="AS308" i="1"/>
  <c r="BC307" i="1"/>
  <c r="BB307" i="1"/>
  <c r="BA307" i="1"/>
  <c r="AZ307" i="1"/>
  <c r="AY307" i="1"/>
  <c r="AV307" i="1"/>
  <c r="AW307" i="1" s="1"/>
  <c r="AT307" i="1"/>
  <c r="AU307" i="1" s="1"/>
  <c r="AS307" i="1"/>
  <c r="BC306" i="1"/>
  <c r="BB306" i="1"/>
  <c r="BA306" i="1"/>
  <c r="AZ306" i="1"/>
  <c r="AY306" i="1"/>
  <c r="AV306" i="1"/>
  <c r="AT306" i="1"/>
  <c r="AU306" i="1" s="1"/>
  <c r="AS306" i="1"/>
  <c r="BC305" i="1"/>
  <c r="BB305" i="1"/>
  <c r="BA305" i="1"/>
  <c r="AZ305" i="1"/>
  <c r="AY305" i="1"/>
  <c r="AV305" i="1"/>
  <c r="AX305" i="1" s="1"/>
  <c r="AU305" i="1"/>
  <c r="AT305" i="1"/>
  <c r="AS305" i="1"/>
  <c r="BC304" i="1"/>
  <c r="BB304" i="1"/>
  <c r="BA304" i="1"/>
  <c r="AZ304" i="1"/>
  <c r="AY304" i="1"/>
  <c r="AX304" i="1"/>
  <c r="AV304" i="1"/>
  <c r="AW304" i="1" s="1"/>
  <c r="AT304" i="1"/>
  <c r="AU304" i="1" s="1"/>
  <c r="AS304" i="1"/>
  <c r="BC303" i="1"/>
  <c r="BB303" i="1"/>
  <c r="BA303" i="1"/>
  <c r="AZ303" i="1"/>
  <c r="AY303" i="1"/>
  <c r="AV303" i="1"/>
  <c r="AX303" i="1" s="1"/>
  <c r="AT303" i="1"/>
  <c r="AU303" i="1" s="1"/>
  <c r="AS303" i="1"/>
  <c r="BC302" i="1"/>
  <c r="BB302" i="1"/>
  <c r="BA302" i="1"/>
  <c r="AZ302" i="1"/>
  <c r="AY302" i="1"/>
  <c r="AV302" i="1"/>
  <c r="AT302" i="1"/>
  <c r="AU302" i="1" s="1"/>
  <c r="AS302" i="1"/>
  <c r="BC301" i="1"/>
  <c r="BB301" i="1"/>
  <c r="BA301" i="1"/>
  <c r="AZ301" i="1"/>
  <c r="AY301" i="1"/>
  <c r="AV301" i="1"/>
  <c r="AT301" i="1"/>
  <c r="AU301" i="1" s="1"/>
  <c r="AS301" i="1"/>
  <c r="BC300" i="1"/>
  <c r="BB300" i="1"/>
  <c r="BA300" i="1"/>
  <c r="AZ300" i="1"/>
  <c r="AY300" i="1"/>
  <c r="AV300" i="1"/>
  <c r="AX300" i="1" s="1"/>
  <c r="AT300" i="1"/>
  <c r="AU300" i="1" s="1"/>
  <c r="AS300" i="1"/>
  <c r="BC299" i="1"/>
  <c r="BB299" i="1"/>
  <c r="BA299" i="1"/>
  <c r="AZ299" i="1"/>
  <c r="AY299" i="1"/>
  <c r="AW299" i="1"/>
  <c r="AV299" i="1"/>
  <c r="AX299" i="1" s="1"/>
  <c r="AT299" i="1"/>
  <c r="AU299" i="1" s="1"/>
  <c r="AS299" i="1"/>
  <c r="BC298" i="1"/>
  <c r="BB298" i="1"/>
  <c r="BA298" i="1"/>
  <c r="AZ298" i="1"/>
  <c r="AY298" i="1"/>
  <c r="AV298" i="1"/>
  <c r="AW298" i="1" s="1"/>
  <c r="AT298" i="1"/>
  <c r="AU298" i="1" s="1"/>
  <c r="AS298" i="1"/>
  <c r="BC297" i="1"/>
  <c r="BB297" i="1"/>
  <c r="BA297" i="1"/>
  <c r="AZ297" i="1"/>
  <c r="AY297" i="1"/>
  <c r="AV297" i="1"/>
  <c r="AT297" i="1"/>
  <c r="AU297" i="1" s="1"/>
  <c r="AS297" i="1"/>
  <c r="BC296" i="1"/>
  <c r="BB296" i="1"/>
  <c r="BA296" i="1"/>
  <c r="AZ296" i="1"/>
  <c r="AY296" i="1"/>
  <c r="AV296" i="1"/>
  <c r="AW296" i="1" s="1"/>
  <c r="AT296" i="1"/>
  <c r="AU296" i="1" s="1"/>
  <c r="AS296" i="1"/>
  <c r="BC295" i="1"/>
  <c r="BB295" i="1"/>
  <c r="BA295" i="1"/>
  <c r="AZ295" i="1"/>
  <c r="AY295" i="1"/>
  <c r="AV295" i="1"/>
  <c r="AX295" i="1" s="1"/>
  <c r="AT295" i="1"/>
  <c r="AU295" i="1" s="1"/>
  <c r="AS295" i="1"/>
  <c r="BC294" i="1"/>
  <c r="BB294" i="1"/>
  <c r="BA294" i="1"/>
  <c r="AZ294" i="1"/>
  <c r="AY294" i="1"/>
  <c r="AV294" i="1"/>
  <c r="AT294" i="1"/>
  <c r="AU294" i="1" s="1"/>
  <c r="AS294" i="1"/>
  <c r="BC293" i="1"/>
  <c r="BB293" i="1"/>
  <c r="BA293" i="1"/>
  <c r="AZ293" i="1"/>
  <c r="AY293" i="1"/>
  <c r="AV293" i="1"/>
  <c r="AX293" i="1" s="1"/>
  <c r="AT293" i="1"/>
  <c r="AU293" i="1" s="1"/>
  <c r="AS293" i="1"/>
  <c r="BC292" i="1"/>
  <c r="BB292" i="1"/>
  <c r="BA292" i="1"/>
  <c r="AZ292" i="1"/>
  <c r="AY292" i="1"/>
  <c r="AV292" i="1"/>
  <c r="AX292" i="1" s="1"/>
  <c r="AT292" i="1"/>
  <c r="AU292" i="1" s="1"/>
  <c r="AS292" i="1"/>
  <c r="BC291" i="1"/>
  <c r="BB291" i="1"/>
  <c r="BA291" i="1"/>
  <c r="AZ291" i="1"/>
  <c r="AY291" i="1"/>
  <c r="AV291" i="1"/>
  <c r="AT291" i="1"/>
  <c r="AU291" i="1" s="1"/>
  <c r="AS291" i="1"/>
  <c r="BC290" i="1"/>
  <c r="BB290" i="1"/>
  <c r="BA290" i="1"/>
  <c r="AZ290" i="1"/>
  <c r="AY290" i="1"/>
  <c r="AV290" i="1"/>
  <c r="AW290" i="1" s="1"/>
  <c r="AT290" i="1"/>
  <c r="AU290" i="1" s="1"/>
  <c r="AS290" i="1"/>
  <c r="BC289" i="1"/>
  <c r="BB289" i="1"/>
  <c r="BA289" i="1"/>
  <c r="AZ289" i="1"/>
  <c r="AY289" i="1"/>
  <c r="AV289" i="1"/>
  <c r="AX289" i="1" s="1"/>
  <c r="AT289" i="1"/>
  <c r="AU289" i="1" s="1"/>
  <c r="AS289" i="1"/>
  <c r="BC288" i="1"/>
  <c r="BB288" i="1"/>
  <c r="BA288" i="1"/>
  <c r="AZ288" i="1"/>
  <c r="AY288" i="1"/>
  <c r="AV288" i="1"/>
  <c r="AW288" i="1" s="1"/>
  <c r="AT288" i="1"/>
  <c r="AU288" i="1" s="1"/>
  <c r="AS288" i="1"/>
  <c r="BC287" i="1"/>
  <c r="BB287" i="1"/>
  <c r="BA287" i="1"/>
  <c r="AZ287" i="1"/>
  <c r="AY287" i="1"/>
  <c r="AV287" i="1"/>
  <c r="AX287" i="1" s="1"/>
  <c r="AT287" i="1"/>
  <c r="AU287" i="1" s="1"/>
  <c r="AS287" i="1"/>
  <c r="BC286" i="1"/>
  <c r="BB286" i="1"/>
  <c r="BA286" i="1"/>
  <c r="AZ286" i="1"/>
  <c r="AY286" i="1"/>
  <c r="AV286" i="1"/>
  <c r="AT286" i="1"/>
  <c r="AU286" i="1" s="1"/>
  <c r="AS286" i="1"/>
  <c r="BC285" i="1"/>
  <c r="BB285" i="1"/>
  <c r="BA285" i="1"/>
  <c r="AZ285" i="1"/>
  <c r="AY285" i="1"/>
  <c r="AV285" i="1"/>
  <c r="AW285" i="1" s="1"/>
  <c r="AT285" i="1"/>
  <c r="AU285" i="1" s="1"/>
  <c r="AS285" i="1"/>
  <c r="BC284" i="1"/>
  <c r="BB284" i="1"/>
  <c r="BA284" i="1"/>
  <c r="AZ284" i="1"/>
  <c r="AY284" i="1"/>
  <c r="AV284" i="1"/>
  <c r="AX284" i="1" s="1"/>
  <c r="AT284" i="1"/>
  <c r="AU284" i="1" s="1"/>
  <c r="AS284" i="1"/>
  <c r="BC283" i="1"/>
  <c r="BB283" i="1"/>
  <c r="BA283" i="1"/>
  <c r="AZ283" i="1"/>
  <c r="AY283" i="1"/>
  <c r="AV283" i="1"/>
  <c r="AX283" i="1" s="1"/>
  <c r="AT283" i="1"/>
  <c r="AU283" i="1" s="1"/>
  <c r="AS283" i="1"/>
  <c r="BC282" i="1"/>
  <c r="BB282" i="1"/>
  <c r="BA282" i="1"/>
  <c r="AZ282" i="1"/>
  <c r="AY282" i="1"/>
  <c r="AV282" i="1"/>
  <c r="AW282" i="1" s="1"/>
  <c r="AT282" i="1"/>
  <c r="AU282" i="1" s="1"/>
  <c r="AS282" i="1"/>
  <c r="BC281" i="1"/>
  <c r="BB281" i="1"/>
  <c r="BA281" i="1"/>
  <c r="AZ281" i="1"/>
  <c r="AY281" i="1"/>
  <c r="AV281" i="1"/>
  <c r="AT281" i="1"/>
  <c r="AU281" i="1" s="1"/>
  <c r="AS281" i="1"/>
  <c r="BC280" i="1"/>
  <c r="BB280" i="1"/>
  <c r="BA280" i="1"/>
  <c r="AZ280" i="1"/>
  <c r="AY280" i="1"/>
  <c r="AV280" i="1"/>
  <c r="AW280" i="1" s="1"/>
  <c r="AT280" i="1"/>
  <c r="AU280" i="1" s="1"/>
  <c r="AS280" i="1"/>
  <c r="BC279" i="1"/>
  <c r="BB279" i="1"/>
  <c r="BA279" i="1"/>
  <c r="AZ279" i="1"/>
  <c r="AY279" i="1"/>
  <c r="AV279" i="1"/>
  <c r="AX279" i="1" s="1"/>
  <c r="AT279" i="1"/>
  <c r="AU279" i="1" s="1"/>
  <c r="AS279" i="1"/>
  <c r="BC278" i="1"/>
  <c r="BB278" i="1"/>
  <c r="BA278" i="1"/>
  <c r="AZ278" i="1"/>
  <c r="AY278" i="1"/>
  <c r="AV278" i="1"/>
  <c r="AT278" i="1"/>
  <c r="AU278" i="1" s="1"/>
  <c r="AS278" i="1"/>
  <c r="BC277" i="1"/>
  <c r="BB277" i="1"/>
  <c r="BA277" i="1"/>
  <c r="AZ277" i="1"/>
  <c r="AY277" i="1"/>
  <c r="AV277" i="1"/>
  <c r="AX277" i="1" s="1"/>
  <c r="AT277" i="1"/>
  <c r="AU277" i="1" s="1"/>
  <c r="AS277" i="1"/>
  <c r="BC276" i="1"/>
  <c r="BB276" i="1"/>
  <c r="BA276" i="1"/>
  <c r="AZ276" i="1"/>
  <c r="AY276" i="1"/>
  <c r="AV276" i="1"/>
  <c r="AX276" i="1" s="1"/>
  <c r="AT276" i="1"/>
  <c r="AU276" i="1" s="1"/>
  <c r="AS276" i="1"/>
  <c r="BC275" i="1"/>
  <c r="BB275" i="1"/>
  <c r="BA275" i="1"/>
  <c r="AZ275" i="1"/>
  <c r="AY275" i="1"/>
  <c r="AV275" i="1"/>
  <c r="AX275" i="1" s="1"/>
  <c r="AT275" i="1"/>
  <c r="AU275" i="1" s="1"/>
  <c r="AS275" i="1"/>
  <c r="BC274" i="1"/>
  <c r="BB274" i="1"/>
  <c r="BA274" i="1"/>
  <c r="AZ274" i="1"/>
  <c r="AY274" i="1"/>
  <c r="AV274" i="1"/>
  <c r="AW274" i="1" s="1"/>
  <c r="AT274" i="1"/>
  <c r="AU274" i="1" s="1"/>
  <c r="AS274" i="1"/>
  <c r="BC273" i="1"/>
  <c r="BB273" i="1"/>
  <c r="BA273" i="1"/>
  <c r="AZ273" i="1"/>
  <c r="AY273" i="1"/>
  <c r="AV273" i="1"/>
  <c r="AX273" i="1" s="1"/>
  <c r="AT273" i="1"/>
  <c r="AU273" i="1" s="1"/>
  <c r="AS273" i="1"/>
  <c r="BC272" i="1"/>
  <c r="BB272" i="1"/>
  <c r="BA272" i="1"/>
  <c r="AZ272" i="1"/>
  <c r="AY272" i="1"/>
  <c r="AV272" i="1"/>
  <c r="AW272" i="1" s="1"/>
  <c r="AT272" i="1"/>
  <c r="AU272" i="1" s="1"/>
  <c r="AS272" i="1"/>
  <c r="BC271" i="1"/>
  <c r="BB271" i="1"/>
  <c r="BA271" i="1"/>
  <c r="AZ271" i="1"/>
  <c r="AY271" i="1"/>
  <c r="AV271" i="1"/>
  <c r="AX271" i="1" s="1"/>
  <c r="AT271" i="1"/>
  <c r="AU271" i="1" s="1"/>
  <c r="AS271" i="1"/>
  <c r="BC270" i="1"/>
  <c r="BB270" i="1"/>
  <c r="BA270" i="1"/>
  <c r="AZ270" i="1"/>
  <c r="AY270" i="1"/>
  <c r="AV270" i="1"/>
  <c r="AT270" i="1"/>
  <c r="AU270" i="1" s="1"/>
  <c r="AS270" i="1"/>
  <c r="BC269" i="1"/>
  <c r="BB269" i="1"/>
  <c r="BA269" i="1"/>
  <c r="AZ269" i="1"/>
  <c r="AY269" i="1"/>
  <c r="AV269" i="1"/>
  <c r="AT269" i="1"/>
  <c r="AU269" i="1" s="1"/>
  <c r="AS269" i="1"/>
  <c r="BC268" i="1"/>
  <c r="BB268" i="1"/>
  <c r="BA268" i="1"/>
  <c r="AZ268" i="1"/>
  <c r="AY268" i="1"/>
  <c r="AV268" i="1"/>
  <c r="AX268" i="1" s="1"/>
  <c r="AT268" i="1"/>
  <c r="AU268" i="1" s="1"/>
  <c r="AS268" i="1"/>
  <c r="BC267" i="1"/>
  <c r="BB267" i="1"/>
  <c r="BA267" i="1"/>
  <c r="AZ267" i="1"/>
  <c r="AY267" i="1"/>
  <c r="AV267" i="1"/>
  <c r="AW267" i="1" s="1"/>
  <c r="AT267" i="1"/>
  <c r="AU267" i="1" s="1"/>
  <c r="AS267" i="1"/>
  <c r="BC266" i="1"/>
  <c r="BB266" i="1"/>
  <c r="BA266" i="1"/>
  <c r="AZ266" i="1"/>
  <c r="AY266" i="1"/>
  <c r="AV266" i="1"/>
  <c r="AW266" i="1" s="1"/>
  <c r="AT266" i="1"/>
  <c r="AU266" i="1" s="1"/>
  <c r="AS266" i="1"/>
  <c r="BC265" i="1"/>
  <c r="BB265" i="1"/>
  <c r="BA265" i="1"/>
  <c r="AZ265" i="1"/>
  <c r="AY265" i="1"/>
  <c r="AV265" i="1"/>
  <c r="AW265" i="1" s="1"/>
  <c r="AT265" i="1"/>
  <c r="AU265" i="1" s="1"/>
  <c r="AS265" i="1"/>
  <c r="BC264" i="1"/>
  <c r="BB264" i="1"/>
  <c r="BA264" i="1"/>
  <c r="AZ264" i="1"/>
  <c r="AY264" i="1"/>
  <c r="AV264" i="1"/>
  <c r="AT264" i="1"/>
  <c r="AU264" i="1" s="1"/>
  <c r="AS264" i="1"/>
  <c r="BC263" i="1"/>
  <c r="BB263" i="1"/>
  <c r="BA263" i="1"/>
  <c r="AZ263" i="1"/>
  <c r="AY263" i="1"/>
  <c r="AV263" i="1"/>
  <c r="AX263" i="1" s="1"/>
  <c r="AT263" i="1"/>
  <c r="AU263" i="1" s="1"/>
  <c r="AS263" i="1"/>
  <c r="BC262" i="1"/>
  <c r="BB262" i="1"/>
  <c r="BA262" i="1"/>
  <c r="AZ262" i="1"/>
  <c r="AY262" i="1"/>
  <c r="AV262" i="1"/>
  <c r="AT262" i="1"/>
  <c r="AU262" i="1" s="1"/>
  <c r="AS262" i="1"/>
  <c r="BC261" i="1"/>
  <c r="BB261" i="1"/>
  <c r="BA261" i="1"/>
  <c r="AZ261" i="1"/>
  <c r="AY261" i="1"/>
  <c r="AV261" i="1"/>
  <c r="AX261" i="1" s="1"/>
  <c r="AT261" i="1"/>
  <c r="AU261" i="1" s="1"/>
  <c r="AS261" i="1"/>
  <c r="BC260" i="1"/>
  <c r="BB260" i="1"/>
  <c r="BA260" i="1"/>
  <c r="AZ260" i="1"/>
  <c r="AY260" i="1"/>
  <c r="AV260" i="1"/>
  <c r="AX260" i="1" s="1"/>
  <c r="AT260" i="1"/>
  <c r="AU260" i="1" s="1"/>
  <c r="AS260" i="1"/>
  <c r="BC259" i="1"/>
  <c r="BB259" i="1"/>
  <c r="BA259" i="1"/>
  <c r="AZ259" i="1"/>
  <c r="AY259" i="1"/>
  <c r="AV259" i="1"/>
  <c r="AX259" i="1" s="1"/>
  <c r="AT259" i="1"/>
  <c r="AU259" i="1" s="1"/>
  <c r="AS259" i="1"/>
  <c r="BC258" i="1"/>
  <c r="BB258" i="1"/>
  <c r="BA258" i="1"/>
  <c r="AZ258" i="1"/>
  <c r="AY258" i="1"/>
  <c r="AV258" i="1"/>
  <c r="AW258" i="1" s="1"/>
  <c r="AT258" i="1"/>
  <c r="AU258" i="1" s="1"/>
  <c r="AS258" i="1"/>
  <c r="BC257" i="1"/>
  <c r="BB257" i="1"/>
  <c r="BA257" i="1"/>
  <c r="AZ257" i="1"/>
  <c r="AY257" i="1"/>
  <c r="AV257" i="1"/>
  <c r="AT257" i="1"/>
  <c r="AU257" i="1" s="1"/>
  <c r="AS257" i="1"/>
  <c r="BC256" i="1"/>
  <c r="BB256" i="1"/>
  <c r="BA256" i="1"/>
  <c r="AZ256" i="1"/>
  <c r="AY256" i="1"/>
  <c r="AV256" i="1"/>
  <c r="AW256" i="1" s="1"/>
  <c r="AT256" i="1"/>
  <c r="AU256" i="1" s="1"/>
  <c r="AS256" i="1"/>
  <c r="BC255" i="1"/>
  <c r="BB255" i="1"/>
  <c r="BA255" i="1"/>
  <c r="AZ255" i="1"/>
  <c r="AY255" i="1"/>
  <c r="AV255" i="1"/>
  <c r="AX255" i="1" s="1"/>
  <c r="AT255" i="1"/>
  <c r="AU255" i="1" s="1"/>
  <c r="AS255" i="1"/>
  <c r="BC254" i="1"/>
  <c r="BB254" i="1"/>
  <c r="BA254" i="1"/>
  <c r="AZ254" i="1"/>
  <c r="AY254" i="1"/>
  <c r="AV254" i="1"/>
  <c r="AT254" i="1"/>
  <c r="AU254" i="1" s="1"/>
  <c r="AS254" i="1"/>
  <c r="BC253" i="1"/>
  <c r="BB253" i="1"/>
  <c r="BA253" i="1"/>
  <c r="AZ253" i="1"/>
  <c r="AY253" i="1"/>
  <c r="AV253" i="1"/>
  <c r="AX253" i="1" s="1"/>
  <c r="AT253" i="1"/>
  <c r="AU253" i="1" s="1"/>
  <c r="AS253" i="1"/>
  <c r="BC252" i="1"/>
  <c r="BB252" i="1"/>
  <c r="BA252" i="1"/>
  <c r="AZ252" i="1"/>
  <c r="AY252" i="1"/>
  <c r="AV252" i="1"/>
  <c r="AX252" i="1" s="1"/>
  <c r="AT252" i="1"/>
  <c r="AU252" i="1" s="1"/>
  <c r="AS252" i="1"/>
  <c r="BC251" i="1"/>
  <c r="BB251" i="1"/>
  <c r="BA251" i="1"/>
  <c r="AZ251" i="1"/>
  <c r="AY251" i="1"/>
  <c r="AV251" i="1"/>
  <c r="AX251" i="1" s="1"/>
  <c r="AT251" i="1"/>
  <c r="AU251" i="1" s="1"/>
  <c r="AS251" i="1"/>
  <c r="BC250" i="1"/>
  <c r="BB250" i="1"/>
  <c r="BA250" i="1"/>
  <c r="AZ250" i="1"/>
  <c r="AY250" i="1"/>
  <c r="AV250" i="1"/>
  <c r="AT250" i="1"/>
  <c r="AU250" i="1" s="1"/>
  <c r="AS250" i="1"/>
  <c r="BC249" i="1"/>
  <c r="BB249" i="1"/>
  <c r="BA249" i="1"/>
  <c r="AZ249" i="1"/>
  <c r="AY249" i="1"/>
  <c r="AV249" i="1"/>
  <c r="AX249" i="1" s="1"/>
  <c r="AT249" i="1"/>
  <c r="AU249" i="1" s="1"/>
  <c r="AS249" i="1"/>
  <c r="BC248" i="1"/>
  <c r="BB248" i="1"/>
  <c r="BA248" i="1"/>
  <c r="AZ248" i="1"/>
  <c r="AY248" i="1"/>
  <c r="AV248" i="1"/>
  <c r="AW248" i="1" s="1"/>
  <c r="AT248" i="1"/>
  <c r="AU248" i="1" s="1"/>
  <c r="AS248" i="1"/>
  <c r="BC247" i="1"/>
  <c r="BB247" i="1"/>
  <c r="BA247" i="1"/>
  <c r="AZ247" i="1"/>
  <c r="AY247" i="1"/>
  <c r="AV247" i="1"/>
  <c r="AX247" i="1" s="1"/>
  <c r="AT247" i="1"/>
  <c r="AU247" i="1" s="1"/>
  <c r="AS247" i="1"/>
  <c r="BC246" i="1"/>
  <c r="BB246" i="1"/>
  <c r="BA246" i="1"/>
  <c r="AZ246" i="1"/>
  <c r="AY246" i="1"/>
  <c r="AV246" i="1"/>
  <c r="AT246" i="1"/>
  <c r="AU246" i="1" s="1"/>
  <c r="AS246" i="1"/>
  <c r="BC245" i="1"/>
  <c r="BB245" i="1"/>
  <c r="BA245" i="1"/>
  <c r="AZ245" i="1"/>
  <c r="AY245" i="1"/>
  <c r="AV245" i="1"/>
  <c r="AW245" i="1" s="1"/>
  <c r="AT245" i="1"/>
  <c r="AU245" i="1" s="1"/>
  <c r="AS245" i="1"/>
  <c r="BC244" i="1"/>
  <c r="BB244" i="1"/>
  <c r="BA244" i="1"/>
  <c r="AZ244" i="1"/>
  <c r="AY244" i="1"/>
  <c r="AV244" i="1"/>
  <c r="AX244" i="1" s="1"/>
  <c r="AT244" i="1"/>
  <c r="AU244" i="1" s="1"/>
  <c r="AS244" i="1"/>
  <c r="BC243" i="1"/>
  <c r="BB243" i="1"/>
  <c r="BA243" i="1"/>
  <c r="AZ243" i="1"/>
  <c r="AY243" i="1"/>
  <c r="AV243" i="1"/>
  <c r="AT243" i="1"/>
  <c r="AU243" i="1" s="1"/>
  <c r="AS243" i="1"/>
  <c r="BC242" i="1"/>
  <c r="BB242" i="1"/>
  <c r="BA242" i="1"/>
  <c r="AZ242" i="1"/>
  <c r="AY242" i="1"/>
  <c r="AV242" i="1"/>
  <c r="AT242" i="1"/>
  <c r="AU242" i="1" s="1"/>
  <c r="AS242" i="1"/>
  <c r="BC241" i="1"/>
  <c r="BB241" i="1"/>
  <c r="BA241" i="1"/>
  <c r="AZ241" i="1"/>
  <c r="AY241" i="1"/>
  <c r="AV241" i="1"/>
  <c r="AX241" i="1" s="1"/>
  <c r="AT241" i="1"/>
  <c r="AU241" i="1" s="1"/>
  <c r="AS241" i="1"/>
  <c r="BC240" i="1"/>
  <c r="BB240" i="1"/>
  <c r="BA240" i="1"/>
  <c r="AZ240" i="1"/>
  <c r="AY240" i="1"/>
  <c r="AV240" i="1"/>
  <c r="AW240" i="1" s="1"/>
  <c r="AT240" i="1"/>
  <c r="AU240" i="1" s="1"/>
  <c r="AS240" i="1"/>
  <c r="BC239" i="1"/>
  <c r="BB239" i="1"/>
  <c r="BA239" i="1"/>
  <c r="AZ239" i="1"/>
  <c r="AY239" i="1"/>
  <c r="AV239" i="1"/>
  <c r="AX239" i="1" s="1"/>
  <c r="AT239" i="1"/>
  <c r="AU239" i="1" s="1"/>
  <c r="AS239" i="1"/>
  <c r="BC238" i="1"/>
  <c r="BB238" i="1"/>
  <c r="BA238" i="1"/>
  <c r="AZ238" i="1"/>
  <c r="AY238" i="1"/>
  <c r="AV238" i="1"/>
  <c r="AT238" i="1"/>
  <c r="AU238" i="1" s="1"/>
  <c r="AS238" i="1"/>
  <c r="BC237" i="1"/>
  <c r="BB237" i="1"/>
  <c r="BA237" i="1"/>
  <c r="AZ237" i="1"/>
  <c r="AY237" i="1"/>
  <c r="AV237" i="1"/>
  <c r="AX237" i="1" s="1"/>
  <c r="AT237" i="1"/>
  <c r="AU237" i="1" s="1"/>
  <c r="AS237" i="1"/>
  <c r="BC236" i="1"/>
  <c r="BB236" i="1"/>
  <c r="BA236" i="1"/>
  <c r="AZ236" i="1"/>
  <c r="AY236" i="1"/>
  <c r="AV236" i="1"/>
  <c r="AX236" i="1" s="1"/>
  <c r="AT236" i="1"/>
  <c r="AU236" i="1" s="1"/>
  <c r="AS236" i="1"/>
  <c r="BC235" i="1"/>
  <c r="BB235" i="1"/>
  <c r="BA235" i="1"/>
  <c r="AZ235" i="1"/>
  <c r="AY235" i="1"/>
  <c r="AV235" i="1"/>
  <c r="AX235" i="1" s="1"/>
  <c r="AT235" i="1"/>
  <c r="AU235" i="1" s="1"/>
  <c r="AS235" i="1"/>
  <c r="BC234" i="1"/>
  <c r="BB234" i="1"/>
  <c r="BA234" i="1"/>
  <c r="AZ234" i="1"/>
  <c r="AY234" i="1"/>
  <c r="AV234" i="1"/>
  <c r="AW234" i="1" s="1"/>
  <c r="AT234" i="1"/>
  <c r="AU234" i="1" s="1"/>
  <c r="AS234" i="1"/>
  <c r="BC233" i="1"/>
  <c r="BB233" i="1"/>
  <c r="BA233" i="1"/>
  <c r="AZ233" i="1"/>
  <c r="AY233" i="1"/>
  <c r="AV233" i="1"/>
  <c r="AX233" i="1" s="1"/>
  <c r="AT233" i="1"/>
  <c r="AU233" i="1" s="1"/>
  <c r="AS233" i="1"/>
  <c r="BC232" i="1"/>
  <c r="BB232" i="1"/>
  <c r="BA232" i="1"/>
  <c r="AZ232" i="1"/>
  <c r="AY232" i="1"/>
  <c r="AV232" i="1"/>
  <c r="AT232" i="1"/>
  <c r="AU232" i="1" s="1"/>
  <c r="AS232" i="1"/>
  <c r="BC231" i="1"/>
  <c r="BB231" i="1"/>
  <c r="BA231" i="1"/>
  <c r="AZ231" i="1"/>
  <c r="AY231" i="1"/>
  <c r="AV231" i="1"/>
  <c r="AX231" i="1" s="1"/>
  <c r="AT231" i="1"/>
  <c r="AU231" i="1" s="1"/>
  <c r="AS231" i="1"/>
  <c r="BC230" i="1"/>
  <c r="BB230" i="1"/>
  <c r="BA230" i="1"/>
  <c r="AZ230" i="1"/>
  <c r="AY230" i="1"/>
  <c r="AV230" i="1"/>
  <c r="AT230" i="1"/>
  <c r="AU230" i="1" s="1"/>
  <c r="AS230" i="1"/>
  <c r="BC229" i="1"/>
  <c r="BB229" i="1"/>
  <c r="BA229" i="1"/>
  <c r="AZ229" i="1"/>
  <c r="AY229" i="1"/>
  <c r="AV229" i="1"/>
  <c r="AW229" i="1" s="1"/>
  <c r="AT229" i="1"/>
  <c r="AU229" i="1" s="1"/>
  <c r="AS229" i="1"/>
  <c r="BC228" i="1"/>
  <c r="BB228" i="1"/>
  <c r="BA228" i="1"/>
  <c r="AZ228" i="1"/>
  <c r="AY228" i="1"/>
  <c r="AV228" i="1"/>
  <c r="AX228" i="1" s="1"/>
  <c r="AT228" i="1"/>
  <c r="AU228" i="1" s="1"/>
  <c r="AS228" i="1"/>
  <c r="BC227" i="1"/>
  <c r="BB227" i="1"/>
  <c r="BA227" i="1"/>
  <c r="AZ227" i="1"/>
  <c r="AY227" i="1"/>
  <c r="AV227" i="1"/>
  <c r="AX227" i="1" s="1"/>
  <c r="AT227" i="1"/>
  <c r="AU227" i="1" s="1"/>
  <c r="AS227" i="1"/>
  <c r="BC226" i="1"/>
  <c r="BB226" i="1"/>
  <c r="BA226" i="1"/>
  <c r="AZ226" i="1"/>
  <c r="AY226" i="1"/>
  <c r="AV226" i="1"/>
  <c r="AT226" i="1"/>
  <c r="AU226" i="1" s="1"/>
  <c r="AS226" i="1"/>
  <c r="BC225" i="1"/>
  <c r="BB225" i="1"/>
  <c r="BA225" i="1"/>
  <c r="AZ225" i="1"/>
  <c r="AY225" i="1"/>
  <c r="AV225" i="1"/>
  <c r="AX225" i="1" s="1"/>
  <c r="AT225" i="1"/>
  <c r="AU225" i="1" s="1"/>
  <c r="AS225" i="1"/>
  <c r="BC224" i="1"/>
  <c r="BB224" i="1"/>
  <c r="BA224" i="1"/>
  <c r="AZ224" i="1"/>
  <c r="AY224" i="1"/>
  <c r="AV224" i="1"/>
  <c r="AW224" i="1" s="1"/>
  <c r="AT224" i="1"/>
  <c r="AU224" i="1" s="1"/>
  <c r="AS224" i="1"/>
  <c r="BC223" i="1"/>
  <c r="BB223" i="1"/>
  <c r="BA223" i="1"/>
  <c r="AZ223" i="1"/>
  <c r="AY223" i="1"/>
  <c r="AV223" i="1"/>
  <c r="AX223" i="1" s="1"/>
  <c r="AT223" i="1"/>
  <c r="AU223" i="1" s="1"/>
  <c r="AS223" i="1"/>
  <c r="BC222" i="1"/>
  <c r="BB222" i="1"/>
  <c r="BA222" i="1"/>
  <c r="AZ222" i="1"/>
  <c r="AY222" i="1"/>
  <c r="AV222" i="1"/>
  <c r="AT222" i="1"/>
  <c r="AU222" i="1" s="1"/>
  <c r="AS222" i="1"/>
  <c r="BC221" i="1"/>
  <c r="BB221" i="1"/>
  <c r="BA221" i="1"/>
  <c r="AZ221" i="1"/>
  <c r="AY221" i="1"/>
  <c r="AV221" i="1"/>
  <c r="AT221" i="1"/>
  <c r="AU221" i="1" s="1"/>
  <c r="AS221" i="1"/>
  <c r="BC220" i="1"/>
  <c r="BB220" i="1"/>
  <c r="BA220" i="1"/>
  <c r="AZ220" i="1"/>
  <c r="AY220" i="1"/>
  <c r="AV220" i="1"/>
  <c r="AX220" i="1" s="1"/>
  <c r="AT220" i="1"/>
  <c r="AU220" i="1" s="1"/>
  <c r="AS220" i="1"/>
  <c r="BC219" i="1"/>
  <c r="BB219" i="1"/>
  <c r="BA219" i="1"/>
  <c r="AZ219" i="1"/>
  <c r="AY219" i="1"/>
  <c r="AV219" i="1"/>
  <c r="AT219" i="1"/>
  <c r="AU219" i="1" s="1"/>
  <c r="AS219" i="1"/>
  <c r="BC218" i="1"/>
  <c r="BB218" i="1"/>
  <c r="BA218" i="1"/>
  <c r="AZ218" i="1"/>
  <c r="AY218" i="1"/>
  <c r="AV218" i="1"/>
  <c r="AT218" i="1"/>
  <c r="AU218" i="1" s="1"/>
  <c r="AS218" i="1"/>
  <c r="BC217" i="1"/>
  <c r="BB217" i="1"/>
  <c r="BA217" i="1"/>
  <c r="AZ217" i="1"/>
  <c r="AY217" i="1"/>
  <c r="AV217" i="1"/>
  <c r="AX217" i="1" s="1"/>
  <c r="AT217" i="1"/>
  <c r="AU217" i="1" s="1"/>
  <c r="AS217" i="1"/>
  <c r="BC216" i="1"/>
  <c r="BB216" i="1"/>
  <c r="BA216" i="1"/>
  <c r="AZ216" i="1"/>
  <c r="AY216" i="1"/>
  <c r="AV216" i="1"/>
  <c r="AW216" i="1" s="1"/>
  <c r="AT216" i="1"/>
  <c r="AU216" i="1" s="1"/>
  <c r="AS216" i="1"/>
  <c r="BC215" i="1"/>
  <c r="BB215" i="1"/>
  <c r="BA215" i="1"/>
  <c r="AZ215" i="1"/>
  <c r="AY215" i="1"/>
  <c r="AV215" i="1"/>
  <c r="AX215" i="1" s="1"/>
  <c r="AT215" i="1"/>
  <c r="AU215" i="1" s="1"/>
  <c r="AS215" i="1"/>
  <c r="BC214" i="1"/>
  <c r="BB214" i="1"/>
  <c r="BA214" i="1"/>
  <c r="AZ214" i="1"/>
  <c r="AY214" i="1"/>
  <c r="AV214" i="1"/>
  <c r="AT214" i="1"/>
  <c r="AU214" i="1" s="1"/>
  <c r="AS214" i="1"/>
  <c r="BC213" i="1"/>
  <c r="BB213" i="1"/>
  <c r="BA213" i="1"/>
  <c r="AZ213" i="1"/>
  <c r="AY213" i="1"/>
  <c r="AV213" i="1"/>
  <c r="AX213" i="1" s="1"/>
  <c r="AT213" i="1"/>
  <c r="AU213" i="1" s="1"/>
  <c r="AS213" i="1"/>
  <c r="BC212" i="1"/>
  <c r="BB212" i="1"/>
  <c r="BA212" i="1"/>
  <c r="AZ212" i="1"/>
  <c r="AY212" i="1"/>
  <c r="AV212" i="1"/>
  <c r="AX212" i="1" s="1"/>
  <c r="AT212" i="1"/>
  <c r="AU212" i="1" s="1"/>
  <c r="AS212" i="1"/>
  <c r="BC211" i="1"/>
  <c r="BB211" i="1"/>
  <c r="BA211" i="1"/>
  <c r="AZ211" i="1"/>
  <c r="AY211" i="1"/>
  <c r="AV211" i="1"/>
  <c r="AX211" i="1" s="1"/>
  <c r="AT211" i="1"/>
  <c r="AU211" i="1" s="1"/>
  <c r="AS211" i="1"/>
  <c r="BC210" i="1"/>
  <c r="BB210" i="1"/>
  <c r="BA210" i="1"/>
  <c r="AZ210" i="1"/>
  <c r="AY210" i="1"/>
  <c r="AV210" i="1"/>
  <c r="AW210" i="1" s="1"/>
  <c r="AT210" i="1"/>
  <c r="AU210" i="1" s="1"/>
  <c r="AS210" i="1"/>
  <c r="BC209" i="1"/>
  <c r="BB209" i="1"/>
  <c r="BA209" i="1"/>
  <c r="AZ209" i="1"/>
  <c r="AY209" i="1"/>
  <c r="AV209" i="1"/>
  <c r="AT209" i="1"/>
  <c r="AU209" i="1" s="1"/>
  <c r="AS209" i="1"/>
  <c r="BC208" i="1"/>
  <c r="BB208" i="1"/>
  <c r="BA208" i="1"/>
  <c r="AZ208" i="1"/>
  <c r="AY208" i="1"/>
  <c r="AV208" i="1"/>
  <c r="AT208" i="1"/>
  <c r="AU208" i="1" s="1"/>
  <c r="AS208" i="1"/>
  <c r="BC207" i="1"/>
  <c r="BB207" i="1"/>
  <c r="BA207" i="1"/>
  <c r="AZ207" i="1"/>
  <c r="AY207" i="1"/>
  <c r="AV207" i="1"/>
  <c r="AW207" i="1" s="1"/>
  <c r="AT207" i="1"/>
  <c r="AU207" i="1" s="1"/>
  <c r="AS207" i="1"/>
  <c r="BC206" i="1"/>
  <c r="BB206" i="1"/>
  <c r="BA206" i="1"/>
  <c r="AZ206" i="1"/>
  <c r="AY206" i="1"/>
  <c r="AV206" i="1"/>
  <c r="AT206" i="1"/>
  <c r="AU206" i="1" s="1"/>
  <c r="AS206" i="1"/>
  <c r="BC205" i="1"/>
  <c r="BB205" i="1"/>
  <c r="BA205" i="1"/>
  <c r="AZ205" i="1"/>
  <c r="AY205" i="1"/>
  <c r="AV205" i="1"/>
  <c r="AX205" i="1" s="1"/>
  <c r="AT205" i="1"/>
  <c r="AU205" i="1" s="1"/>
  <c r="AS205" i="1"/>
  <c r="BC204" i="1"/>
  <c r="BB204" i="1"/>
  <c r="BA204" i="1"/>
  <c r="AZ204" i="1"/>
  <c r="AY204" i="1"/>
  <c r="AV204" i="1"/>
  <c r="AX204" i="1" s="1"/>
  <c r="AT204" i="1"/>
  <c r="AU204" i="1" s="1"/>
  <c r="AS204" i="1"/>
  <c r="BC203" i="1"/>
  <c r="BB203" i="1"/>
  <c r="BA203" i="1"/>
  <c r="AZ203" i="1"/>
  <c r="AY203" i="1"/>
  <c r="AV203" i="1"/>
  <c r="AT203" i="1"/>
  <c r="AU203" i="1" s="1"/>
  <c r="AS203" i="1"/>
  <c r="BC202" i="1"/>
  <c r="BB202" i="1"/>
  <c r="BA202" i="1"/>
  <c r="AZ202" i="1"/>
  <c r="AY202" i="1"/>
  <c r="AV202" i="1"/>
  <c r="AT202" i="1"/>
  <c r="AU202" i="1" s="1"/>
  <c r="AS202" i="1"/>
  <c r="BC201" i="1"/>
  <c r="BB201" i="1"/>
  <c r="BA201" i="1"/>
  <c r="AZ201" i="1"/>
  <c r="AY201" i="1"/>
  <c r="AV201" i="1"/>
  <c r="AX201" i="1" s="1"/>
  <c r="AT201" i="1"/>
  <c r="AU201" i="1" s="1"/>
  <c r="AS201" i="1"/>
  <c r="BC200" i="1"/>
  <c r="BB200" i="1"/>
  <c r="BA200" i="1"/>
  <c r="AZ200" i="1"/>
  <c r="AY200" i="1"/>
  <c r="AV200" i="1"/>
  <c r="AW200" i="1" s="1"/>
  <c r="AT200" i="1"/>
  <c r="AU200" i="1" s="1"/>
  <c r="AS200" i="1"/>
  <c r="BC199" i="1"/>
  <c r="BB199" i="1"/>
  <c r="BA199" i="1"/>
  <c r="AZ199" i="1"/>
  <c r="AY199" i="1"/>
  <c r="AV199" i="1"/>
  <c r="AX199" i="1" s="1"/>
  <c r="AT199" i="1"/>
  <c r="AU199" i="1" s="1"/>
  <c r="AS199" i="1"/>
  <c r="BC198" i="1"/>
  <c r="BB198" i="1"/>
  <c r="BA198" i="1"/>
  <c r="AZ198" i="1"/>
  <c r="AY198" i="1"/>
  <c r="AV198" i="1"/>
  <c r="AT198" i="1"/>
  <c r="AU198" i="1" s="1"/>
  <c r="AS198" i="1"/>
  <c r="BC197" i="1"/>
  <c r="BB197" i="1"/>
  <c r="BA197" i="1"/>
  <c r="AZ197" i="1"/>
  <c r="AY197" i="1"/>
  <c r="AV197" i="1"/>
  <c r="AX197" i="1" s="1"/>
  <c r="AT197" i="1"/>
  <c r="AU197" i="1" s="1"/>
  <c r="AS197" i="1"/>
  <c r="BC196" i="1"/>
  <c r="BB196" i="1"/>
  <c r="BA196" i="1"/>
  <c r="AZ196" i="1"/>
  <c r="AY196" i="1"/>
  <c r="AV196" i="1"/>
  <c r="AX196" i="1" s="1"/>
  <c r="AT196" i="1"/>
  <c r="AU196" i="1" s="1"/>
  <c r="AS196" i="1"/>
  <c r="BC195" i="1"/>
  <c r="BB195" i="1"/>
  <c r="BA195" i="1"/>
  <c r="AZ195" i="1"/>
  <c r="AY195" i="1"/>
  <c r="AV195" i="1"/>
  <c r="AX195" i="1" s="1"/>
  <c r="AT195" i="1"/>
  <c r="AU195" i="1" s="1"/>
  <c r="AS195" i="1"/>
  <c r="BC194" i="1"/>
  <c r="BB194" i="1"/>
  <c r="BA194" i="1"/>
  <c r="AZ194" i="1"/>
  <c r="AY194" i="1"/>
  <c r="AV194" i="1"/>
  <c r="AW194" i="1" s="1"/>
  <c r="AT194" i="1"/>
  <c r="AU194" i="1" s="1"/>
  <c r="AS194" i="1"/>
  <c r="BC193" i="1"/>
  <c r="BB193" i="1"/>
  <c r="BA193" i="1"/>
  <c r="AZ193" i="1"/>
  <c r="AY193" i="1"/>
  <c r="AV193" i="1"/>
  <c r="AX193" i="1" s="1"/>
  <c r="AT193" i="1"/>
  <c r="AU193" i="1" s="1"/>
  <c r="AS193" i="1"/>
  <c r="BC192" i="1"/>
  <c r="BB192" i="1"/>
  <c r="BA192" i="1"/>
  <c r="AZ192" i="1"/>
  <c r="AY192" i="1"/>
  <c r="AV192" i="1"/>
  <c r="AT192" i="1"/>
  <c r="AU192" i="1" s="1"/>
  <c r="AS192" i="1"/>
  <c r="BC191" i="1"/>
  <c r="BB191" i="1"/>
  <c r="BA191" i="1"/>
  <c r="AZ191" i="1"/>
  <c r="AY191" i="1"/>
  <c r="AV191" i="1"/>
  <c r="AW191" i="1" s="1"/>
  <c r="AT191" i="1"/>
  <c r="AU191" i="1" s="1"/>
  <c r="AS191" i="1"/>
  <c r="BC190" i="1"/>
  <c r="BB190" i="1"/>
  <c r="BA190" i="1"/>
  <c r="AZ190" i="1"/>
  <c r="AY190" i="1"/>
  <c r="AV190" i="1"/>
  <c r="AT190" i="1"/>
  <c r="AU190" i="1" s="1"/>
  <c r="AS190" i="1"/>
  <c r="BC189" i="1"/>
  <c r="BB189" i="1"/>
  <c r="BA189" i="1"/>
  <c r="AZ189" i="1"/>
  <c r="AY189" i="1"/>
  <c r="AV189" i="1"/>
  <c r="AX189" i="1" s="1"/>
  <c r="AT189" i="1"/>
  <c r="AU189" i="1" s="1"/>
  <c r="AS189" i="1"/>
  <c r="BC188" i="1"/>
  <c r="BB188" i="1"/>
  <c r="BA188" i="1"/>
  <c r="AZ188" i="1"/>
  <c r="AY188" i="1"/>
  <c r="AV188" i="1"/>
  <c r="AX188" i="1" s="1"/>
  <c r="AT188" i="1"/>
  <c r="AU188" i="1" s="1"/>
  <c r="AS188" i="1"/>
  <c r="BC187" i="1"/>
  <c r="BB187" i="1"/>
  <c r="BA187" i="1"/>
  <c r="AZ187" i="1"/>
  <c r="AY187" i="1"/>
  <c r="AV187" i="1"/>
  <c r="AX187" i="1" s="1"/>
  <c r="AT187" i="1"/>
  <c r="AU187" i="1" s="1"/>
  <c r="AS187" i="1"/>
  <c r="BC186" i="1"/>
  <c r="BB186" i="1"/>
  <c r="BA186" i="1"/>
  <c r="AZ186" i="1"/>
  <c r="AY186" i="1"/>
  <c r="AV186" i="1"/>
  <c r="AW186" i="1" s="1"/>
  <c r="AT186" i="1"/>
  <c r="AU186" i="1" s="1"/>
  <c r="AS186" i="1"/>
  <c r="BC185" i="1"/>
  <c r="BB185" i="1"/>
  <c r="BA185" i="1"/>
  <c r="AZ185" i="1"/>
  <c r="AY185" i="1"/>
  <c r="AV185" i="1"/>
  <c r="AT185" i="1"/>
  <c r="AU185" i="1" s="1"/>
  <c r="AS185" i="1"/>
  <c r="BC184" i="1"/>
  <c r="BB184" i="1"/>
  <c r="BA184" i="1"/>
  <c r="AZ184" i="1"/>
  <c r="AY184" i="1"/>
  <c r="AV184" i="1"/>
  <c r="AT184" i="1"/>
  <c r="AU184" i="1" s="1"/>
  <c r="AS184" i="1"/>
  <c r="BC183" i="1"/>
  <c r="BB183" i="1"/>
  <c r="BA183" i="1"/>
  <c r="AZ183" i="1"/>
  <c r="AY183" i="1"/>
  <c r="AV183" i="1"/>
  <c r="AW183" i="1" s="1"/>
  <c r="AT183" i="1"/>
  <c r="AU183" i="1" s="1"/>
  <c r="AS183" i="1"/>
  <c r="BC182" i="1"/>
  <c r="BB182" i="1"/>
  <c r="BA182" i="1"/>
  <c r="AZ182" i="1"/>
  <c r="AY182" i="1"/>
  <c r="AV182" i="1"/>
  <c r="AT182" i="1"/>
  <c r="AU182" i="1" s="1"/>
  <c r="AS182" i="1"/>
  <c r="BC181" i="1"/>
  <c r="BB181" i="1"/>
  <c r="BA181" i="1"/>
  <c r="AZ181" i="1"/>
  <c r="AY181" i="1"/>
  <c r="AV181" i="1"/>
  <c r="AX181" i="1" s="1"/>
  <c r="AT181" i="1"/>
  <c r="AU181" i="1" s="1"/>
  <c r="AS181" i="1"/>
  <c r="BC180" i="1"/>
  <c r="BB180" i="1"/>
  <c r="BA180" i="1"/>
  <c r="AZ180" i="1"/>
  <c r="AY180" i="1"/>
  <c r="AV180" i="1"/>
  <c r="AX180" i="1" s="1"/>
  <c r="AT180" i="1"/>
  <c r="AU180" i="1" s="1"/>
  <c r="AS180" i="1"/>
  <c r="BC179" i="1"/>
  <c r="BB179" i="1"/>
  <c r="BA179" i="1"/>
  <c r="AZ179" i="1"/>
  <c r="AY179" i="1"/>
  <c r="AV179" i="1"/>
  <c r="AX179" i="1" s="1"/>
  <c r="AT179" i="1"/>
  <c r="AU179" i="1" s="1"/>
  <c r="AS179" i="1"/>
  <c r="BC178" i="1"/>
  <c r="BB178" i="1"/>
  <c r="BA178" i="1"/>
  <c r="AZ178" i="1"/>
  <c r="AY178" i="1"/>
  <c r="AV178" i="1"/>
  <c r="AW178" i="1" s="1"/>
  <c r="AT178" i="1"/>
  <c r="AU178" i="1" s="1"/>
  <c r="AS178" i="1"/>
  <c r="BC177" i="1"/>
  <c r="BB177" i="1"/>
  <c r="BA177" i="1"/>
  <c r="AZ177" i="1"/>
  <c r="AY177" i="1"/>
  <c r="AV177" i="1"/>
  <c r="AX177" i="1" s="1"/>
  <c r="AT177" i="1"/>
  <c r="AU177" i="1" s="1"/>
  <c r="AS177" i="1"/>
  <c r="BC176" i="1"/>
  <c r="BB176" i="1"/>
  <c r="BA176" i="1"/>
  <c r="AZ176" i="1"/>
  <c r="AY176" i="1"/>
  <c r="AV176" i="1"/>
  <c r="AT176" i="1"/>
  <c r="AU176" i="1" s="1"/>
  <c r="AS176" i="1"/>
  <c r="BC175" i="1"/>
  <c r="BB175" i="1"/>
  <c r="BA175" i="1"/>
  <c r="AZ175" i="1"/>
  <c r="AY175" i="1"/>
  <c r="AV175" i="1"/>
  <c r="AW175" i="1" s="1"/>
  <c r="AT175" i="1"/>
  <c r="AU175" i="1" s="1"/>
  <c r="AS175" i="1"/>
  <c r="BC174" i="1"/>
  <c r="BB174" i="1"/>
  <c r="BA174" i="1"/>
  <c r="AZ174" i="1"/>
  <c r="AY174" i="1"/>
  <c r="AV174" i="1"/>
  <c r="AT174" i="1"/>
  <c r="AU174" i="1" s="1"/>
  <c r="AS174" i="1"/>
  <c r="BC173" i="1"/>
  <c r="BB173" i="1"/>
  <c r="BA173" i="1"/>
  <c r="AZ173" i="1"/>
  <c r="AY173" i="1"/>
  <c r="AV173" i="1"/>
  <c r="AT173" i="1"/>
  <c r="AU173" i="1" s="1"/>
  <c r="AS173" i="1"/>
  <c r="BC172" i="1"/>
  <c r="BB172" i="1"/>
  <c r="BA172" i="1"/>
  <c r="AZ172" i="1"/>
  <c r="AY172" i="1"/>
  <c r="AV172" i="1"/>
  <c r="AX172" i="1" s="1"/>
  <c r="AT172" i="1"/>
  <c r="AU172" i="1" s="1"/>
  <c r="AS172" i="1"/>
  <c r="BC171" i="1"/>
  <c r="BB171" i="1"/>
  <c r="BA171" i="1"/>
  <c r="AZ171" i="1"/>
  <c r="AY171" i="1"/>
  <c r="AV171" i="1"/>
  <c r="AX171" i="1" s="1"/>
  <c r="AT171" i="1"/>
  <c r="AU171" i="1" s="1"/>
  <c r="AS171" i="1"/>
  <c r="BC170" i="1"/>
  <c r="BB170" i="1"/>
  <c r="BA170" i="1"/>
  <c r="AZ170" i="1"/>
  <c r="AY170" i="1"/>
  <c r="AV170" i="1"/>
  <c r="AT170" i="1"/>
  <c r="AU170" i="1" s="1"/>
  <c r="AS170" i="1"/>
  <c r="BC169" i="1"/>
  <c r="BB169" i="1"/>
  <c r="BA169" i="1"/>
  <c r="AZ169" i="1"/>
  <c r="AY169" i="1"/>
  <c r="AV169" i="1"/>
  <c r="AX169" i="1" s="1"/>
  <c r="AT169" i="1"/>
  <c r="AU169" i="1" s="1"/>
  <c r="AS169" i="1"/>
  <c r="BC168" i="1"/>
  <c r="BB168" i="1"/>
  <c r="BA168" i="1"/>
  <c r="AZ168" i="1"/>
  <c r="AY168" i="1"/>
  <c r="AV168" i="1"/>
  <c r="AW168" i="1" s="1"/>
  <c r="AT168" i="1"/>
  <c r="AU168" i="1" s="1"/>
  <c r="AS168" i="1"/>
  <c r="BC167" i="1"/>
  <c r="BB167" i="1"/>
  <c r="BA167" i="1"/>
  <c r="AZ167" i="1"/>
  <c r="AY167" i="1"/>
  <c r="AV167" i="1"/>
  <c r="AX167" i="1" s="1"/>
  <c r="AT167" i="1"/>
  <c r="AU167" i="1" s="1"/>
  <c r="AS167" i="1"/>
  <c r="BC166" i="1"/>
  <c r="BB166" i="1"/>
  <c r="BA166" i="1"/>
  <c r="AZ166" i="1"/>
  <c r="AY166" i="1"/>
  <c r="AV166" i="1"/>
  <c r="AT166" i="1"/>
  <c r="AU166" i="1" s="1"/>
  <c r="AS166" i="1"/>
  <c r="BC165" i="1"/>
  <c r="BB165" i="1"/>
  <c r="BA165" i="1"/>
  <c r="AZ165" i="1"/>
  <c r="AY165" i="1"/>
  <c r="AV165" i="1"/>
  <c r="AX165" i="1" s="1"/>
  <c r="AT165" i="1"/>
  <c r="AU165" i="1" s="1"/>
  <c r="AS165" i="1"/>
  <c r="BC164" i="1"/>
  <c r="BB164" i="1"/>
  <c r="BA164" i="1"/>
  <c r="AZ164" i="1"/>
  <c r="AY164" i="1"/>
  <c r="AV164" i="1"/>
  <c r="AX164" i="1" s="1"/>
  <c r="AT164" i="1"/>
  <c r="AU164" i="1" s="1"/>
  <c r="AS164" i="1"/>
  <c r="BC163" i="1"/>
  <c r="BB163" i="1"/>
  <c r="BA163" i="1"/>
  <c r="AZ163" i="1"/>
  <c r="AY163" i="1"/>
  <c r="AV163" i="1"/>
  <c r="AX163" i="1" s="1"/>
  <c r="AT163" i="1"/>
  <c r="AU163" i="1" s="1"/>
  <c r="AS163" i="1"/>
  <c r="BC162" i="1"/>
  <c r="BB162" i="1"/>
  <c r="BA162" i="1"/>
  <c r="AZ162" i="1"/>
  <c r="AY162" i="1"/>
  <c r="AV162" i="1"/>
  <c r="AW162" i="1" s="1"/>
  <c r="AT162" i="1"/>
  <c r="AU162" i="1" s="1"/>
  <c r="AS162" i="1"/>
  <c r="BC161" i="1"/>
  <c r="BB161" i="1"/>
  <c r="BA161" i="1"/>
  <c r="AZ161" i="1"/>
  <c r="AY161" i="1"/>
  <c r="AV161" i="1"/>
  <c r="AT161" i="1"/>
  <c r="AU161" i="1" s="1"/>
  <c r="AS161" i="1"/>
  <c r="BC160" i="1"/>
  <c r="BB160" i="1"/>
  <c r="BA160" i="1"/>
  <c r="AZ160" i="1"/>
  <c r="AY160" i="1"/>
  <c r="AV160" i="1"/>
  <c r="AW160" i="1" s="1"/>
  <c r="AT160" i="1"/>
  <c r="AU160" i="1" s="1"/>
  <c r="AS160" i="1"/>
  <c r="BC159" i="1"/>
  <c r="BB159" i="1"/>
  <c r="BA159" i="1"/>
  <c r="AZ159" i="1"/>
  <c r="AY159" i="1"/>
  <c r="AV159" i="1"/>
  <c r="AT159" i="1"/>
  <c r="AU159" i="1" s="1"/>
  <c r="AS159" i="1"/>
  <c r="BC158" i="1"/>
  <c r="BB158" i="1"/>
  <c r="BA158" i="1"/>
  <c r="AZ158" i="1"/>
  <c r="AY158" i="1"/>
  <c r="AV158" i="1"/>
  <c r="AT158" i="1"/>
  <c r="AU158" i="1" s="1"/>
  <c r="AS158" i="1"/>
  <c r="BC157" i="1"/>
  <c r="BB157" i="1"/>
  <c r="BA157" i="1"/>
  <c r="AZ157" i="1"/>
  <c r="AY157" i="1"/>
  <c r="AV157" i="1"/>
  <c r="AT157" i="1"/>
  <c r="AU157" i="1" s="1"/>
  <c r="AS157" i="1"/>
  <c r="BC156" i="1"/>
  <c r="BB156" i="1"/>
  <c r="BA156" i="1"/>
  <c r="AZ156" i="1"/>
  <c r="AY156" i="1"/>
  <c r="AV156" i="1"/>
  <c r="AX156" i="1" s="1"/>
  <c r="AT156" i="1"/>
  <c r="AU156" i="1" s="1"/>
  <c r="AS156" i="1"/>
  <c r="BC155" i="1"/>
  <c r="BB155" i="1"/>
  <c r="BA155" i="1"/>
  <c r="AZ155" i="1"/>
  <c r="AY155" i="1"/>
  <c r="AV155" i="1"/>
  <c r="AT155" i="1"/>
  <c r="AU155" i="1" s="1"/>
  <c r="AS155" i="1"/>
  <c r="BC154" i="1"/>
  <c r="BB154" i="1"/>
  <c r="BA154" i="1"/>
  <c r="AZ154" i="1"/>
  <c r="AY154" i="1"/>
  <c r="AV154" i="1"/>
  <c r="AW154" i="1" s="1"/>
  <c r="AT154" i="1"/>
  <c r="AU154" i="1" s="1"/>
  <c r="AS154" i="1"/>
  <c r="BC153" i="1"/>
  <c r="BB153" i="1"/>
  <c r="BA153" i="1"/>
  <c r="AZ153" i="1"/>
  <c r="AY153" i="1"/>
  <c r="AV153" i="1"/>
  <c r="AX153" i="1" s="1"/>
  <c r="AT153" i="1"/>
  <c r="AU153" i="1" s="1"/>
  <c r="AS153" i="1"/>
  <c r="BC152" i="1"/>
  <c r="BB152" i="1"/>
  <c r="BA152" i="1"/>
  <c r="AZ152" i="1"/>
  <c r="AY152" i="1"/>
  <c r="AV152" i="1"/>
  <c r="AW152" i="1" s="1"/>
  <c r="AT152" i="1"/>
  <c r="AU152" i="1" s="1"/>
  <c r="AS152" i="1"/>
  <c r="BC151" i="1"/>
  <c r="BB151" i="1"/>
  <c r="BA151" i="1"/>
  <c r="AZ151" i="1"/>
  <c r="AY151" i="1"/>
  <c r="AV151" i="1"/>
  <c r="AX151" i="1" s="1"/>
  <c r="AT151" i="1"/>
  <c r="AU151" i="1" s="1"/>
  <c r="AS151" i="1"/>
  <c r="BC150" i="1"/>
  <c r="BB150" i="1"/>
  <c r="BA150" i="1"/>
  <c r="AZ150" i="1"/>
  <c r="AY150" i="1"/>
  <c r="AV150" i="1"/>
  <c r="AT150" i="1"/>
  <c r="AU150" i="1" s="1"/>
  <c r="AS150" i="1"/>
  <c r="BC149" i="1"/>
  <c r="BB149" i="1"/>
  <c r="BA149" i="1"/>
  <c r="AZ149" i="1"/>
  <c r="AY149" i="1"/>
  <c r="AV149" i="1"/>
  <c r="AX149" i="1" s="1"/>
  <c r="AT149" i="1"/>
  <c r="AU149" i="1" s="1"/>
  <c r="AS149" i="1"/>
  <c r="BC148" i="1"/>
  <c r="BB148" i="1"/>
  <c r="BA148" i="1"/>
  <c r="AZ148" i="1"/>
  <c r="AY148" i="1"/>
  <c r="AV148" i="1"/>
  <c r="AX148" i="1" s="1"/>
  <c r="AT148" i="1"/>
  <c r="AU148" i="1" s="1"/>
  <c r="AS148" i="1"/>
  <c r="BC147" i="1"/>
  <c r="BB147" i="1"/>
  <c r="BA147" i="1"/>
  <c r="AZ147" i="1"/>
  <c r="AY147" i="1"/>
  <c r="AV147" i="1"/>
  <c r="AX147" i="1" s="1"/>
  <c r="AT147" i="1"/>
  <c r="AU147" i="1" s="1"/>
  <c r="AS147" i="1"/>
  <c r="BC146" i="1"/>
  <c r="BB146" i="1"/>
  <c r="BA146" i="1"/>
  <c r="AZ146" i="1"/>
  <c r="AY146" i="1"/>
  <c r="AV146" i="1"/>
  <c r="AW146" i="1" s="1"/>
  <c r="AT146" i="1"/>
  <c r="AU146" i="1" s="1"/>
  <c r="AS146" i="1"/>
  <c r="BC145" i="1"/>
  <c r="BB145" i="1"/>
  <c r="BA145" i="1"/>
  <c r="AZ145" i="1"/>
  <c r="AY145" i="1"/>
  <c r="AV145" i="1"/>
  <c r="AT145" i="1"/>
  <c r="AU145" i="1" s="1"/>
  <c r="AS145" i="1"/>
  <c r="BC144" i="1"/>
  <c r="BB144" i="1"/>
  <c r="BA144" i="1"/>
  <c r="AZ144" i="1"/>
  <c r="AY144" i="1"/>
  <c r="AV144" i="1"/>
  <c r="AT144" i="1"/>
  <c r="AU144" i="1" s="1"/>
  <c r="AS144" i="1"/>
  <c r="BC143" i="1"/>
  <c r="BB143" i="1"/>
  <c r="BA143" i="1"/>
  <c r="AZ143" i="1"/>
  <c r="AY143" i="1"/>
  <c r="AV143" i="1"/>
  <c r="AW143" i="1" s="1"/>
  <c r="AT143" i="1"/>
  <c r="AU143" i="1" s="1"/>
  <c r="AS143" i="1"/>
  <c r="BC142" i="1"/>
  <c r="BB142" i="1"/>
  <c r="BA142" i="1"/>
  <c r="AZ142" i="1"/>
  <c r="AY142" i="1"/>
  <c r="AV142" i="1"/>
  <c r="AT142" i="1"/>
  <c r="AU142" i="1" s="1"/>
  <c r="AS142" i="1"/>
  <c r="BC141" i="1"/>
  <c r="BB141" i="1"/>
  <c r="BA141" i="1"/>
  <c r="AZ141" i="1"/>
  <c r="AY141" i="1"/>
  <c r="AV141" i="1"/>
  <c r="AT141" i="1"/>
  <c r="AU141" i="1" s="1"/>
  <c r="AS141" i="1"/>
  <c r="BC140" i="1"/>
  <c r="BB140" i="1"/>
  <c r="BA140" i="1"/>
  <c r="AZ140" i="1"/>
  <c r="AY140" i="1"/>
  <c r="AV140" i="1"/>
  <c r="AX140" i="1" s="1"/>
  <c r="AT140" i="1"/>
  <c r="AU140" i="1" s="1"/>
  <c r="AS140" i="1"/>
  <c r="BC139" i="1"/>
  <c r="BB139" i="1"/>
  <c r="BA139" i="1"/>
  <c r="AZ139" i="1"/>
  <c r="AY139" i="1"/>
  <c r="AV139" i="1"/>
  <c r="AT139" i="1"/>
  <c r="AU139" i="1" s="1"/>
  <c r="AS139" i="1"/>
  <c r="BC138" i="1"/>
  <c r="BB138" i="1"/>
  <c r="BA138" i="1"/>
  <c r="AZ138" i="1"/>
  <c r="AY138" i="1"/>
  <c r="AV138" i="1"/>
  <c r="AT138" i="1"/>
  <c r="AU138" i="1" s="1"/>
  <c r="AS138" i="1"/>
  <c r="BC137" i="1"/>
  <c r="BB137" i="1"/>
  <c r="BA137" i="1"/>
  <c r="AZ137" i="1"/>
  <c r="AY137" i="1"/>
  <c r="AV137" i="1"/>
  <c r="AX137" i="1" s="1"/>
  <c r="AT137" i="1"/>
  <c r="AU137" i="1" s="1"/>
  <c r="AS137" i="1"/>
  <c r="BC136" i="1"/>
  <c r="BB136" i="1"/>
  <c r="BA136" i="1"/>
  <c r="AZ136" i="1"/>
  <c r="AY136" i="1"/>
  <c r="AV136" i="1"/>
  <c r="AW136" i="1" s="1"/>
  <c r="AT136" i="1"/>
  <c r="AU136" i="1" s="1"/>
  <c r="AS136" i="1"/>
  <c r="BC135" i="1"/>
  <c r="BB135" i="1"/>
  <c r="BA135" i="1"/>
  <c r="AZ135" i="1"/>
  <c r="AY135" i="1"/>
  <c r="AV135" i="1"/>
  <c r="AX135" i="1" s="1"/>
  <c r="AT135" i="1"/>
  <c r="AU135" i="1" s="1"/>
  <c r="AS135" i="1"/>
  <c r="BC134" i="1"/>
  <c r="BB134" i="1"/>
  <c r="BA134" i="1"/>
  <c r="AZ134" i="1"/>
  <c r="AY134" i="1"/>
  <c r="AV134" i="1"/>
  <c r="AT134" i="1"/>
  <c r="AU134" i="1" s="1"/>
  <c r="AS134" i="1"/>
  <c r="BC133" i="1"/>
  <c r="BB133" i="1"/>
  <c r="BA133" i="1"/>
  <c r="AZ133" i="1"/>
  <c r="AY133" i="1"/>
  <c r="AV133" i="1"/>
  <c r="AX133" i="1" s="1"/>
  <c r="AT133" i="1"/>
  <c r="AU133" i="1" s="1"/>
  <c r="AS133" i="1"/>
  <c r="BC132" i="1"/>
  <c r="BB132" i="1"/>
  <c r="BA132" i="1"/>
  <c r="AZ132" i="1"/>
  <c r="AY132" i="1"/>
  <c r="AV132" i="1"/>
  <c r="AX132" i="1" s="1"/>
  <c r="AT132" i="1"/>
  <c r="AU132" i="1" s="1"/>
  <c r="AS132" i="1"/>
  <c r="BC131" i="1"/>
  <c r="BB131" i="1"/>
  <c r="BA131" i="1"/>
  <c r="AZ131" i="1"/>
  <c r="AY131" i="1"/>
  <c r="AW131" i="1"/>
  <c r="AV131" i="1"/>
  <c r="AX131" i="1" s="1"/>
  <c r="AT131" i="1"/>
  <c r="AU131" i="1" s="1"/>
  <c r="AS131" i="1"/>
  <c r="BC130" i="1"/>
  <c r="BB130" i="1"/>
  <c r="BA130" i="1"/>
  <c r="AZ130" i="1"/>
  <c r="AY130" i="1"/>
  <c r="AV130" i="1"/>
  <c r="AW130" i="1" s="1"/>
  <c r="AT130" i="1"/>
  <c r="AU130" i="1" s="1"/>
  <c r="AS130" i="1"/>
  <c r="BC129" i="1"/>
  <c r="BB129" i="1"/>
  <c r="BA129" i="1"/>
  <c r="AZ129" i="1"/>
  <c r="AY129" i="1"/>
  <c r="AV129" i="1"/>
  <c r="AT129" i="1"/>
  <c r="AU129" i="1" s="1"/>
  <c r="AS129" i="1"/>
  <c r="BC128" i="1"/>
  <c r="BB128" i="1"/>
  <c r="BA128" i="1"/>
  <c r="AZ128" i="1"/>
  <c r="AY128" i="1"/>
  <c r="AV128" i="1"/>
  <c r="AT128" i="1"/>
  <c r="AU128" i="1" s="1"/>
  <c r="AS128" i="1"/>
  <c r="BC127" i="1"/>
  <c r="BB127" i="1"/>
  <c r="BA127" i="1"/>
  <c r="AZ127" i="1"/>
  <c r="AY127" i="1"/>
  <c r="AV127" i="1"/>
  <c r="AW127" i="1" s="1"/>
  <c r="AT127" i="1"/>
  <c r="AU127" i="1" s="1"/>
  <c r="AS127" i="1"/>
  <c r="BC126" i="1"/>
  <c r="BB126" i="1"/>
  <c r="BA126" i="1"/>
  <c r="AZ126" i="1"/>
  <c r="AY126" i="1"/>
  <c r="AV126" i="1"/>
  <c r="AT126" i="1"/>
  <c r="AU126" i="1" s="1"/>
  <c r="AS126" i="1"/>
  <c r="BC125" i="1"/>
  <c r="BB125" i="1"/>
  <c r="BA125" i="1"/>
  <c r="AZ125" i="1"/>
  <c r="AY125" i="1"/>
  <c r="AV125" i="1"/>
  <c r="AX125" i="1" s="1"/>
  <c r="AT125" i="1"/>
  <c r="AU125" i="1" s="1"/>
  <c r="AS125" i="1"/>
  <c r="BC124" i="1"/>
  <c r="BB124" i="1"/>
  <c r="BA124" i="1"/>
  <c r="AZ124" i="1"/>
  <c r="AY124" i="1"/>
  <c r="AV124" i="1"/>
  <c r="AX124" i="1" s="1"/>
  <c r="AT124" i="1"/>
  <c r="AU124" i="1" s="1"/>
  <c r="AS124" i="1"/>
  <c r="BC123" i="1"/>
  <c r="BB123" i="1"/>
  <c r="BA123" i="1"/>
  <c r="AZ123" i="1"/>
  <c r="AY123" i="1"/>
  <c r="AV123" i="1"/>
  <c r="AT123" i="1"/>
  <c r="AU123" i="1" s="1"/>
  <c r="AS123" i="1"/>
  <c r="BC122" i="1"/>
  <c r="BB122" i="1"/>
  <c r="BA122" i="1"/>
  <c r="AZ122" i="1"/>
  <c r="AY122" i="1"/>
  <c r="AV122" i="1"/>
  <c r="AT122" i="1"/>
  <c r="AU122" i="1" s="1"/>
  <c r="AS122" i="1"/>
  <c r="BC121" i="1"/>
  <c r="BB121" i="1"/>
  <c r="BA121" i="1"/>
  <c r="AZ121" i="1"/>
  <c r="AY121" i="1"/>
  <c r="AV121" i="1"/>
  <c r="AX121" i="1" s="1"/>
  <c r="AT121" i="1"/>
  <c r="AU121" i="1" s="1"/>
  <c r="AS121" i="1"/>
  <c r="BC120" i="1"/>
  <c r="BB120" i="1"/>
  <c r="BA120" i="1"/>
  <c r="AZ120" i="1"/>
  <c r="AY120" i="1"/>
  <c r="AV120" i="1"/>
  <c r="AW120" i="1" s="1"/>
  <c r="AT120" i="1"/>
  <c r="AU120" i="1" s="1"/>
  <c r="AS120" i="1"/>
  <c r="BC119" i="1"/>
  <c r="BB119" i="1"/>
  <c r="BA119" i="1"/>
  <c r="AZ119" i="1"/>
  <c r="AY119" i="1"/>
  <c r="AV119" i="1"/>
  <c r="AW119" i="1" s="1"/>
  <c r="AT119" i="1"/>
  <c r="AU119" i="1" s="1"/>
  <c r="AS119" i="1"/>
  <c r="BC118" i="1"/>
  <c r="BB118" i="1"/>
  <c r="BA118" i="1"/>
  <c r="AZ118" i="1"/>
  <c r="AY118" i="1"/>
  <c r="AV118" i="1"/>
  <c r="AT118" i="1"/>
  <c r="AU118" i="1" s="1"/>
  <c r="AS118" i="1"/>
  <c r="BC117" i="1"/>
  <c r="BB117" i="1"/>
  <c r="BA117" i="1"/>
  <c r="AZ117" i="1"/>
  <c r="AY117" i="1"/>
  <c r="AV117" i="1"/>
  <c r="AT117" i="1"/>
  <c r="AU117" i="1" s="1"/>
  <c r="AS117" i="1"/>
  <c r="BC116" i="1"/>
  <c r="BB116" i="1"/>
  <c r="BA116" i="1"/>
  <c r="AZ116" i="1"/>
  <c r="AY116" i="1"/>
  <c r="AV116" i="1"/>
  <c r="AX116" i="1" s="1"/>
  <c r="AT116" i="1"/>
  <c r="AU116" i="1" s="1"/>
  <c r="AS116" i="1"/>
  <c r="BC115" i="1"/>
  <c r="BB115" i="1"/>
  <c r="BA115" i="1"/>
  <c r="AZ115" i="1"/>
  <c r="AY115" i="1"/>
  <c r="AV115" i="1"/>
  <c r="AT115" i="1"/>
  <c r="AU115" i="1" s="1"/>
  <c r="AS115" i="1"/>
  <c r="BC114" i="1"/>
  <c r="BB114" i="1"/>
  <c r="BA114" i="1"/>
  <c r="AZ114" i="1"/>
  <c r="AY114" i="1"/>
  <c r="AV114" i="1"/>
  <c r="AT114" i="1"/>
  <c r="AU114" i="1" s="1"/>
  <c r="AS114" i="1"/>
  <c r="BC113" i="1"/>
  <c r="BB113" i="1"/>
  <c r="BA113" i="1"/>
  <c r="AZ113" i="1"/>
  <c r="AY113" i="1"/>
  <c r="AV113" i="1"/>
  <c r="AX113" i="1" s="1"/>
  <c r="AT113" i="1"/>
  <c r="AU113" i="1" s="1"/>
  <c r="AS113" i="1"/>
  <c r="BC112" i="1"/>
  <c r="BB112" i="1"/>
  <c r="BA112" i="1"/>
  <c r="AZ112" i="1"/>
  <c r="AY112" i="1"/>
  <c r="AV112" i="1"/>
  <c r="AW112" i="1" s="1"/>
  <c r="AT112" i="1"/>
  <c r="AU112" i="1" s="1"/>
  <c r="AS112" i="1"/>
  <c r="BC111" i="1"/>
  <c r="BB111" i="1"/>
  <c r="BA111" i="1"/>
  <c r="AZ111" i="1"/>
  <c r="AY111" i="1"/>
  <c r="AV111" i="1"/>
  <c r="AX111" i="1" s="1"/>
  <c r="AT111" i="1"/>
  <c r="AU111" i="1" s="1"/>
  <c r="AS111" i="1"/>
  <c r="BC110" i="1"/>
  <c r="BB110" i="1"/>
  <c r="BA110" i="1"/>
  <c r="AZ110" i="1"/>
  <c r="AY110" i="1"/>
  <c r="AV110" i="1"/>
  <c r="AW110" i="1" s="1"/>
  <c r="AT110" i="1"/>
  <c r="AU110" i="1" s="1"/>
  <c r="AS110" i="1"/>
  <c r="BC109" i="1"/>
  <c r="BB109" i="1"/>
  <c r="BA109" i="1"/>
  <c r="AZ109" i="1"/>
  <c r="AY109" i="1"/>
  <c r="AV109" i="1"/>
  <c r="AT109" i="1"/>
  <c r="AU109" i="1" s="1"/>
  <c r="AS109" i="1"/>
  <c r="BC108" i="1"/>
  <c r="BB108" i="1"/>
  <c r="BA108" i="1"/>
  <c r="AZ108" i="1"/>
  <c r="AY108" i="1"/>
  <c r="AV108" i="1"/>
  <c r="AT108" i="1"/>
  <c r="AU108" i="1" s="1"/>
  <c r="AS108" i="1"/>
  <c r="BC107" i="1"/>
  <c r="BB107" i="1"/>
  <c r="BA107" i="1"/>
  <c r="AZ107" i="1"/>
  <c r="AY107" i="1"/>
  <c r="AV107" i="1"/>
  <c r="AX107" i="1" s="1"/>
  <c r="AT107" i="1"/>
  <c r="AU107" i="1" s="1"/>
  <c r="AS107" i="1"/>
  <c r="BC106" i="1"/>
  <c r="BB106" i="1"/>
  <c r="BA106" i="1"/>
  <c r="AZ106" i="1"/>
  <c r="AY106" i="1"/>
  <c r="AV106" i="1"/>
  <c r="AT106" i="1"/>
  <c r="AU106" i="1" s="1"/>
  <c r="AS106" i="1"/>
  <c r="BC105" i="1"/>
  <c r="BB105" i="1"/>
  <c r="BA105" i="1"/>
  <c r="AZ105" i="1"/>
  <c r="AY105" i="1"/>
  <c r="AV105" i="1"/>
  <c r="AX105" i="1" s="1"/>
  <c r="AT105" i="1"/>
  <c r="AU105" i="1" s="1"/>
  <c r="AS105" i="1"/>
  <c r="BC104" i="1"/>
  <c r="BB104" i="1"/>
  <c r="BA104" i="1"/>
  <c r="AZ104" i="1"/>
  <c r="AY104" i="1"/>
  <c r="AV104" i="1"/>
  <c r="AW104" i="1" s="1"/>
  <c r="AT104" i="1"/>
  <c r="AU104" i="1" s="1"/>
  <c r="AS104" i="1"/>
  <c r="BC103" i="1"/>
  <c r="BB103" i="1"/>
  <c r="BA103" i="1"/>
  <c r="AZ103" i="1"/>
  <c r="AY103" i="1"/>
  <c r="AV103" i="1"/>
  <c r="AX103" i="1" s="1"/>
  <c r="AT103" i="1"/>
  <c r="AU103" i="1" s="1"/>
  <c r="AS103" i="1"/>
  <c r="BC102" i="1"/>
  <c r="BB102" i="1"/>
  <c r="BA102" i="1"/>
  <c r="AZ102" i="1"/>
  <c r="AY102" i="1"/>
  <c r="AV102" i="1"/>
  <c r="AW102" i="1" s="1"/>
  <c r="AT102" i="1"/>
  <c r="AU102" i="1" s="1"/>
  <c r="AS102" i="1"/>
  <c r="BC101" i="1"/>
  <c r="BB101" i="1"/>
  <c r="BA101" i="1"/>
  <c r="AZ101" i="1"/>
  <c r="AY101" i="1"/>
  <c r="AV101" i="1"/>
  <c r="AT101" i="1"/>
  <c r="AU101" i="1" s="1"/>
  <c r="AS101" i="1"/>
  <c r="BC100" i="1"/>
  <c r="BB100" i="1"/>
  <c r="BA100" i="1"/>
  <c r="AZ100" i="1"/>
  <c r="AY100" i="1"/>
  <c r="AV100" i="1"/>
  <c r="AT100" i="1"/>
  <c r="AU100" i="1" s="1"/>
  <c r="AS100" i="1"/>
  <c r="BC99" i="1"/>
  <c r="BB99" i="1"/>
  <c r="BA99" i="1"/>
  <c r="AZ99" i="1"/>
  <c r="AY99" i="1"/>
  <c r="AV99" i="1"/>
  <c r="AT99" i="1"/>
  <c r="AU99" i="1" s="1"/>
  <c r="AS99" i="1"/>
  <c r="BC98" i="1"/>
  <c r="BB98" i="1"/>
  <c r="BA98" i="1"/>
  <c r="AZ98" i="1"/>
  <c r="AY98" i="1"/>
  <c r="AV98" i="1"/>
  <c r="AT98" i="1"/>
  <c r="AU98" i="1" s="1"/>
  <c r="AS98" i="1"/>
  <c r="BC97" i="1"/>
  <c r="BB97" i="1"/>
  <c r="BA97" i="1"/>
  <c r="AZ97" i="1"/>
  <c r="AY97" i="1"/>
  <c r="AV97" i="1"/>
  <c r="AX97" i="1" s="1"/>
  <c r="AT97" i="1"/>
  <c r="AU97" i="1" s="1"/>
  <c r="AS97" i="1"/>
  <c r="BC96" i="1"/>
  <c r="BB96" i="1"/>
  <c r="BA96" i="1"/>
  <c r="AZ96" i="1"/>
  <c r="AY96" i="1"/>
  <c r="AV96" i="1"/>
  <c r="AX96" i="1" s="1"/>
  <c r="AT96" i="1"/>
  <c r="AU96" i="1" s="1"/>
  <c r="AS96" i="1"/>
  <c r="BC95" i="1"/>
  <c r="BB95" i="1"/>
  <c r="BA95" i="1"/>
  <c r="AZ95" i="1"/>
  <c r="AY95" i="1"/>
  <c r="AV95" i="1"/>
  <c r="AX95" i="1" s="1"/>
  <c r="AT95" i="1"/>
  <c r="AU95" i="1" s="1"/>
  <c r="AS95" i="1"/>
  <c r="BC94" i="1"/>
  <c r="BB94" i="1"/>
  <c r="BA94" i="1"/>
  <c r="AZ94" i="1"/>
  <c r="AY94" i="1"/>
  <c r="AV94" i="1"/>
  <c r="AW94" i="1" s="1"/>
  <c r="AT94" i="1"/>
  <c r="AU94" i="1" s="1"/>
  <c r="AS94" i="1"/>
  <c r="BC93" i="1"/>
  <c r="BB93" i="1"/>
  <c r="BA93" i="1"/>
  <c r="AZ93" i="1"/>
  <c r="AY93" i="1"/>
  <c r="AV93" i="1"/>
  <c r="AT93" i="1"/>
  <c r="AU93" i="1" s="1"/>
  <c r="AS93" i="1"/>
  <c r="BC92" i="1"/>
  <c r="BB92" i="1"/>
  <c r="BA92" i="1"/>
  <c r="AZ92" i="1"/>
  <c r="AY92" i="1"/>
  <c r="AV92" i="1"/>
  <c r="AW92" i="1" s="1"/>
  <c r="AT92" i="1"/>
  <c r="AU92" i="1" s="1"/>
  <c r="AS92" i="1"/>
  <c r="BC91" i="1"/>
  <c r="BB91" i="1"/>
  <c r="BA91" i="1"/>
  <c r="AZ91" i="1"/>
  <c r="AY91" i="1"/>
  <c r="AV91" i="1"/>
  <c r="AX91" i="1" s="1"/>
  <c r="AT91" i="1"/>
  <c r="AU91" i="1" s="1"/>
  <c r="AS91" i="1"/>
  <c r="BC90" i="1"/>
  <c r="BB90" i="1"/>
  <c r="BA90" i="1"/>
  <c r="AZ90" i="1"/>
  <c r="AY90" i="1"/>
  <c r="AV90" i="1"/>
  <c r="AT90" i="1"/>
  <c r="AU90" i="1" s="1"/>
  <c r="AS90" i="1"/>
  <c r="BC89" i="1"/>
  <c r="BB89" i="1"/>
  <c r="BA89" i="1"/>
  <c r="AZ89" i="1"/>
  <c r="AY89" i="1"/>
  <c r="AV89" i="1"/>
  <c r="AT89" i="1"/>
  <c r="AU89" i="1" s="1"/>
  <c r="AS89" i="1"/>
  <c r="BC88" i="1"/>
  <c r="BB88" i="1"/>
  <c r="BA88" i="1"/>
  <c r="AZ88" i="1"/>
  <c r="AY88" i="1"/>
  <c r="AV88" i="1"/>
  <c r="AX88" i="1" s="1"/>
  <c r="AT88" i="1"/>
  <c r="AU88" i="1" s="1"/>
  <c r="AS88" i="1"/>
  <c r="BC87" i="1"/>
  <c r="BB87" i="1"/>
  <c r="BA87" i="1"/>
  <c r="AZ87" i="1"/>
  <c r="AY87" i="1"/>
  <c r="AV87" i="1"/>
  <c r="AW87" i="1" s="1"/>
  <c r="AT87" i="1"/>
  <c r="AU87" i="1" s="1"/>
  <c r="AS87" i="1"/>
  <c r="BC86" i="1"/>
  <c r="BB86" i="1"/>
  <c r="BA86" i="1"/>
  <c r="AZ86" i="1"/>
  <c r="AY86" i="1"/>
  <c r="AV86" i="1"/>
  <c r="AX86" i="1" s="1"/>
  <c r="AT86" i="1"/>
  <c r="AU86" i="1" s="1"/>
  <c r="AS86" i="1"/>
  <c r="BC85" i="1"/>
  <c r="BB85" i="1"/>
  <c r="BA85" i="1"/>
  <c r="AZ85" i="1"/>
  <c r="AY85" i="1"/>
  <c r="AV85" i="1"/>
  <c r="AW85" i="1" s="1"/>
  <c r="AT85" i="1"/>
  <c r="AU85" i="1" s="1"/>
  <c r="AS85" i="1"/>
  <c r="BC84" i="1"/>
  <c r="BB84" i="1"/>
  <c r="BA84" i="1"/>
  <c r="AZ84" i="1"/>
  <c r="AY84" i="1"/>
  <c r="AV84" i="1"/>
  <c r="AW84" i="1" s="1"/>
  <c r="AT84" i="1"/>
  <c r="AU84" i="1" s="1"/>
  <c r="AS84" i="1"/>
  <c r="BC83" i="1"/>
  <c r="BB83" i="1"/>
  <c r="BA83" i="1"/>
  <c r="AZ83" i="1"/>
  <c r="AY83" i="1"/>
  <c r="AV83" i="1"/>
  <c r="AT83" i="1"/>
  <c r="AU83" i="1" s="1"/>
  <c r="AS83" i="1"/>
  <c r="BC82" i="1"/>
  <c r="BB82" i="1"/>
  <c r="BA82" i="1"/>
  <c r="AZ82" i="1"/>
  <c r="AY82" i="1"/>
  <c r="AV82" i="1"/>
  <c r="AT82" i="1"/>
  <c r="AU82" i="1" s="1"/>
  <c r="AS82" i="1"/>
  <c r="BC81" i="1"/>
  <c r="BB81" i="1"/>
  <c r="BA81" i="1"/>
  <c r="AZ81" i="1"/>
  <c r="AY81" i="1"/>
  <c r="AV81" i="1"/>
  <c r="AX81" i="1" s="1"/>
  <c r="AT81" i="1"/>
  <c r="AU81" i="1" s="1"/>
  <c r="AS81" i="1"/>
  <c r="BC80" i="1"/>
  <c r="BB80" i="1"/>
  <c r="BA80" i="1"/>
  <c r="AZ80" i="1"/>
  <c r="AY80" i="1"/>
  <c r="AV80" i="1"/>
  <c r="AT80" i="1"/>
  <c r="AU80" i="1" s="1"/>
  <c r="AS80" i="1"/>
  <c r="BC79" i="1"/>
  <c r="BB79" i="1"/>
  <c r="BA79" i="1"/>
  <c r="AZ79" i="1"/>
  <c r="AY79" i="1"/>
  <c r="AV79" i="1"/>
  <c r="AW79" i="1" s="1"/>
  <c r="AT79" i="1"/>
  <c r="AU79" i="1" s="1"/>
  <c r="AS79" i="1"/>
  <c r="BC78" i="1"/>
  <c r="BB78" i="1"/>
  <c r="BA78" i="1"/>
  <c r="AZ78" i="1"/>
  <c r="AY78" i="1"/>
  <c r="AV78" i="1"/>
  <c r="AT78" i="1"/>
  <c r="AU78" i="1" s="1"/>
  <c r="AS78" i="1"/>
  <c r="BC77" i="1"/>
  <c r="BB77" i="1"/>
  <c r="BA77" i="1"/>
  <c r="AZ77" i="1"/>
  <c r="AY77" i="1"/>
  <c r="AV77" i="1"/>
  <c r="AX77" i="1" s="1"/>
  <c r="AT77" i="1"/>
  <c r="AU77" i="1" s="1"/>
  <c r="AS77" i="1"/>
  <c r="BC76" i="1"/>
  <c r="BB76" i="1"/>
  <c r="BA76" i="1"/>
  <c r="AZ76" i="1"/>
  <c r="AY76" i="1"/>
  <c r="AV76" i="1"/>
  <c r="AW76" i="1" s="1"/>
  <c r="AT76" i="1"/>
  <c r="AU76" i="1" s="1"/>
  <c r="AS76" i="1"/>
  <c r="BC75" i="1"/>
  <c r="BB75" i="1"/>
  <c r="BA75" i="1"/>
  <c r="AZ75" i="1"/>
  <c r="AY75" i="1"/>
  <c r="AV75" i="1"/>
  <c r="AW75" i="1" s="1"/>
  <c r="AT75" i="1"/>
  <c r="AU75" i="1" s="1"/>
  <c r="AS75" i="1"/>
  <c r="BC74" i="1"/>
  <c r="BB74" i="1"/>
  <c r="BA74" i="1"/>
  <c r="AZ74" i="1"/>
  <c r="AY74" i="1"/>
  <c r="AV74" i="1"/>
  <c r="AT74" i="1"/>
  <c r="AU74" i="1" s="1"/>
  <c r="AS74" i="1"/>
  <c r="BC73" i="1"/>
  <c r="BB73" i="1"/>
  <c r="BA73" i="1"/>
  <c r="AZ73" i="1"/>
  <c r="AY73" i="1"/>
  <c r="AV73" i="1"/>
  <c r="AX73" i="1" s="1"/>
  <c r="AT73" i="1"/>
  <c r="AU73" i="1" s="1"/>
  <c r="AS73" i="1"/>
  <c r="BC72" i="1"/>
  <c r="BB72" i="1"/>
  <c r="BA72" i="1"/>
  <c r="AZ72" i="1"/>
  <c r="AY72" i="1"/>
  <c r="AV72" i="1"/>
  <c r="AW72" i="1" s="1"/>
  <c r="AT72" i="1"/>
  <c r="AU72" i="1" s="1"/>
  <c r="AS72" i="1"/>
  <c r="BC71" i="1"/>
  <c r="BB71" i="1"/>
  <c r="BA71" i="1"/>
  <c r="AZ71" i="1"/>
  <c r="AY71" i="1"/>
  <c r="AV71" i="1"/>
  <c r="AX71" i="1" s="1"/>
  <c r="AT71" i="1"/>
  <c r="AU71" i="1" s="1"/>
  <c r="AS71" i="1"/>
  <c r="BC70" i="1"/>
  <c r="BB70" i="1"/>
  <c r="BA70" i="1"/>
  <c r="AZ70" i="1"/>
  <c r="AY70" i="1"/>
  <c r="AV70" i="1"/>
  <c r="AX70" i="1" s="1"/>
  <c r="AT70" i="1"/>
  <c r="AU70" i="1" s="1"/>
  <c r="AS70" i="1"/>
  <c r="BC69" i="1"/>
  <c r="BB69" i="1"/>
  <c r="BA69" i="1"/>
  <c r="AZ69" i="1"/>
  <c r="AY69" i="1"/>
  <c r="AV69" i="1"/>
  <c r="AW69" i="1" s="1"/>
  <c r="AT69" i="1"/>
  <c r="AU69" i="1" s="1"/>
  <c r="AS69" i="1"/>
  <c r="BC68" i="1"/>
  <c r="BB68" i="1"/>
  <c r="BA68" i="1"/>
  <c r="AZ68" i="1"/>
  <c r="AY68" i="1"/>
  <c r="AV68" i="1"/>
  <c r="AT68" i="1"/>
  <c r="AU68" i="1" s="1"/>
  <c r="AS68" i="1"/>
  <c r="BC67" i="1"/>
  <c r="BB67" i="1"/>
  <c r="BA67" i="1"/>
  <c r="AZ67" i="1"/>
  <c r="AY67" i="1"/>
  <c r="AV67" i="1"/>
  <c r="AW67" i="1" s="1"/>
  <c r="AT67" i="1"/>
  <c r="AU67" i="1" s="1"/>
  <c r="AS67" i="1"/>
  <c r="BC66" i="1"/>
  <c r="BB66" i="1"/>
  <c r="BA66" i="1"/>
  <c r="AZ66" i="1"/>
  <c r="AY66" i="1"/>
  <c r="AV66" i="1"/>
  <c r="AW66" i="1" s="1"/>
  <c r="AT66" i="1"/>
  <c r="AU66" i="1" s="1"/>
  <c r="AS66" i="1"/>
  <c r="BC65" i="1"/>
  <c r="BB65" i="1"/>
  <c r="BA65" i="1"/>
  <c r="AZ65" i="1"/>
  <c r="AY65" i="1"/>
  <c r="AV65" i="1"/>
  <c r="AX65" i="1" s="1"/>
  <c r="AT65" i="1"/>
  <c r="AU65" i="1" s="1"/>
  <c r="AS65" i="1"/>
  <c r="BC64" i="1"/>
  <c r="BB64" i="1"/>
  <c r="BA64" i="1"/>
  <c r="AZ64" i="1"/>
  <c r="AY64" i="1"/>
  <c r="AV64" i="1"/>
  <c r="AW64" i="1" s="1"/>
  <c r="AT64" i="1"/>
  <c r="AU64" i="1" s="1"/>
  <c r="AS64" i="1"/>
  <c r="BC63" i="1"/>
  <c r="BB63" i="1"/>
  <c r="BA63" i="1"/>
  <c r="AZ63" i="1"/>
  <c r="AY63" i="1"/>
  <c r="AV63" i="1"/>
  <c r="AT63" i="1"/>
  <c r="AU63" i="1" s="1"/>
  <c r="AS63" i="1"/>
  <c r="BC62" i="1"/>
  <c r="BB62" i="1"/>
  <c r="BA62" i="1"/>
  <c r="AZ62" i="1"/>
  <c r="AY62" i="1"/>
  <c r="AV62" i="1"/>
  <c r="AT62" i="1"/>
  <c r="AU62" i="1" s="1"/>
  <c r="AS62" i="1"/>
  <c r="BC61" i="1"/>
  <c r="BB61" i="1"/>
  <c r="BA61" i="1"/>
  <c r="AZ61" i="1"/>
  <c r="AY61" i="1"/>
  <c r="AV61" i="1"/>
  <c r="AX61" i="1" s="1"/>
  <c r="AT61" i="1"/>
  <c r="AU61" i="1" s="1"/>
  <c r="AS61" i="1"/>
  <c r="BC60" i="1"/>
  <c r="BB60" i="1"/>
  <c r="BA60" i="1"/>
  <c r="AZ60" i="1"/>
  <c r="AY60" i="1"/>
  <c r="AV60" i="1"/>
  <c r="AT60" i="1"/>
  <c r="AU60" i="1" s="1"/>
  <c r="AS60" i="1"/>
  <c r="BC59" i="1"/>
  <c r="BB59" i="1"/>
  <c r="BA59" i="1"/>
  <c r="AZ59" i="1"/>
  <c r="AY59" i="1"/>
  <c r="AV59" i="1"/>
  <c r="AX59" i="1" s="1"/>
  <c r="AT59" i="1"/>
  <c r="AU59" i="1" s="1"/>
  <c r="AS59" i="1"/>
  <c r="BC58" i="1"/>
  <c r="BB58" i="1"/>
  <c r="BA58" i="1"/>
  <c r="AZ58" i="1"/>
  <c r="AY58" i="1"/>
  <c r="AV58" i="1"/>
  <c r="AW58" i="1" s="1"/>
  <c r="AT58" i="1"/>
  <c r="AU58" i="1" s="1"/>
  <c r="AS58" i="1"/>
  <c r="BC57" i="1"/>
  <c r="BB57" i="1"/>
  <c r="BA57" i="1"/>
  <c r="AZ57" i="1"/>
  <c r="AY57" i="1"/>
  <c r="AV57" i="1"/>
  <c r="AX57" i="1" s="1"/>
  <c r="AT57" i="1"/>
  <c r="AU57" i="1" s="1"/>
  <c r="AS57" i="1"/>
  <c r="BC56" i="1"/>
  <c r="BB56" i="1"/>
  <c r="BA56" i="1"/>
  <c r="AZ56" i="1"/>
  <c r="AY56" i="1"/>
  <c r="AV56" i="1"/>
  <c r="AW56" i="1" s="1"/>
  <c r="AT56" i="1"/>
  <c r="AU56" i="1" s="1"/>
  <c r="AS56" i="1"/>
  <c r="BC55" i="1"/>
  <c r="BB55" i="1"/>
  <c r="BA55" i="1"/>
  <c r="AZ55" i="1"/>
  <c r="AY55" i="1"/>
  <c r="AV55" i="1"/>
  <c r="AX55" i="1" s="1"/>
  <c r="AT55" i="1"/>
  <c r="AU55" i="1" s="1"/>
  <c r="AS55" i="1"/>
  <c r="BC54" i="1"/>
  <c r="BB54" i="1"/>
  <c r="BA54" i="1"/>
  <c r="AZ54" i="1"/>
  <c r="AY54" i="1"/>
  <c r="AV54" i="1"/>
  <c r="AW54" i="1" s="1"/>
  <c r="AT54" i="1"/>
  <c r="AU54" i="1" s="1"/>
  <c r="AS54" i="1"/>
  <c r="BC53" i="1"/>
  <c r="BB53" i="1"/>
  <c r="BA53" i="1"/>
  <c r="AZ53" i="1"/>
  <c r="AY53" i="1"/>
  <c r="AV53" i="1"/>
  <c r="AX53" i="1" s="1"/>
  <c r="AT53" i="1"/>
  <c r="AU53" i="1" s="1"/>
  <c r="AS53" i="1"/>
  <c r="BC52" i="1"/>
  <c r="BB52" i="1"/>
  <c r="BA52" i="1"/>
  <c r="AZ52" i="1"/>
  <c r="AY52" i="1"/>
  <c r="AV52" i="1"/>
  <c r="AT52" i="1"/>
  <c r="AU52" i="1" s="1"/>
  <c r="AS52" i="1"/>
  <c r="BC51" i="1"/>
  <c r="BB51" i="1"/>
  <c r="BA51" i="1"/>
  <c r="AZ51" i="1"/>
  <c r="AY51" i="1"/>
  <c r="AV51" i="1"/>
  <c r="AX51" i="1" s="1"/>
  <c r="AT51" i="1"/>
  <c r="AU51" i="1" s="1"/>
  <c r="AS51" i="1"/>
  <c r="BC50" i="1"/>
  <c r="BB50" i="1"/>
  <c r="BA50" i="1"/>
  <c r="AZ50" i="1"/>
  <c r="AY50" i="1"/>
  <c r="AV50" i="1"/>
  <c r="AW50" i="1" s="1"/>
  <c r="AT50" i="1"/>
  <c r="AU50" i="1" s="1"/>
  <c r="AS50" i="1"/>
  <c r="BC49" i="1"/>
  <c r="BB49" i="1"/>
  <c r="BA49" i="1"/>
  <c r="AZ49" i="1"/>
  <c r="AY49" i="1"/>
  <c r="AV49" i="1"/>
  <c r="AX49" i="1" s="1"/>
  <c r="AT49" i="1"/>
  <c r="AU49" i="1" s="1"/>
  <c r="AS49" i="1"/>
  <c r="BC48" i="1"/>
  <c r="BB48" i="1"/>
  <c r="BA48" i="1"/>
  <c r="AZ48" i="1"/>
  <c r="AY48" i="1"/>
  <c r="AV48" i="1"/>
  <c r="AW48" i="1" s="1"/>
  <c r="AT48" i="1"/>
  <c r="AU48" i="1" s="1"/>
  <c r="AS48" i="1"/>
  <c r="BC47" i="1"/>
  <c r="BB47" i="1"/>
  <c r="BA47" i="1"/>
  <c r="AZ47" i="1"/>
  <c r="AY47" i="1"/>
  <c r="AV47" i="1"/>
  <c r="AX47" i="1" s="1"/>
  <c r="AT47" i="1"/>
  <c r="AU47" i="1" s="1"/>
  <c r="AS47" i="1"/>
  <c r="BC46" i="1"/>
  <c r="BB46" i="1"/>
  <c r="BA46" i="1"/>
  <c r="AZ46" i="1"/>
  <c r="AY46" i="1"/>
  <c r="AV46" i="1"/>
  <c r="AW46" i="1" s="1"/>
  <c r="AT46" i="1"/>
  <c r="AU46" i="1" s="1"/>
  <c r="AS46" i="1"/>
  <c r="BC45" i="1"/>
  <c r="BB45" i="1"/>
  <c r="BA45" i="1"/>
  <c r="AZ45" i="1"/>
  <c r="AY45" i="1"/>
  <c r="AV45" i="1"/>
  <c r="AX45" i="1" s="1"/>
  <c r="AT45" i="1"/>
  <c r="AU45" i="1" s="1"/>
  <c r="AS45" i="1"/>
  <c r="BC44" i="1"/>
  <c r="BB44" i="1"/>
  <c r="BA44" i="1"/>
  <c r="AZ44" i="1"/>
  <c r="AY44" i="1"/>
  <c r="AV44" i="1"/>
  <c r="AT44" i="1"/>
  <c r="AU44" i="1" s="1"/>
  <c r="AS44" i="1"/>
  <c r="BC43" i="1"/>
  <c r="BB43" i="1"/>
  <c r="BA43" i="1"/>
  <c r="AZ43" i="1"/>
  <c r="AY43" i="1"/>
  <c r="AV43" i="1"/>
  <c r="AX43" i="1" s="1"/>
  <c r="AT43" i="1"/>
  <c r="AU43" i="1" s="1"/>
  <c r="AS43" i="1"/>
  <c r="BC42" i="1"/>
  <c r="BB42" i="1"/>
  <c r="BA42" i="1"/>
  <c r="AZ42" i="1"/>
  <c r="AY42" i="1"/>
  <c r="AV42" i="1"/>
  <c r="AW42" i="1" s="1"/>
  <c r="AT42" i="1"/>
  <c r="AU42" i="1" s="1"/>
  <c r="AS42" i="1"/>
  <c r="BC41" i="1"/>
  <c r="BB41" i="1"/>
  <c r="BA41" i="1"/>
  <c r="AZ41" i="1"/>
  <c r="AY41" i="1"/>
  <c r="AV41" i="1"/>
  <c r="AX41" i="1" s="1"/>
  <c r="AT41" i="1"/>
  <c r="AU41" i="1" s="1"/>
  <c r="AS41" i="1"/>
  <c r="BC33" i="1"/>
  <c r="AV33" i="1"/>
  <c r="AT33" i="1"/>
  <c r="AS33" i="1"/>
  <c r="BC32" i="1"/>
  <c r="AV32" i="1"/>
  <c r="AT32" i="1"/>
  <c r="AU32" i="1" s="1"/>
  <c r="AS32" i="1"/>
  <c r="BC26" i="1"/>
  <c r="AV26" i="1"/>
  <c r="AW26" i="1" s="1"/>
  <c r="AT26" i="1"/>
  <c r="AU26" i="1" s="1"/>
  <c r="AS26" i="1"/>
  <c r="BC9" i="1"/>
  <c r="AV9" i="1"/>
  <c r="AW9" i="1" s="1"/>
  <c r="AX9" i="1" s="1"/>
  <c r="AT9" i="1"/>
  <c r="AU9" i="1" s="1"/>
  <c r="AS9" i="1"/>
  <c r="BC40" i="1"/>
  <c r="AV40" i="1"/>
  <c r="AT40" i="1"/>
  <c r="AU40" i="1" s="1"/>
  <c r="AS40" i="1"/>
  <c r="BC39" i="1"/>
  <c r="AV39" i="1"/>
  <c r="AT39" i="1"/>
  <c r="AU39" i="1" s="1"/>
  <c r="AS39" i="1"/>
  <c r="BC25" i="1"/>
  <c r="AV25" i="1"/>
  <c r="AT25" i="1"/>
  <c r="AS25" i="1"/>
  <c r="BC24" i="1"/>
  <c r="AV24" i="1"/>
  <c r="AW24" i="1" s="1"/>
  <c r="AT24" i="1"/>
  <c r="AU24" i="1" s="1"/>
  <c r="AS24" i="1"/>
  <c r="BC13" i="1"/>
  <c r="AV13" i="1"/>
  <c r="AT13" i="1"/>
  <c r="AU13" i="1" s="1"/>
  <c r="AS13" i="1"/>
  <c r="BC12" i="1"/>
  <c r="AV12" i="1"/>
  <c r="AW12" i="1" s="1"/>
  <c r="AT12" i="1"/>
  <c r="AU12" i="1" s="1"/>
  <c r="AS12" i="1"/>
  <c r="BC31" i="1"/>
  <c r="AV31" i="1"/>
  <c r="AT31" i="1"/>
  <c r="AU31" i="1" s="1"/>
  <c r="AS31" i="1"/>
  <c r="BC38" i="1"/>
  <c r="AV38" i="1"/>
  <c r="AT38" i="1"/>
  <c r="AU38" i="1" s="1"/>
  <c r="AS38" i="1"/>
  <c r="BC11" i="1"/>
  <c r="AV11" i="1"/>
  <c r="AT11" i="1"/>
  <c r="AU11" i="1" s="1"/>
  <c r="AS11" i="1"/>
  <c r="BC30" i="1"/>
  <c r="AV30" i="1"/>
  <c r="AT30" i="1"/>
  <c r="AU30" i="1" s="1"/>
  <c r="AS30" i="1"/>
  <c r="BC37" i="1"/>
  <c r="AV37" i="1"/>
  <c r="AT37" i="1"/>
  <c r="AU37" i="1" s="1"/>
  <c r="AS37" i="1"/>
  <c r="BC23" i="1"/>
  <c r="AV23" i="1"/>
  <c r="AW23" i="1" s="1"/>
  <c r="AT23" i="1"/>
  <c r="AS23" i="1"/>
  <c r="BC29" i="1"/>
  <c r="AV29" i="1"/>
  <c r="AT29" i="1"/>
  <c r="AU29" i="1" s="1"/>
  <c r="AS29" i="1"/>
  <c r="BC36" i="1"/>
  <c r="AV36" i="1"/>
  <c r="AW36" i="1" s="1"/>
  <c r="AT36" i="1"/>
  <c r="AU36" i="1" s="1"/>
  <c r="AS36" i="1"/>
  <c r="BC22" i="1"/>
  <c r="AV22" i="1"/>
  <c r="AT22" i="1"/>
  <c r="AU22" i="1" s="1"/>
  <c r="AS22" i="1"/>
  <c r="BC21" i="1"/>
  <c r="AV21" i="1"/>
  <c r="AW21" i="1" s="1"/>
  <c r="AX21" i="1" s="1"/>
  <c r="AT21" i="1"/>
  <c r="AU21" i="1" s="1"/>
  <c r="AS21" i="1"/>
  <c r="BC20" i="1"/>
  <c r="AV20" i="1"/>
  <c r="AT20" i="1"/>
  <c r="AU20" i="1" s="1"/>
  <c r="AS20" i="1"/>
  <c r="BC8" i="1"/>
  <c r="AV8" i="1"/>
  <c r="AT8" i="1"/>
  <c r="AU8" i="1" s="1"/>
  <c r="AS8" i="1"/>
  <c r="BC10" i="1"/>
  <c r="AV10" i="1"/>
  <c r="AT10" i="1"/>
  <c r="AU10" i="1" s="1"/>
  <c r="AS10" i="1"/>
  <c r="BC35" i="1"/>
  <c r="AV35" i="1"/>
  <c r="AW35" i="1" s="1"/>
  <c r="AT35" i="1"/>
  <c r="AU35" i="1" s="1"/>
  <c r="AS35" i="1"/>
  <c r="BC18" i="1"/>
  <c r="AV18" i="1"/>
  <c r="AW18" i="1" s="1"/>
  <c r="AT18" i="1"/>
  <c r="AU18" i="1" s="1"/>
  <c r="AS18" i="1"/>
  <c r="BC28" i="1"/>
  <c r="AV28" i="1"/>
  <c r="AW28" i="1" s="1"/>
  <c r="AT28" i="1"/>
  <c r="AU28" i="1" s="1"/>
  <c r="AS28" i="1"/>
  <c r="BC34" i="1"/>
  <c r="AV34" i="1"/>
  <c r="AT34" i="1"/>
  <c r="AS34" i="1"/>
  <c r="BC17" i="1"/>
  <c r="AV17" i="1"/>
  <c r="AW17" i="1" s="1"/>
  <c r="AX17" i="1" s="1"/>
  <c r="AT17" i="1"/>
  <c r="AU17" i="1" s="1"/>
  <c r="AS17" i="1"/>
  <c r="BC16" i="1"/>
  <c r="AV16" i="1"/>
  <c r="AW16" i="1" s="1"/>
  <c r="AT16" i="1"/>
  <c r="AU16" i="1" s="1"/>
  <c r="AS16" i="1"/>
  <c r="BC19" i="1"/>
  <c r="AV19" i="1"/>
  <c r="AT19" i="1"/>
  <c r="AU19" i="1" s="1"/>
  <c r="AS19" i="1"/>
  <c r="BC27" i="1"/>
  <c r="AV27" i="1"/>
  <c r="AT27" i="1"/>
  <c r="AU27" i="1" s="1"/>
  <c r="AS27" i="1"/>
  <c r="BC7" i="1"/>
  <c r="AV7" i="1"/>
  <c r="AT7" i="1"/>
  <c r="AU7" i="1" s="1"/>
  <c r="AS7" i="1"/>
  <c r="BC6" i="1"/>
  <c r="AV6" i="1"/>
  <c r="AT6" i="1"/>
  <c r="AU6" i="1" s="1"/>
  <c r="AS6" i="1"/>
  <c r="BC15" i="1"/>
  <c r="AV15" i="1"/>
  <c r="AW15" i="1" s="1"/>
  <c r="AT15" i="1"/>
  <c r="AU15" i="1" s="1"/>
  <c r="AS15" i="1"/>
  <c r="BC14" i="1"/>
  <c r="AV14" i="1"/>
  <c r="AW14" i="1" s="1"/>
  <c r="AX14" i="1" s="1"/>
  <c r="AT14" i="1"/>
  <c r="AS14" i="1"/>
  <c r="BC5" i="1"/>
  <c r="AV5" i="1"/>
  <c r="AW5" i="1" s="1"/>
  <c r="AX5" i="1" s="1"/>
  <c r="AT5" i="1"/>
  <c r="AU5" i="1" s="1"/>
  <c r="AS5" i="1"/>
  <c r="AX136" i="1" l="1"/>
  <c r="AW663" i="1"/>
  <c r="AW197" i="1"/>
  <c r="AX376" i="1"/>
  <c r="AW573" i="1"/>
  <c r="AX183" i="1"/>
  <c r="AW57" i="1"/>
  <c r="AX420" i="1"/>
  <c r="AW77" i="1"/>
  <c r="AW111" i="1"/>
  <c r="AW300" i="1"/>
  <c r="AX764" i="1"/>
  <c r="AX85" i="1"/>
  <c r="AX248" i="1"/>
  <c r="AX334" i="1"/>
  <c r="AX543" i="1"/>
  <c r="AW137" i="1"/>
  <c r="AW464" i="1"/>
  <c r="AW631" i="1"/>
  <c r="AW654" i="1"/>
  <c r="AW693" i="1"/>
  <c r="AW750" i="1"/>
  <c r="AW781" i="1"/>
  <c r="AX48" i="1"/>
  <c r="AX143" i="1"/>
  <c r="AX112" i="1"/>
  <c r="AW61" i="1"/>
  <c r="AX611" i="1"/>
  <c r="AW237" i="1"/>
  <c r="AW327" i="1"/>
  <c r="AW527" i="1"/>
  <c r="AW723" i="1"/>
  <c r="AX771" i="1"/>
  <c r="AX421" i="1"/>
  <c r="AW647" i="1"/>
  <c r="AW415" i="1"/>
  <c r="AX444" i="1"/>
  <c r="AW463" i="1"/>
  <c r="AX524" i="1"/>
  <c r="AX549" i="1"/>
  <c r="AX571" i="1"/>
  <c r="AX588" i="1"/>
  <c r="AW644" i="1"/>
  <c r="AW686" i="1"/>
  <c r="AX700" i="1"/>
  <c r="AX130" i="1"/>
  <c r="AW151" i="1"/>
  <c r="AX67" i="1"/>
  <c r="AX94" i="1"/>
  <c r="AX162" i="1"/>
  <c r="AW213" i="1"/>
  <c r="AX272" i="1"/>
  <c r="AX314" i="1"/>
  <c r="AX356" i="1"/>
  <c r="AX388" i="1"/>
  <c r="AW445" i="1"/>
  <c r="AX472" i="1"/>
  <c r="AX496" i="1"/>
  <c r="AX525" i="1"/>
  <c r="AW551" i="1"/>
  <c r="AX595" i="1"/>
  <c r="AX756" i="1"/>
  <c r="AX556" i="1"/>
  <c r="AW583" i="1"/>
  <c r="AW613" i="1"/>
  <c r="AX668" i="1"/>
  <c r="AW707" i="1"/>
  <c r="AW727" i="1"/>
  <c r="AX773" i="1"/>
  <c r="AW789" i="1"/>
  <c r="AW91" i="1"/>
  <c r="AX69" i="1"/>
  <c r="AX104" i="1"/>
  <c r="AW169" i="1"/>
  <c r="AX224" i="1"/>
  <c r="AW289" i="1"/>
  <c r="AX321" i="1"/>
  <c r="AW357" i="1"/>
  <c r="AX404" i="1"/>
  <c r="AW448" i="1"/>
  <c r="AX479" i="1"/>
  <c r="AW599" i="1"/>
  <c r="AX763" i="1"/>
  <c r="AX779" i="1"/>
  <c r="AW326" i="1"/>
  <c r="AW431" i="1"/>
  <c r="AW480" i="1"/>
  <c r="AW512" i="1"/>
  <c r="AX563" i="1"/>
  <c r="AX585" i="1"/>
  <c r="AX620" i="1"/>
  <c r="AW676" i="1"/>
  <c r="AW695" i="1"/>
  <c r="AX732" i="1"/>
  <c r="AX186" i="1"/>
  <c r="AX360" i="1"/>
  <c r="AW405" i="1"/>
  <c r="AX437" i="1"/>
  <c r="AW455" i="1"/>
  <c r="AW488" i="1"/>
  <c r="AX517" i="1"/>
  <c r="AX535" i="1"/>
  <c r="AW677" i="1"/>
  <c r="AX604" i="1"/>
  <c r="AW537" i="1"/>
  <c r="AX562" i="1"/>
  <c r="AW612" i="1"/>
  <c r="AW622" i="1"/>
  <c r="AX50" i="1"/>
  <c r="AW70" i="1"/>
  <c r="AW95" i="1"/>
  <c r="AW113" i="1"/>
  <c r="AW133" i="1"/>
  <c r="AX146" i="1"/>
  <c r="AX178" i="1"/>
  <c r="AW225" i="1"/>
  <c r="AW249" i="1"/>
  <c r="AW273" i="1"/>
  <c r="AW315" i="1"/>
  <c r="AX323" i="1"/>
  <c r="AW349" i="1"/>
  <c r="AW368" i="1"/>
  <c r="AX64" i="1"/>
  <c r="AW86" i="1"/>
  <c r="AW105" i="1"/>
  <c r="AX119" i="1"/>
  <c r="AW163" i="1"/>
  <c r="AW189" i="1"/>
  <c r="AX200" i="1"/>
  <c r="AW215" i="1"/>
  <c r="AX240" i="1"/>
  <c r="AW253" i="1"/>
  <c r="AX274" i="1"/>
  <c r="AW293" i="1"/>
  <c r="AW305" i="1"/>
  <c r="AW352" i="1"/>
  <c r="AX372" i="1"/>
  <c r="AW389" i="1"/>
  <c r="AX408" i="1"/>
  <c r="AX424" i="1"/>
  <c r="AW440" i="1"/>
  <c r="AW453" i="1"/>
  <c r="AW465" i="1"/>
  <c r="AW481" i="1"/>
  <c r="AX493" i="1"/>
  <c r="AX503" i="1"/>
  <c r="AW519" i="1"/>
  <c r="AX528" i="1"/>
  <c r="AW544" i="1"/>
  <c r="AX557" i="1"/>
  <c r="AW579" i="1"/>
  <c r="AW596" i="1"/>
  <c r="AW606" i="1"/>
  <c r="AW615" i="1"/>
  <c r="AX652" i="1"/>
  <c r="AW660" i="1"/>
  <c r="AW670" i="1"/>
  <c r="AW679" i="1"/>
  <c r="AX716" i="1"/>
  <c r="AW724" i="1"/>
  <c r="AW734" i="1"/>
  <c r="AW767" i="1"/>
  <c r="AW775" i="1"/>
  <c r="AW791" i="1"/>
  <c r="AW43" i="1"/>
  <c r="AW53" i="1"/>
  <c r="AX75" i="1"/>
  <c r="AW97" i="1"/>
  <c r="AX110" i="1"/>
  <c r="AW135" i="1"/>
  <c r="AW149" i="1"/>
  <c r="AW179" i="1"/>
  <c r="AW231" i="1"/>
  <c r="AX307" i="1"/>
  <c r="AX317" i="1"/>
  <c r="AW324" i="1"/>
  <c r="AW341" i="1"/>
  <c r="AX469" i="1"/>
  <c r="AX485" i="1"/>
  <c r="AX504" i="1"/>
  <c r="AW520" i="1"/>
  <c r="AX532" i="1"/>
  <c r="AW545" i="1"/>
  <c r="AX568" i="1"/>
  <c r="AW580" i="1"/>
  <c r="AX592" i="1"/>
  <c r="AW597" i="1"/>
  <c r="AW627" i="1"/>
  <c r="AW661" i="1"/>
  <c r="AW691" i="1"/>
  <c r="AW725" i="1"/>
  <c r="AX757" i="1"/>
  <c r="AW45" i="1"/>
  <c r="AW55" i="1"/>
  <c r="AW65" i="1"/>
  <c r="AW88" i="1"/>
  <c r="AX102" i="1"/>
  <c r="AW121" i="1"/>
  <c r="AW167" i="1"/>
  <c r="AX194" i="1"/>
  <c r="AW201" i="1"/>
  <c r="AW217" i="1"/>
  <c r="AX234" i="1"/>
  <c r="AW241" i="1"/>
  <c r="AW261" i="1"/>
  <c r="AW277" i="1"/>
  <c r="AX298" i="1"/>
  <c r="AW309" i="1"/>
  <c r="AW344" i="1"/>
  <c r="AX392" i="1"/>
  <c r="AW708" i="1"/>
  <c r="AW718" i="1"/>
  <c r="AW742" i="1"/>
  <c r="AW181" i="1"/>
  <c r="AX207" i="1"/>
  <c r="AW223" i="1"/>
  <c r="AX245" i="1"/>
  <c r="AX265" i="1"/>
  <c r="AX313" i="1"/>
  <c r="AX320" i="1"/>
  <c r="AX346" i="1"/>
  <c r="AW400" i="1"/>
  <c r="AX416" i="1"/>
  <c r="AX436" i="1"/>
  <c r="AW457" i="1"/>
  <c r="AW471" i="1"/>
  <c r="AW487" i="1"/>
  <c r="AX511" i="1"/>
  <c r="AW559" i="1"/>
  <c r="AX594" i="1"/>
  <c r="AW645" i="1"/>
  <c r="AW675" i="1"/>
  <c r="AW709" i="1"/>
  <c r="AW47" i="1"/>
  <c r="AX58" i="1"/>
  <c r="AX79" i="1"/>
  <c r="AW103" i="1"/>
  <c r="AX152" i="1"/>
  <c r="AX168" i="1"/>
  <c r="AW195" i="1"/>
  <c r="AW211" i="1"/>
  <c r="AW235" i="1"/>
  <c r="AX267" i="1"/>
  <c r="AX285" i="1"/>
  <c r="AW628" i="1"/>
  <c r="AW638" i="1"/>
  <c r="AX684" i="1"/>
  <c r="AW692" i="1"/>
  <c r="AW702" i="1"/>
  <c r="AW711" i="1"/>
  <c r="AX749" i="1"/>
  <c r="AW780" i="1"/>
  <c r="AW788" i="1"/>
  <c r="AX347" i="1"/>
  <c r="AW384" i="1"/>
  <c r="AW489" i="1"/>
  <c r="AX500" i="1"/>
  <c r="AW513" i="1"/>
  <c r="AX536" i="1"/>
  <c r="AW552" i="1"/>
  <c r="AX572" i="1"/>
  <c r="AW629" i="1"/>
  <c r="AX90" i="1"/>
  <c r="AW90" i="1"/>
  <c r="AW122" i="1"/>
  <c r="AX122" i="1"/>
  <c r="AX123" i="1"/>
  <c r="AW123" i="1"/>
  <c r="AW226" i="1"/>
  <c r="AX226" i="1"/>
  <c r="AX365" i="1"/>
  <c r="AW365" i="1"/>
  <c r="AW501" i="1"/>
  <c r="AX501" i="1"/>
  <c r="AW541" i="1"/>
  <c r="AX541" i="1"/>
  <c r="AW575" i="1"/>
  <c r="AX575" i="1"/>
  <c r="AX623" i="1"/>
  <c r="AW623" i="1"/>
  <c r="AX651" i="1"/>
  <c r="AW651" i="1"/>
  <c r="AX687" i="1"/>
  <c r="AW687" i="1"/>
  <c r="AX715" i="1"/>
  <c r="AW715" i="1"/>
  <c r="AW34" i="1"/>
  <c r="AX34" i="1" s="1"/>
  <c r="AW29" i="1"/>
  <c r="AX29" i="1" s="1"/>
  <c r="AW31" i="1"/>
  <c r="AX31" i="1" s="1"/>
  <c r="AX66" i="1"/>
  <c r="AW71" i="1"/>
  <c r="AX127" i="1"/>
  <c r="AW128" i="1"/>
  <c r="AX128" i="1"/>
  <c r="AX129" i="1"/>
  <c r="AW129" i="1"/>
  <c r="AX229" i="1"/>
  <c r="AW250" i="1"/>
  <c r="AX250" i="1"/>
  <c r="AX291" i="1"/>
  <c r="AW291" i="1"/>
  <c r="AX369" i="1"/>
  <c r="AW369" i="1"/>
  <c r="AW38" i="1"/>
  <c r="AX38" i="1" s="1"/>
  <c r="AW49" i="1"/>
  <c r="AX54" i="1"/>
  <c r="AW59" i="1"/>
  <c r="AX72" i="1"/>
  <c r="AX74" i="1"/>
  <c r="AW74" i="1"/>
  <c r="AW81" i="1"/>
  <c r="AW82" i="1"/>
  <c r="AX82" i="1"/>
  <c r="AX83" i="1"/>
  <c r="AW83" i="1"/>
  <c r="AX93" i="1"/>
  <c r="AW93" i="1"/>
  <c r="AX191" i="1"/>
  <c r="AW192" i="1"/>
  <c r="AX192" i="1"/>
  <c r="AW306" i="1"/>
  <c r="AX306" i="1"/>
  <c r="AW413" i="1"/>
  <c r="AX413" i="1"/>
  <c r="AX425" i="1"/>
  <c r="AW425" i="1"/>
  <c r="AX36" i="1"/>
  <c r="AW32" i="1"/>
  <c r="AX32" i="1" s="1"/>
  <c r="AW202" i="1"/>
  <c r="AX202" i="1"/>
  <c r="AX203" i="1"/>
  <c r="AW203" i="1"/>
  <c r="AW218" i="1"/>
  <c r="AX218" i="1"/>
  <c r="AX219" i="1"/>
  <c r="AW219" i="1"/>
  <c r="AX221" i="1"/>
  <c r="AW221" i="1"/>
  <c r="AW232" i="1"/>
  <c r="AX232" i="1"/>
  <c r="AX257" i="1"/>
  <c r="AW257" i="1"/>
  <c r="AX297" i="1"/>
  <c r="AW297" i="1"/>
  <c r="AX325" i="1"/>
  <c r="AW325" i="1"/>
  <c r="AX342" i="1"/>
  <c r="AW342" i="1"/>
  <c r="AW138" i="1"/>
  <c r="AX138" i="1"/>
  <c r="AX139" i="1"/>
  <c r="AW139" i="1"/>
  <c r="AX141" i="1"/>
  <c r="AW141" i="1"/>
  <c r="AX155" i="1"/>
  <c r="AW155" i="1"/>
  <c r="AX157" i="1"/>
  <c r="AW157" i="1"/>
  <c r="AX159" i="1"/>
  <c r="AW159" i="1"/>
  <c r="AX161" i="1"/>
  <c r="AW161" i="1"/>
  <c r="AW208" i="1"/>
  <c r="AX208" i="1"/>
  <c r="AX209" i="1"/>
  <c r="AW209" i="1"/>
  <c r="AW242" i="1"/>
  <c r="AX242" i="1"/>
  <c r="AX243" i="1"/>
  <c r="AW243" i="1"/>
  <c r="AW264" i="1"/>
  <c r="AX264" i="1"/>
  <c r="AW312" i="1"/>
  <c r="AX312" i="1"/>
  <c r="AX397" i="1"/>
  <c r="AW397" i="1"/>
  <c r="AX432" i="1"/>
  <c r="AW432" i="1"/>
  <c r="AW22" i="1"/>
  <c r="AX22" i="1" s="1"/>
  <c r="AW13" i="1"/>
  <c r="AX13" i="1" s="1"/>
  <c r="AX26" i="1"/>
  <c r="AW41" i="1"/>
  <c r="AX46" i="1"/>
  <c r="AW51" i="1"/>
  <c r="AX56" i="1"/>
  <c r="AW62" i="1"/>
  <c r="AX62" i="1"/>
  <c r="AX63" i="1"/>
  <c r="AW63" i="1"/>
  <c r="AX76" i="1"/>
  <c r="AW114" i="1"/>
  <c r="AX114" i="1"/>
  <c r="AX115" i="1"/>
  <c r="AW115" i="1"/>
  <c r="AX117" i="1"/>
  <c r="AW117" i="1"/>
  <c r="AW144" i="1"/>
  <c r="AX144" i="1"/>
  <c r="AX145" i="1"/>
  <c r="AW145" i="1"/>
  <c r="AW170" i="1"/>
  <c r="AX170" i="1"/>
  <c r="AX173" i="1"/>
  <c r="AW173" i="1"/>
  <c r="AW184" i="1"/>
  <c r="AX184" i="1"/>
  <c r="AX185" i="1"/>
  <c r="AW185" i="1"/>
  <c r="AX281" i="1"/>
  <c r="AW281" i="1"/>
  <c r="AX401" i="1"/>
  <c r="AW401" i="1"/>
  <c r="AX15" i="1"/>
  <c r="AX16" i="1"/>
  <c r="AX42" i="1"/>
  <c r="AX87" i="1"/>
  <c r="AW106" i="1"/>
  <c r="AX106" i="1"/>
  <c r="AX109" i="1"/>
  <c r="AW109" i="1"/>
  <c r="AX175" i="1"/>
  <c r="AW176" i="1"/>
  <c r="AX176" i="1"/>
  <c r="AX269" i="1"/>
  <c r="AW269" i="1"/>
  <c r="AW330" i="1"/>
  <c r="AX330" i="1"/>
  <c r="AX381" i="1"/>
  <c r="AW381" i="1"/>
  <c r="AX12" i="1"/>
  <c r="AW78" i="1"/>
  <c r="AX78" i="1"/>
  <c r="AW98" i="1"/>
  <c r="AX98" i="1"/>
  <c r="AX99" i="1"/>
  <c r="AW99" i="1"/>
  <c r="AX101" i="1"/>
  <c r="AW101" i="1"/>
  <c r="AX301" i="1"/>
  <c r="AW301" i="1"/>
  <c r="AX385" i="1"/>
  <c r="AW385" i="1"/>
  <c r="AX439" i="1"/>
  <c r="AW439" i="1"/>
  <c r="AW484" i="1"/>
  <c r="AX484" i="1"/>
  <c r="AX564" i="1"/>
  <c r="AW564" i="1"/>
  <c r="AW147" i="1"/>
  <c r="AW153" i="1"/>
  <c r="AW165" i="1"/>
  <c r="AW187" i="1"/>
  <c r="AW199" i="1"/>
  <c r="AX210" i="1"/>
  <c r="AX216" i="1"/>
  <c r="AW275" i="1"/>
  <c r="AX288" i="1"/>
  <c r="AW316" i="1"/>
  <c r="AW335" i="1"/>
  <c r="AX348" i="1"/>
  <c r="AW353" i="1"/>
  <c r="AW359" i="1"/>
  <c r="AW375" i="1"/>
  <c r="AW391" i="1"/>
  <c r="AW407" i="1"/>
  <c r="AW449" i="1"/>
  <c r="AW461" i="1"/>
  <c r="AX607" i="1"/>
  <c r="AW607" i="1"/>
  <c r="AX635" i="1"/>
  <c r="AW635" i="1"/>
  <c r="AX671" i="1"/>
  <c r="AW671" i="1"/>
  <c r="AX699" i="1"/>
  <c r="AW699" i="1"/>
  <c r="AX735" i="1"/>
  <c r="AW735" i="1"/>
  <c r="AX92" i="1"/>
  <c r="AW96" i="1"/>
  <c r="AW107" i="1"/>
  <c r="AW125" i="1"/>
  <c r="AX154" i="1"/>
  <c r="AX160" i="1"/>
  <c r="AW171" i="1"/>
  <c r="AW177" i="1"/>
  <c r="AW193" i="1"/>
  <c r="AW205" i="1"/>
  <c r="AW227" i="1"/>
  <c r="AW233" i="1"/>
  <c r="AW239" i="1"/>
  <c r="AW251" i="1"/>
  <c r="AX258" i="1"/>
  <c r="AX282" i="1"/>
  <c r="AW292" i="1"/>
  <c r="AX332" i="1"/>
  <c r="AW371" i="1"/>
  <c r="AW387" i="1"/>
  <c r="AW403" i="1"/>
  <c r="AX428" i="1"/>
  <c r="AW433" i="1"/>
  <c r="AX441" i="1"/>
  <c r="AW441" i="1"/>
  <c r="AW452" i="1"/>
  <c r="AX452" i="1"/>
  <c r="AW548" i="1"/>
  <c r="AX548" i="1"/>
  <c r="AX741" i="1"/>
  <c r="AW741" i="1"/>
  <c r="AX758" i="1"/>
  <c r="AW758" i="1"/>
  <c r="AW509" i="1"/>
  <c r="AX509" i="1"/>
  <c r="AX619" i="1"/>
  <c r="AW619" i="1"/>
  <c r="AX655" i="1"/>
  <c r="AW655" i="1"/>
  <c r="AX683" i="1"/>
  <c r="AW683" i="1"/>
  <c r="AX719" i="1"/>
  <c r="AW719" i="1"/>
  <c r="AW259" i="1"/>
  <c r="AX266" i="1"/>
  <c r="AW283" i="1"/>
  <c r="AW308" i="1"/>
  <c r="AW333" i="1"/>
  <c r="AW361" i="1"/>
  <c r="AW367" i="1"/>
  <c r="AW377" i="1"/>
  <c r="AW383" i="1"/>
  <c r="AW393" i="1"/>
  <c r="AW399" i="1"/>
  <c r="AW409" i="1"/>
  <c r="AW429" i="1"/>
  <c r="AW473" i="1"/>
  <c r="AW476" i="1"/>
  <c r="AX476" i="1"/>
  <c r="AW477" i="1"/>
  <c r="AX477" i="1"/>
  <c r="AX748" i="1"/>
  <c r="AW748" i="1"/>
  <c r="AX603" i="1"/>
  <c r="AW603" i="1"/>
  <c r="AX639" i="1"/>
  <c r="AW639" i="1"/>
  <c r="AX667" i="1"/>
  <c r="AW667" i="1"/>
  <c r="AX703" i="1"/>
  <c r="AW703" i="1"/>
  <c r="AX731" i="1"/>
  <c r="AW731" i="1"/>
  <c r="AX256" i="1"/>
  <c r="AX280" i="1"/>
  <c r="AX290" i="1"/>
  <c r="AX296" i="1"/>
  <c r="AX329" i="1"/>
  <c r="AW351" i="1"/>
  <c r="AX364" i="1"/>
  <c r="AX380" i="1"/>
  <c r="AX396" i="1"/>
  <c r="AX412" i="1"/>
  <c r="AW417" i="1"/>
  <c r="AW423" i="1"/>
  <c r="AX447" i="1"/>
  <c r="AW447" i="1"/>
  <c r="AW456" i="1"/>
  <c r="AX468" i="1"/>
  <c r="AW516" i="1"/>
  <c r="AX516" i="1"/>
  <c r="AX587" i="1"/>
  <c r="AW587" i="1"/>
  <c r="AW521" i="1"/>
  <c r="AW553" i="1"/>
  <c r="AX560" i="1"/>
  <c r="AX566" i="1"/>
  <c r="AW581" i="1"/>
  <c r="AX755" i="1"/>
  <c r="AW759" i="1"/>
  <c r="AW772" i="1"/>
  <c r="AW782" i="1"/>
  <c r="AW795" i="1"/>
  <c r="AW783" i="1"/>
  <c r="AX460" i="1"/>
  <c r="AW497" i="1"/>
  <c r="AW529" i="1"/>
  <c r="AW598" i="1"/>
  <c r="AW614" i="1"/>
  <c r="AW630" i="1"/>
  <c r="AW646" i="1"/>
  <c r="AW662" i="1"/>
  <c r="AW678" i="1"/>
  <c r="AW694" i="1"/>
  <c r="AW710" i="1"/>
  <c r="AW726" i="1"/>
  <c r="AX739" i="1"/>
  <c r="AW743" i="1"/>
  <c r="AW766" i="1"/>
  <c r="AW740" i="1"/>
  <c r="AX508" i="1"/>
  <c r="AX533" i="1"/>
  <c r="AX540" i="1"/>
  <c r="AX569" i="1"/>
  <c r="AX574" i="1"/>
  <c r="AX586" i="1"/>
  <c r="AW589" i="1"/>
  <c r="AW605" i="1"/>
  <c r="AW621" i="1"/>
  <c r="AW637" i="1"/>
  <c r="AW653" i="1"/>
  <c r="AW669" i="1"/>
  <c r="AW685" i="1"/>
  <c r="AW701" i="1"/>
  <c r="AW717" i="1"/>
  <c r="AW733" i="1"/>
  <c r="AX747" i="1"/>
  <c r="AW751" i="1"/>
  <c r="AW774" i="1"/>
  <c r="AY26" i="1"/>
  <c r="BA26" i="1" s="1"/>
  <c r="AY27" i="1"/>
  <c r="BA27" i="1" s="1"/>
  <c r="AY7" i="1"/>
  <c r="BA7" i="1" s="1"/>
  <c r="AY6" i="1"/>
  <c r="BA6" i="1" s="1"/>
  <c r="AZ38" i="1"/>
  <c r="BB38" i="1" s="1"/>
  <c r="AZ12" i="1"/>
  <c r="BB12" i="1" s="1"/>
  <c r="AZ31" i="1"/>
  <c r="BB31" i="1" s="1"/>
  <c r="AY32" i="1"/>
  <c r="BA32" i="1" s="1"/>
  <c r="AY8" i="1"/>
  <c r="BA8" i="1" s="1"/>
  <c r="AY10" i="1"/>
  <c r="BA10" i="1" s="1"/>
  <c r="AY35" i="1"/>
  <c r="BA35" i="1" s="1"/>
  <c r="AZ22" i="1"/>
  <c r="BB22" i="1" s="1"/>
  <c r="AZ20" i="1"/>
  <c r="BB20" i="1" s="1"/>
  <c r="AZ21" i="1"/>
  <c r="BB21" i="1" s="1"/>
  <c r="AY17" i="1"/>
  <c r="BA17" i="1" s="1"/>
  <c r="AY19" i="1"/>
  <c r="BA19" i="1" s="1"/>
  <c r="AY30" i="1"/>
  <c r="BA30" i="1" s="1"/>
  <c r="AY37" i="1"/>
  <c r="BA37" i="1" s="1"/>
  <c r="AZ32" i="1"/>
  <c r="BB32" i="1" s="1"/>
  <c r="AZ33" i="1"/>
  <c r="BB33" i="1" s="1"/>
  <c r="AY9" i="1"/>
  <c r="BA9" i="1" s="1"/>
  <c r="AY39" i="1"/>
  <c r="BA39" i="1" s="1"/>
  <c r="AY28" i="1"/>
  <c r="BA28" i="1" s="1"/>
  <c r="AY18" i="1"/>
  <c r="BA18" i="1" s="1"/>
  <c r="AZ17" i="1"/>
  <c r="BB17" i="1" s="1"/>
  <c r="AZ16" i="1"/>
  <c r="BB16" i="1" s="1"/>
  <c r="AY29" i="1"/>
  <c r="BA29" i="1" s="1"/>
  <c r="AY5" i="1"/>
  <c r="BA5" i="1" s="1"/>
  <c r="AY15" i="1"/>
  <c r="BA15" i="1" s="1"/>
  <c r="AY38" i="1"/>
  <c r="BA38" i="1" s="1"/>
  <c r="AY12" i="1"/>
  <c r="BA12" i="1" s="1"/>
  <c r="AZ13" i="1"/>
  <c r="BB13" i="1" s="1"/>
  <c r="AY21" i="1"/>
  <c r="BA21" i="1" s="1"/>
  <c r="AZ9" i="1"/>
  <c r="BB9" i="1" s="1"/>
  <c r="AY13" i="1"/>
  <c r="BA13" i="1" s="1"/>
  <c r="AZ18" i="1"/>
  <c r="BB18" i="1" s="1"/>
  <c r="AZ28" i="1"/>
  <c r="BB28" i="1" s="1"/>
  <c r="AZ34" i="1"/>
  <c r="BB34" i="1" s="1"/>
  <c r="AZ36" i="1"/>
  <c r="BB36" i="1" s="1"/>
  <c r="AZ29" i="1"/>
  <c r="BB29" i="1" s="1"/>
  <c r="AZ15" i="1"/>
  <c r="BB15" i="1" s="1"/>
  <c r="AZ14" i="1"/>
  <c r="BB14" i="1" s="1"/>
  <c r="AZ5" i="1"/>
  <c r="BB5" i="1" s="1"/>
  <c r="AU23" i="1"/>
  <c r="AY23" i="1"/>
  <c r="BA23" i="1" s="1"/>
  <c r="AX44" i="1"/>
  <c r="AW44" i="1"/>
  <c r="AX174" i="1"/>
  <c r="AW174" i="1"/>
  <c r="AX190" i="1"/>
  <c r="AW190" i="1"/>
  <c r="AX254" i="1"/>
  <c r="AW254" i="1"/>
  <c r="AX278" i="1"/>
  <c r="AW278" i="1"/>
  <c r="AX294" i="1"/>
  <c r="AW294" i="1"/>
  <c r="AX345" i="1"/>
  <c r="AW345" i="1"/>
  <c r="AX451" i="1"/>
  <c r="AW451" i="1"/>
  <c r="AX483" i="1"/>
  <c r="AW483" i="1"/>
  <c r="AX515" i="1"/>
  <c r="AW515" i="1"/>
  <c r="AX547" i="1"/>
  <c r="AW547" i="1"/>
  <c r="AX754" i="1"/>
  <c r="AW754" i="1"/>
  <c r="AX794" i="1"/>
  <c r="AW794" i="1"/>
  <c r="AY14" i="1"/>
  <c r="BA14" i="1" s="1"/>
  <c r="AU14" i="1"/>
  <c r="AY31" i="1"/>
  <c r="BA31" i="1" s="1"/>
  <c r="AY25" i="1"/>
  <c r="BA25" i="1" s="1"/>
  <c r="AU25" i="1"/>
  <c r="AZ23" i="1"/>
  <c r="BB23" i="1" s="1"/>
  <c r="AZ25" i="1"/>
  <c r="BB25" i="1" s="1"/>
  <c r="AX89" i="1"/>
  <c r="AW89" i="1"/>
  <c r="AY16" i="1"/>
  <c r="BA16" i="1" s="1"/>
  <c r="AY11" i="1"/>
  <c r="BA11" i="1" s="1"/>
  <c r="AX60" i="1"/>
  <c r="AW60" i="1"/>
  <c r="AW100" i="1"/>
  <c r="AX100" i="1"/>
  <c r="AZ7" i="1"/>
  <c r="BB7" i="1" s="1"/>
  <c r="AZ27" i="1"/>
  <c r="BB27" i="1" s="1"/>
  <c r="AW27" i="1"/>
  <c r="AX27" i="1" s="1"/>
  <c r="AY34" i="1"/>
  <c r="BA34" i="1" s="1"/>
  <c r="AY36" i="1"/>
  <c r="BA36" i="1" s="1"/>
  <c r="AY40" i="1"/>
  <c r="BA40" i="1" s="1"/>
  <c r="AX80" i="1"/>
  <c r="AW80" i="1"/>
  <c r="AW6" i="1"/>
  <c r="AX6" i="1" s="1"/>
  <c r="AW7" i="1"/>
  <c r="AX7" i="1" s="1"/>
  <c r="AW19" i="1"/>
  <c r="AX19" i="1" s="1"/>
  <c r="AZ19" i="1"/>
  <c r="BB19" i="1" s="1"/>
  <c r="AU34" i="1"/>
  <c r="AY20" i="1"/>
  <c r="BA20" i="1" s="1"/>
  <c r="AY22" i="1"/>
  <c r="BA22" i="1" s="1"/>
  <c r="AZ11" i="1"/>
  <c r="BB11" i="1" s="1"/>
  <c r="AW11" i="1"/>
  <c r="AX11" i="1" s="1"/>
  <c r="AZ24" i="1"/>
  <c r="BB24" i="1" s="1"/>
  <c r="AY33" i="1"/>
  <c r="BA33" i="1" s="1"/>
  <c r="AZ40" i="1"/>
  <c r="BB40" i="1" s="1"/>
  <c r="AW40" i="1"/>
  <c r="AX40" i="1" s="1"/>
  <c r="AX52" i="1"/>
  <c r="AW52" i="1"/>
  <c r="AZ6" i="1"/>
  <c r="BB6" i="1" s="1"/>
  <c r="AX28" i="1"/>
  <c r="AX18" i="1"/>
  <c r="AZ35" i="1"/>
  <c r="BB35" i="1" s="1"/>
  <c r="AX35" i="1"/>
  <c r="AZ10" i="1"/>
  <c r="BB10" i="1" s="1"/>
  <c r="AW10" i="1"/>
  <c r="AX10" i="1" s="1"/>
  <c r="AW20" i="1"/>
  <c r="AX20" i="1" s="1"/>
  <c r="AW30" i="1"/>
  <c r="AX30" i="1" s="1"/>
  <c r="AZ30" i="1"/>
  <c r="BB30" i="1" s="1"/>
  <c r="AW8" i="1"/>
  <c r="AX8" i="1" s="1"/>
  <c r="AZ8" i="1"/>
  <c r="BB8" i="1" s="1"/>
  <c r="AZ37" i="1"/>
  <c r="BB37" i="1" s="1"/>
  <c r="AW68" i="1"/>
  <c r="AX68" i="1"/>
  <c r="AX23" i="1"/>
  <c r="AX24" i="1"/>
  <c r="AZ39" i="1"/>
  <c r="BB39" i="1" s="1"/>
  <c r="AX134" i="1"/>
  <c r="AW134" i="1"/>
  <c r="AX214" i="1"/>
  <c r="AW214" i="1"/>
  <c r="AX230" i="1"/>
  <c r="AW230" i="1"/>
  <c r="AX411" i="1"/>
  <c r="AW411" i="1"/>
  <c r="AY24" i="1"/>
  <c r="BA24" i="1" s="1"/>
  <c r="AZ26" i="1"/>
  <c r="BB26" i="1" s="1"/>
  <c r="AX158" i="1"/>
  <c r="AW158" i="1"/>
  <c r="AX262" i="1"/>
  <c r="AW262" i="1"/>
  <c r="AX310" i="1"/>
  <c r="AW310" i="1"/>
  <c r="AW37" i="1"/>
  <c r="AX37" i="1" s="1"/>
  <c r="AW25" i="1"/>
  <c r="AX25" i="1" s="1"/>
  <c r="AU33" i="1"/>
  <c r="AX84" i="1"/>
  <c r="AX118" i="1"/>
  <c r="AW118" i="1"/>
  <c r="AX198" i="1"/>
  <c r="AW198" i="1"/>
  <c r="AX286" i="1"/>
  <c r="AW286" i="1"/>
  <c r="AX142" i="1"/>
  <c r="AW142" i="1"/>
  <c r="AX182" i="1"/>
  <c r="AW182" i="1"/>
  <c r="AX238" i="1"/>
  <c r="AW238" i="1"/>
  <c r="AW33" i="1"/>
  <c r="AX33" i="1" s="1"/>
  <c r="AX108" i="1"/>
  <c r="AW108" i="1"/>
  <c r="AX166" i="1"/>
  <c r="AW166" i="1"/>
  <c r="AX222" i="1"/>
  <c r="AW222" i="1"/>
  <c r="AX270" i="1"/>
  <c r="AW270" i="1"/>
  <c r="AX302" i="1"/>
  <c r="AW302" i="1"/>
  <c r="AX336" i="1"/>
  <c r="AW336" i="1"/>
  <c r="AW39" i="1"/>
  <c r="AX39" i="1" s="1"/>
  <c r="AX126" i="1"/>
  <c r="AW126" i="1"/>
  <c r="AX206" i="1"/>
  <c r="AW206" i="1"/>
  <c r="AX366" i="1"/>
  <c r="AW366" i="1"/>
  <c r="AW73" i="1"/>
  <c r="AX120" i="1"/>
  <c r="AX150" i="1"/>
  <c r="AW150" i="1"/>
  <c r="AX246" i="1"/>
  <c r="AW246" i="1"/>
  <c r="AX318" i="1"/>
  <c r="AW318" i="1"/>
  <c r="AX339" i="1"/>
  <c r="AW339" i="1"/>
  <c r="AX362" i="1"/>
  <c r="AW362" i="1"/>
  <c r="AX406" i="1"/>
  <c r="AW406" i="1"/>
  <c r="AX382" i="1"/>
  <c r="AW382" i="1"/>
  <c r="AX435" i="1"/>
  <c r="AW435" i="1"/>
  <c r="AX491" i="1"/>
  <c r="AW491" i="1"/>
  <c r="AX523" i="1"/>
  <c r="AW523" i="1"/>
  <c r="AX555" i="1"/>
  <c r="AW555" i="1"/>
  <c r="AW116" i="1"/>
  <c r="AW124" i="1"/>
  <c r="AW132" i="1"/>
  <c r="AW140" i="1"/>
  <c r="AW148" i="1"/>
  <c r="AW156" i="1"/>
  <c r="AW164" i="1"/>
  <c r="AW172" i="1"/>
  <c r="AW180" i="1"/>
  <c r="AW188" i="1"/>
  <c r="AW196" i="1"/>
  <c r="AW204" i="1"/>
  <c r="AW212" i="1"/>
  <c r="AW220" i="1"/>
  <c r="AW228" i="1"/>
  <c r="AW236" i="1"/>
  <c r="AW244" i="1"/>
  <c r="AW252" i="1"/>
  <c r="AW260" i="1"/>
  <c r="AW268" i="1"/>
  <c r="AW276" i="1"/>
  <c r="AW284" i="1"/>
  <c r="AX354" i="1"/>
  <c r="AW354" i="1"/>
  <c r="AX358" i="1"/>
  <c r="AW363" i="1"/>
  <c r="AX378" i="1"/>
  <c r="AW378" i="1"/>
  <c r="AX459" i="1"/>
  <c r="AW459" i="1"/>
  <c r="AW584" i="1"/>
  <c r="AX584" i="1"/>
  <c r="AW247" i="1"/>
  <c r="AW255" i="1"/>
  <c r="AW263" i="1"/>
  <c r="AW271" i="1"/>
  <c r="AW279" i="1"/>
  <c r="AW287" i="1"/>
  <c r="AW295" i="1"/>
  <c r="AW303" i="1"/>
  <c r="AW311" i="1"/>
  <c r="AW319" i="1"/>
  <c r="AW328" i="1"/>
  <c r="AW331" i="1"/>
  <c r="AW337" i="1"/>
  <c r="AW340" i="1"/>
  <c r="AX398" i="1"/>
  <c r="AW398" i="1"/>
  <c r="AX419" i="1"/>
  <c r="AW419" i="1"/>
  <c r="AX499" i="1"/>
  <c r="AW499" i="1"/>
  <c r="AX531" i="1"/>
  <c r="AW531" i="1"/>
  <c r="AX322" i="1"/>
  <c r="AW343" i="1"/>
  <c r="AX350" i="1"/>
  <c r="AW355" i="1"/>
  <c r="AX374" i="1"/>
  <c r="AW374" i="1"/>
  <c r="AW379" i="1"/>
  <c r="AX443" i="1"/>
  <c r="AW443" i="1"/>
  <c r="AX467" i="1"/>
  <c r="AW467" i="1"/>
  <c r="AX370" i="1"/>
  <c r="AW370" i="1"/>
  <c r="AX414" i="1"/>
  <c r="AW414" i="1"/>
  <c r="AX475" i="1"/>
  <c r="AW475" i="1"/>
  <c r="AX507" i="1"/>
  <c r="AW507" i="1"/>
  <c r="AX539" i="1"/>
  <c r="AW539" i="1"/>
  <c r="AX338" i="1"/>
  <c r="AX390" i="1"/>
  <c r="AW390" i="1"/>
  <c r="AW395" i="1"/>
  <c r="AX427" i="1"/>
  <c r="AW427" i="1"/>
  <c r="AX593" i="1"/>
  <c r="AW593" i="1"/>
  <c r="AX778" i="1"/>
  <c r="AW778" i="1"/>
  <c r="AW422" i="1"/>
  <c r="AW430" i="1"/>
  <c r="AW438" i="1"/>
  <c r="AW446" i="1"/>
  <c r="AW454" i="1"/>
  <c r="AW462" i="1"/>
  <c r="AW470" i="1"/>
  <c r="AW478" i="1"/>
  <c r="AW486" i="1"/>
  <c r="AW494" i="1"/>
  <c r="AW502" i="1"/>
  <c r="AW510" i="1"/>
  <c r="AW518" i="1"/>
  <c r="AW526" i="1"/>
  <c r="AW534" i="1"/>
  <c r="AW542" i="1"/>
  <c r="AW550" i="1"/>
  <c r="AW558" i="1"/>
  <c r="AW561" i="1"/>
  <c r="AW567" i="1"/>
  <c r="AW570" i="1"/>
  <c r="AX576" i="1"/>
  <c r="AX738" i="1"/>
  <c r="AW738" i="1"/>
  <c r="AX802" i="1"/>
  <c r="AW802" i="1"/>
  <c r="AX610" i="1"/>
  <c r="AW610" i="1"/>
  <c r="AX626" i="1"/>
  <c r="AW626" i="1"/>
  <c r="AX642" i="1"/>
  <c r="AW642" i="1"/>
  <c r="AX658" i="1"/>
  <c r="AW658" i="1"/>
  <c r="AX674" i="1"/>
  <c r="AW674" i="1"/>
  <c r="AX690" i="1"/>
  <c r="AW690" i="1"/>
  <c r="AX706" i="1"/>
  <c r="AW706" i="1"/>
  <c r="AX722" i="1"/>
  <c r="AW722" i="1"/>
  <c r="AX762" i="1"/>
  <c r="AW762" i="1"/>
  <c r="AX577" i="1"/>
  <c r="AX786" i="1"/>
  <c r="AW786" i="1"/>
  <c r="AX600" i="1"/>
  <c r="AW600" i="1"/>
  <c r="AX746" i="1"/>
  <c r="AW746" i="1"/>
  <c r="AW386" i="1"/>
  <c r="AW394" i="1"/>
  <c r="AW402" i="1"/>
  <c r="AW410" i="1"/>
  <c r="AW418" i="1"/>
  <c r="AW426" i="1"/>
  <c r="AW434" i="1"/>
  <c r="AW442" i="1"/>
  <c r="AW450" i="1"/>
  <c r="AW458" i="1"/>
  <c r="AW466" i="1"/>
  <c r="AW474" i="1"/>
  <c r="AW482" i="1"/>
  <c r="AW490" i="1"/>
  <c r="AW498" i="1"/>
  <c r="AW506" i="1"/>
  <c r="AW514" i="1"/>
  <c r="AW522" i="1"/>
  <c r="AW530" i="1"/>
  <c r="AW538" i="1"/>
  <c r="AW546" i="1"/>
  <c r="AW554" i="1"/>
  <c r="AW565" i="1"/>
  <c r="AX578" i="1"/>
  <c r="AW590" i="1"/>
  <c r="AX601" i="1"/>
  <c r="AW601" i="1"/>
  <c r="AX770" i="1"/>
  <c r="AW770" i="1"/>
  <c r="AW582" i="1"/>
  <c r="AW591" i="1"/>
  <c r="AX602" i="1"/>
  <c r="AW602" i="1"/>
  <c r="AX618" i="1"/>
  <c r="AW618" i="1"/>
  <c r="AX634" i="1"/>
  <c r="AW634" i="1"/>
  <c r="AX650" i="1"/>
  <c r="AW650" i="1"/>
  <c r="AX666" i="1"/>
  <c r="AW666" i="1"/>
  <c r="AX682" i="1"/>
  <c r="AW682" i="1"/>
  <c r="AX698" i="1"/>
  <c r="AW698" i="1"/>
  <c r="AX714" i="1"/>
  <c r="AW714" i="1"/>
  <c r="AX730" i="1"/>
  <c r="AW730" i="1"/>
  <c r="AW797" i="1"/>
  <c r="AW608" i="1"/>
  <c r="AW616" i="1"/>
  <c r="AW624" i="1"/>
  <c r="AW632" i="1"/>
  <c r="AW640" i="1"/>
  <c r="AW648" i="1"/>
  <c r="AW656" i="1"/>
  <c r="AW664" i="1"/>
  <c r="AW672" i="1"/>
  <c r="AW680" i="1"/>
  <c r="AW688" i="1"/>
  <c r="AW696" i="1"/>
  <c r="AW704" i="1"/>
  <c r="AW712" i="1"/>
  <c r="AW720" i="1"/>
  <c r="AW728" i="1"/>
  <c r="AW736" i="1"/>
  <c r="AW744" i="1"/>
  <c r="AW752" i="1"/>
  <c r="AW760" i="1"/>
  <c r="AW768" i="1"/>
  <c r="AW776" i="1"/>
  <c r="AW784" i="1"/>
  <c r="AW792" i="1"/>
  <c r="AW800" i="1"/>
  <c r="AW798" i="1"/>
  <c r="AW609" i="1"/>
  <c r="AW617" i="1"/>
  <c r="AW625" i="1"/>
  <c r="AW633" i="1"/>
  <c r="AW641" i="1"/>
  <c r="AW649" i="1"/>
  <c r="AW657" i="1"/>
  <c r="AW665" i="1"/>
  <c r="AW673" i="1"/>
  <c r="AW681" i="1"/>
  <c r="AW689" i="1"/>
  <c r="AW697" i="1"/>
  <c r="AW705" i="1"/>
  <c r="AW713" i="1"/>
  <c r="AW721" i="1"/>
  <c r="AW729" i="1"/>
  <c r="AW737" i="1"/>
  <c r="AW745" i="1"/>
  <c r="AW753" i="1"/>
  <c r="AW761" i="1"/>
  <c r="AW769" i="1"/>
  <c r="AW777" i="1"/>
  <c r="AW785" i="1"/>
  <c r="AW793" i="1"/>
  <c r="AW801" i="1"/>
</calcChain>
</file>

<file path=xl/sharedStrings.xml><?xml version="1.0" encoding="utf-8"?>
<sst xmlns="http://schemas.openxmlformats.org/spreadsheetml/2006/main" count="744" uniqueCount="646">
  <si>
    <t>Raw Data</t>
  </si>
  <si>
    <t>Paste or add new reviewed cases below row 4. Helper columns to the right are formula-driven.</t>
  </si>
  <si>
    <t>Timestamp</t>
  </si>
  <si>
    <t>Agent Name</t>
  </si>
  <si>
    <t>Audit Date</t>
  </si>
  <si>
    <t>Waiting Time</t>
  </si>
  <si>
    <t>Service Time</t>
  </si>
  <si>
    <t>Case ID</t>
  </si>
  <si>
    <t>Case URL</t>
  </si>
  <si>
    <t>1.1 Score</t>
  </si>
  <si>
    <t>1.1 Comment</t>
  </si>
  <si>
    <t>1.2 Score</t>
  </si>
  <si>
    <t>1.2 Comment</t>
  </si>
  <si>
    <t>1.3 Score</t>
  </si>
  <si>
    <t>1.3 Comment</t>
  </si>
  <si>
    <t>2.1 Score</t>
  </si>
  <si>
    <t>2.1 Comment</t>
  </si>
  <si>
    <t>2.2 Score</t>
  </si>
  <si>
    <t>2.2 Comment</t>
  </si>
  <si>
    <t>2.3 Score</t>
  </si>
  <si>
    <t>2.3 Comment</t>
  </si>
  <si>
    <t>2.4 Score</t>
  </si>
  <si>
    <t>2.4 Comment</t>
  </si>
  <si>
    <t>3.1 Score</t>
  </si>
  <si>
    <t>3.1 Comment</t>
  </si>
  <si>
    <t>3.2 Score</t>
  </si>
  <si>
    <t>3.2 Comment</t>
  </si>
  <si>
    <t>3.3 Score</t>
  </si>
  <si>
    <t>3.3 Comment</t>
  </si>
  <si>
    <t>4.1 Score</t>
  </si>
  <si>
    <t>4.1 Comment</t>
  </si>
  <si>
    <t>4.2 Score</t>
  </si>
  <si>
    <t>4.2 Comment</t>
  </si>
  <si>
    <t>4.3 Score</t>
  </si>
  <si>
    <t>4.3 Comment</t>
  </si>
  <si>
    <t>4.4 Score</t>
  </si>
  <si>
    <t>4.4 Comment</t>
  </si>
  <si>
    <t>5.1 Score</t>
  </si>
  <si>
    <t>5.1 Comment</t>
  </si>
  <si>
    <t>5.2 Score</t>
  </si>
  <si>
    <t>5.2 Comment</t>
  </si>
  <si>
    <t>5.3 Score</t>
  </si>
  <si>
    <t>5.3 Comment</t>
  </si>
  <si>
    <t>Critical Error</t>
  </si>
  <si>
    <t>Customer Inquiry</t>
  </si>
  <si>
    <t>Final Score</t>
  </si>
  <si>
    <t>Month Start</t>
  </si>
  <si>
    <t>Month Label</t>
  </si>
  <si>
    <t>Week Start</t>
  </si>
  <si>
    <t>Week End</t>
  </si>
  <si>
    <t>Week Label</t>
  </si>
  <si>
    <t>Agent Month Seq</t>
  </si>
  <si>
    <t>Agent Week Seq</t>
  </si>
  <si>
    <t>Month Key</t>
  </si>
  <si>
    <t>Week Key</t>
  </si>
  <si>
    <t>Critical Flag</t>
  </si>
  <si>
    <t>Case Description / รายละเอียดเคส คำอธิบายเคส</t>
  </si>
  <si>
    <t>Case Image URL / ภาพประกอบเคส</t>
  </si>
  <si>
    <t>QA Scheme</t>
  </si>
  <si>
    <t>Chatkonnaphat Bhusomya</t>
  </si>
  <si>
    <t>NO</t>
  </si>
  <si>
    <t>Jureeporn Piddum</t>
  </si>
  <si>
    <t>Jariyawadee Taboodda</t>
  </si>
  <si>
    <t>Nattapol Suprom</t>
  </si>
  <si>
    <t>Wachiraporn chailittichai</t>
  </si>
  <si>
    <t>Supakrit Promkhamnoi</t>
  </si>
  <si>
    <t>Suphitcha Keawliam</t>
  </si>
  <si>
    <t>Natcha Chai-in</t>
  </si>
  <si>
    <t>Sunijtra Siritip</t>
  </si>
  <si>
    <t>Wassana Phothong</t>
  </si>
  <si>
    <t>https://app.oho.chat/business/6805c0f16232119d2a1204b5/smartchat?room=682eaa14f8c1c3e61db8603f</t>
  </si>
  <si>
    <t>Krivut Vongkampan</t>
  </si>
  <si>
    <t>Anucha Makundin</t>
  </si>
  <si>
    <t>https://app.oho.chat/business/6805c0f16232119d2a1204b5/smartchat?room=697086a0ac6758a3c7304f76</t>
  </si>
  <si>
    <t>May 2026+</t>
  </si>
  <si>
    <t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t>
  </si>
  <si>
    <t>ภาษาที่ใช้สุภาพ เข้าใจง่าย และไม่พบคำสะกดผิดที่มีผลต่อความเข้าใจในเคสนี้
เงื่อนไขที่ใช้หักคะแนนตามไฟล์:
ไม่เข้ากลุ่มพลาด</t>
  </si>
  <si>
    <t>ไม่พบการขอหรือเปิดเผยข้อมูลส่วนบุคคลเกินความจำเป็น และไม่พบการให้ข้อมูลที่ขัดกับนโยบายจากข้อความในเคสนี้
เงื่อนไขที่ใช้หักคะแนนตามไฟล์:
ไม่เข้ากลุ่มพลาด</t>
  </si>
  <si>
    <t>AA235940</t>
  </si>
  <si>
    <t>https://app.oho.chat/business/6805c0f16232119d2a1204b5/smartchat?room=6889a45e574728c3458f443d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</si>
  <si>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“สวัสดีครับ แอดมินขนมถ้วย ยินดีให้บริการครับ”
“หากได้รับข้อมูลครบถ้วนและไม่มีข้อสอบถามเพิ่มเติมแล้ว แอดมินขออนุญาตปิดแชทนี้นะครับ...”</t>
  </si>
  <si>
    <t>แอดมินใช้ข้อมูลเท่าที่จำเป็นต่อการตรวจสอบออเดอร์และตำแหน่งจัดส่ง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</si>
  <si>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และดำเนินการตามขั้นตอน โดยรับเรื่อง ตรวจสอบออเดอร์ ตรวจสอบระยะทางของจุดจัดส่งใหม่ และให้แนวทางกับพี่ไรเดอร์ว่าหากจัดส่งสำเร็จให้แจ้งแอดมินปิดงานได้
เงื่อนไขที่ใช้หักคะแนนตามไฟล์:
ไม่เข้ากลุ่มพลาด
ตัวอย่างจากเคส:
“จากการตรวจสอบ หมู่บ้านซิตี้เซนส์ มีระยะทางใกล้กว่าจุดเดิมพี่ไรเดอร์สามารถเดินทางไปจัดส่งอาหารและแจ้งให้แอดมินปิดงานให้ได้เลยครับ”</t>
  </si>
  <si>
    <t>คำตอบของแอดมินถูกต้อง เพราะจากแผนที่ที่แนบมา หมู่บ้านซิตี้เซนส์ วัชรพล อยู่ใกล้กว่าจุดเดิมที่ปักไปโลตัส พัฒนาการจริง จึงสามารถให้พี่ไรเดอร์ไปจัดส่งตามหมุดจริงของลูกค้าได้ และไม่จำเป็นต้องยกเลิกออเดอร์
เงื่อนไขที่ใช้หักคะแนนตามไฟล์:
ไม่เข้ากลุ่มพลาด
ตัวอย่างจากเคส:
แอดมินแจ้งว่าจุดใหม่ใกล้กว่าจุดเดิม และส่งพิกัดหมู่บ้านซิตี้เซนส์ให้พี่ไรเดอร์</t>
  </si>
  <si>
    <t>แอดมินแจ้งข้อมูลได้ค่อนข้างครบ ทั้งผลการตรวจสอบ แนวทางให้พี่ไรเดอร์ไปจัดส่ง และส่งพิกัดให้ใช้เดินทางต่อ แต่ยังขาดการทวนข้อมูลสำคัญก่อนให้ดำเนินการต่อ เช่น หมายเลขออเดอร์ จุดเดิมที่ลูกค้าปักผิด และจุดใหม่ที่ลูกค้าแจ้ง เพื่อให้พี่ไรเดอร์มั่นใจว่าแอดมินตรวจสอบออเดอร์และปลายทางถูกต้องก่อนเดินทางไปจัดส่ง
เงื่อนไขที่ใช้หักคะแนนตามไฟล์:
เข้ากลุ่ม พลาดเล็กน้อย
หัก 2 คะแนน
ตัวอย่างจากเคส:
แอดมินให้คำแนะนำให้ไปจัดส่งต่อและส่งพิกัดให้ แต่ไม่ได้ทวนข้อมูลก่อนว่าเป็นออเดอร์ 260511-SC-9070 จุดเดิมคือโลตัส พัฒนาการ และจุดใหม่คือหมู่บ้านซิตี้เซนส์ วัชรพล
ตัวอย่างที่ถูกต้องมากขึ้น:
“ขอทวนข้อมูลนะครับ ออเดอร์ 260511-SC-9070 ลูกค้าแจ้งว่าจุดจัดส่งจริงคือหมู่บ้านซิตี้เซนส์ วัชรพล แต่หมุดเดิมปักไปที่โลตัส พัฒนาการ ถูกต้องไหมครับ จากการตรวจสอบจุดใหม่ใกล้กว่าจุดเดิม พี่ไรเดอร์สามารถไปจัดส่งที่หมุดจริงได้เลยครับ และเมื่อจัดส่งเรียบร้อยแล้วแจ้งแอดมินเพื่อช่วยปิดงานได้ครับ”</t>
  </si>
  <si>
    <t>แอดมินอธิบายขั้นตอนชัดเจน และมีการส่งลิงก์แผนที่พร้อมพิกัดให้พี่ไรเดอร์ ทำให้สามารถนำไปใช้เดินทางต่อได้ทันที
เงื่อนไขที่ใช้หักคะแนนตามไฟล์:
ไม่เข้ากลุ่มพลาด
ตัวอย่างจากเคส:
แอดมินส่งลิงก์ Google Maps และพิกัด “13°51'21.8"N 100°38'44.4"E” พร้อมระบุว่าเป็นหมุดบ้านลูกค้า</t>
  </si>
  <si>
    <t>แอดมินช่วยได้ตรงจุด เพราะพี่ไรเดอร์แจ้งว่าลูกค้าปักหมุดผิดและขอยกเลิก แอดมินไม่ได้ยกเลิกทันที แต่ตรวจสอบก่อนว่าจุดจัดส่งจริงอยู่ใกล้กว่าจุดเดิม จึงแนะนำให้พี่ไรเดอร์ไปจัดส่งแทน พร้อมส่งพิกัดให้ ถือว่าแก้ปัญหาได้เหมาะสม
เงื่อนไขที่ใช้หักคะแนนตามไฟล์:
ไม่เข้ากลุ่มพลาด
ตัวอย่างจากเคส:
จุดเดิมไปโลตัส พัฒนาการประมาณ 26 นาที แต่จุดจริงหมู่บ้านซิตี้เซนส์ประมาณ 6–7 นาที แอดมินจึงแนะนำให้จัดส่งต่อ</t>
  </si>
  <si>
    <t>แอดมินดูแลเคสต่อเนื่องดี มีการตรวจสอบตำแหน่ง ส่งพิกัดให้ และแจ้งว่าหลังจัดส่งสามารถให้แอดมินช่วยปิดงานได้ ถือว่ามี ownership ที่ดี จุดที่ยังเพิ่มได้คือควรทวนข้อมูลสำคัญก่อนให้ไปจัดส่ง และควรย้ำให้ชัดว่าหลังจัดส่งเสร็จให้พี่ไรเดอร์แจ้งกลับมาเพื่อปิดงานในระบบ
เงื่อนไขที่ใช้หักคะแนนตามไฟล์:
เข้ากลุ่ม พลาดเล็กน้อย
หัก 2 คะแนน
ตัวอย่างจากเคส:
“พี่ไรเดอร์สามารถเดินทางไปจัดส่งอาหารและแจ้งให้แอดมินปิดงานให้ได้เลยครับ”
ตัวอย่างที่ถูกต้องมากขึ้น:
“เมื่อจัดส่งเรียบร้อยแล้ว รบกวนพี่ไรเดอร์แจ้งกลับมาอีกครั้งนะครับ แอดมินจะช่วยปิดงานในระบบให้ครับ”</t>
  </si>
  <si>
    <t>น้ำเสียงของแอดมินสุภาพและเหมาะสมตลอดการสนทนา ให้ข้อมูลด้วยท่าทีพร้อมช่วยเหลือ และช่วยลดความกังวลให้พี่ไรเดอร์ได้ดี
เงื่อนไขที่ใช้หักคะแนนตามไฟล์:
ไม่เข้ากลุ่มพลาด
ตัวอย่างจากเคส:
แอดมินแจ้ง “รับทราบครับ” และส่งพิกัดให้พี่ไรเดอร์ใช้เดินทางต่ออย่างสุภาพ</t>
  </si>
  <si>
    <t>ไรเดอร์แจ้งลูกค้าปักหมุดผิดและขอแนวทางจัดส่ง (Rider Reports Incorrect Customer Pin and Requests Delivery Guidance)</t>
  </si>
  <si>
    <t>พี่ไรเดอร์ติดต่อเข้ามาแจ้งว่า ลูกค้าปักหมุดผิด และต้องการขอยกเลิกออเดอร์ โดยให้ข้อมูลว่าออเดอร์คือ 260511-SC-9070 ลูกค้าอยู่หมู่บ้านซิตี้เซนส์ วัชรพล แต่หมุดเดิมปักไปที่โลตัส พัฒนาการ</t>
  </si>
  <si>
    <t>https://drive.google.com/open?id=1jEjJCtNzQKgyqfUqYmEEH9n4W0Ek95IM</t>
  </si>
  <si>
    <t>AA237641</t>
  </si>
  <si>
    <t>https://app.oho.chat/business/6805c0f16232119d2a1204b5/smartchat?room=696cb9e8a217458d8777ecd6</t>
  </si>
  <si>
    <t>เคสนี้มีการทักทายและมีการปิดการสนทนา แต่ยังไม่ครบตามเงื่อนไขเพราะชื่อแอดมิน/ชื่อผู้ให้บริการปรากฏไม่ครบอย่างน้อย 2 ครั้ง โดยตอนทักทายมีการแจ้ง “แอดมินขนมถ้วย” แต่ตอนปิดแชทไม่ได้ลงชื่อแอดมินหรือชื่อผู้ให้บริการซ้ำให้ครบ จึงควรหักในระดับพลาดเล็กน้อย
เงื่อนไขที่ใช้หักคะแนนตามไฟล์:
เข้ากลุ่ม พลาดเล็กน้อย
หัก 2 คะแนน
ตัวอย่างจากเคส:
“สวัสดีครับ แอดมินขนมถ้วย ยินดีให้บริการครับ”
ตอนปิดแชทมีการขออนุญาตปิดเคส แต่ไม่ได้ลงท้ายชื่อแอดมิน/ชื่อผู้ให้บริการให้ครบตามมาตรฐาน
ตัวอย่างที่ถูกต้องมากขึ้น:
“หากได้รับข้อมูลครบถ้วนและไม่มีข้อสอบถามเพิ่มเติมแล้ว แอดมินขออนุญาตปิดแชทนี้นะครับ หากมีปัญหาการใช้งานอื่น ๆ สามารถติดต่อเข้ามาได้เสมอครับ ขอบคุณที่ใช้บริการ Robinhood แอดมินขนมถ้วยยินดีให้บริการครับ 🙏”</t>
  </si>
  <si>
    <t>แอดมินขอข้อมูลเท่าที่จำเป็นต่อการตรวจสอบสถานะร้านค้า เช่น ชื่อร้านค้า เบอร์โทรศัพท์ และ Shop ID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</si>
  <si>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และมีการขอข้อมูลร้านค้าเพื่อใช้ตรวจสอบ แต่การดำเนินการยังไม่ครบตาม Process เพราะควรตรวจสอบสถานะร้านค้าใน Admin Panel ให้ชัดว่าอยู่ในสถานะใด เช่น Pending (can sell), Pending (can't sell) หรือสามารถเปิดใช้งานได้ปกติ แล้วจึงแจ้งผลให้ตรงกับสถานะจริง อีกทั้งไม่ควรแจ้งระยะเวลาอนุมัติ 1–2 วันทำการ เพราะตาม Process การอนุมัติร้านค้าปกติใช้ประมาณ 3 วันทำการ
เงื่อนไขที่ใช้หักคะแนนตามไฟล์:
พลาดเล็กน้อย
หัก 2 คะแนน
ตัวอย่างจากเคส:
แอดมินแจ้งว่า “ในส่วนที่รออนุมัติจะอนุมัติภายใน 1-2 วันทำการครับ” ซึ่งไม่ตรงกับ Process ที่กำหนดไว้
ตัวอย่างที่ถูกต้องมากขึ้น:
“จากการตรวจสอบ ร้านค้าไม่มีเอกสารติดรออนุมัติ และสามารถเปิดร้านได้ตามปกติครับ หากร้านยังไม่ขึ้นออนไลน์ รบกวนตรวจสอบการเปิด/ปิดร้านในระบบอีกครั้ง หรือแจ้งกลับมาให้แอดมินช่วยตรวจสอบเพิ่มเติมได้ครับ”</t>
  </si>
  <si>
    <t>คำตอบยังมีข้อมูลไม่ถูกต้อง เพราะแอดมินแจ้งว่า “ส่วนที่รออนุมัติจะอนุมัติภายใน 1–2 วันทำการ” ซึ่งไม่ตรงกับ Process ที่ระบุว่าการอนุมัติร้านค้าโดยปกติใช้เวลาประมาณ 3 วันทำการ และจากข้อมูลเพิ่มเติมที่ตรวจสอบกับทีม Operation พบว่าร้านค้าไม่ได้ติดเอกสารหรือรออนุมัติใด ๆ สามารถเปิดร้านค้าได้ปกติ จึงไม่ควรแจ้งให้ร้านค้าเข้าใจว่ายังมีส่วนที่รออนุมัติอยู่
เงื่อนไขที่ใช้หักคะแนนตามไฟล์:
พลาดปานกลาง
หัก 4 คะแนน
ตัวอย่างจากเคส:
“สามารถใช้งานได้ตามปกติครับในส่วนที่รออนุมัติจะอนุมัติภายใน 1-2 วันทำการครับ”
ตัวอย่างที่ถูกต้องมากขึ้น:
“จากการตรวจสอบ ร้านค้าไม่ได้ติดสถานะรออนุมัติหรือเอกสารใด ๆ และสามารถเปิดร้านได้ตามปกติครับ หากร้านยังไม่แสดงออนไลน์ แอดมินแนะนำให้ตรวจสอบการตั้งค่าเปิดร้านในระบบอีกครั้งครับ”</t>
  </si>
  <si>
    <t>แอดมินขอข้อมูลร้านค้าครบ แต่คำตอบยังไม่ครบ เพราะไม่ได้อธิบายสถานะร้านค้าให้ชัดว่าอยู่ในสถานะใดในระบบ และไม่ได้แจ้งให้ร้านค้าทราบว่าจากการตรวจสอบไม่พบเอกสารติดรออนุมัติ สามารถเปิดร้านได้ปกติ อีกทั้งไม่ได้ทวนข้อมูลร้านค้าก่อนแจ้งผล เช่น ชื่อร้าน Shop ID และเบอร์โทรศัพท์ ทำให้ร้านค้าอาจยังไม่เข้าใจว่าปัญหาที่ร้านไม่ขึ้นออนไลน์เกิดจากอะไร และต้องทำอะไรต่อ
เงื่อนไขที่ใช้หักคะแนนตามไฟล์:
พลาดปานกลาง
หัก 4 คะแนน
ตัวอย่างจากเคส:
ร้านค้าถามว่า “ต้องเข้าไปเปิดให้เห็นในระบบของร้านต้องทำยังไงดีค่ะ” แต่แอดมินไม่ได้อธิบายวิธีตรวจสอบหรือเปิดร้านให้ชัด และไม่ได้แจ้งสถานะจริงจากระบบให้ครบ
ตัวอย่างที่ถูกต้องมากขึ้น:
“ขอทวนข้อมูลนะครับ ร้านวุ้นแฟนซี Maynisa Onnut 54/สาขา 1, Shop ID 9052, เบอร์ 0616645494 ถูกต้องนะครับ จากการตรวจสอบ ร้านค้าไม่ได้ติดเอกสารรออนุมัติและสามารถเปิดร้านได้ปกติ หากร้านยังไม่ขึ้นออนไลน์ รบกวนตรวจสอบการเปิดร้านในระบบอีกครั้ง หรือแจ้งกลับมาให้แอดมินช่วยตรวจสอบต่อได้ครับ”</t>
  </si>
  <si>
    <t>แอดมินยังแจ้งขั้นตอนต่อไปไม่ชัด เพราะหลังตรวจสอบแล้วไม่ได้บอกให้ร้านค้าทำอะไรต่อ เช่น ต้องเข้าไปเปิดร้านตรงไหน ต้องรอระบบอัปเดตหรือไม่ หรือถ้าร้านยังไม่ขึ้นออนไลน์ต้องส่งข้อมูลอะไรกลับมาเพิ่มเติม อีกทั้งข้อความที่แจ้งว่า “อนุมัติแล้ว” แต่ต่อมาบอกว่า “รออนุมัติภายใน 1–2 วันทำการ” ทำให้ข้อมูลดูขัดกัน และอาจทำให้ร้านค้าสับสน
เงื่อนไขที่ใช้หักคะแนนตามไฟล์:
พลาดปานกลาง
หัก 3 คะแนน
ตัวอย่างจากเคส:
“เบื้องต้นแอดมินดำเนินการอนุมัติร้านค้าเรียบร้อยแล้วครับ”
“สามารถใช้งานได้ตามปกติครับในส่วนที่รออนุมัติจะอนุมัติภายใน 1-2 วันทำการครับ”
ตัวอย่างที่ถูกต้องมากขึ้น:
“ร้านค้าไม่ได้ติดสถานะรออนุมัติแล้วนะครับ สามารถเปิดร้านได้ตามปกติ หากร้านยังไม่แสดงออนไลน์ รบกวนตรวจสอบสถานะเปิดร้านในระบบร้านค้าอีกครั้ง หากยังพบปัญหาสามารถส่งภาพหน้าจอเข้ามาให้แอดมินตรวจสอบต่อได้ครับ”</t>
  </si>
  <si>
    <t>แอดมินมีการขอข้อมูลร้านค้าและแจ้งว่าจะตรวจสอบให้แล้ว แต่การตอบยังไม่ตรงกับปัญหาหลักของร้านค้า เพราะร้านค้าสอบถามว่าทำไมร้านไม่ขึ้นออนไลน์และต้องทำอย่างไรให้ร้านแสดงในระบบ ซึ่งควรแจ้งจากสถานะจริงของร้านค้าให้ชัดเจน แต่ในเคสนี้แอดมินยังไม่ได้อธิบายสถานะร้านให้ชัด และมีการแจ้งให้รออนุมัติ 1–2 วันทำการ ทั้งที่ไม่ตรงกับ Process และไม่ตรงกับข้อมูลจากทีม Operation ที่แจ้งว่าร้านค้าเอกสารครบและเปิดร้านได้ปกติ
เงื่อนไขที่ใช้หักคะแนนตามไฟล์:
พลาดปานกลาง
หัก 5 คะแนน
ตัวอย่างจากเคส:
แอดมินแจ้งว่าอนุมัติแล้วและมีส่วนที่รออนุมัติ แต่จากการตรวจสอบเพิ่มเติม ร้านค้าไม่มีเอกสารรออนุมัติ และสามารถเปิดร้านได้ปกติ
ตัวอย่างที่ถูกต้องมากขึ้น:
“จากการตรวจสอบ ร้านค้าไม่มีเอกสารติดรออนุมัติ และสามารถเปิดร้านได้ตามปกติครับ หากร้านยังไม่ขึ้นออนไลน์ ขอแนะนำให้ตรวจสอบสถานะการเปิดร้านในระบบร้านค้าอีกครั้ง หรือส่งภาพหน้าจอที่พบปัญหามาให้แอดมินตรวจสอบเพิ่มเติมครับ”</t>
  </si>
  <si>
    <t>แอดมินมีการรับเรื่องและตรวจสอบให้แล้ว แต่ยังแจ้งขั้นตอนต่อไปไม่ชัด เพราะไม่ได้บอกว่าหากร้านยังไม่ขึ้นออนไลน์ ร้านค้าต้องทำอะไรต่อ เช่น เช็กการเปิดร้าน ส่งภาพหน้าจอ หรือแจ้งกลับมาให้ตรวจสอบเพิ่ม อีกทั้งจากข้อมูลทีม Operation พบว่าร้านค้าไม่มีติดเอกสารและเปิดร้านได้ปกติ จึงควรสื่อสารสถานะจริงให้ร้านค้าทราบ แทนการแจ้งให้รออนุมัติ
เงื่อนไขที่ใช้หักคะแนนตามไฟล์:
พลาดปานกลาง
หัก 4 คะแนน
ตัวอย่างจากเคส:
แอดมินแจ้งปิดเคสหลังให้ข้อมูล แต่ยังไม่ได้ให้ทางเลือกต่อที่ชัดเจนหากร้านยังไม่ขึ้นออนไลน์
ตัวอย่างที่ถูกต้องมากขึ้น:
“หากร้านค้ายังไม่ขึ้นออนไลน์ รบกวนตรวจสอบการตั้งค่าเปิดร้านในระบบอีกครั้ง หรือส่งภาพหน้าจอที่พบปัญหาเข้ามาให้แอดมินตรวจสอบเพิ่มเติมได้ครับ”</t>
  </si>
  <si>
    <t>ข้อความโดยรวมอ่านเข้าใจได้ แต่ช่วงแจ้งผลยังเรียงประโยคไม่ชัด ทำให้ความหมายดูขัดกันระหว่างอนุมัติเรียบร้อยแล้วกับยังรออนุมัติภายใน 1–2 วันทำการ ควรแยกประโยคและสถานะให้ชัดกว่านี้
เงื่อนไขที่ใช้หักคะแนนตามไฟล์:
พลาดเล็กน้อย
หัก 1 คะแนน
ตัวอย่างจากเคส:
“สามารถใช้งานได้ตามปกติครับในส่วนที่รออนุมัติจะอนุมัติภายใน 1-2 วันทำการครับ”
ตัวอย่างที่ถูกต้องมากขึ้น:
“จากการตรวจสอบ ร้านค้าไม่ได้ติดสถานะรออนุมัติ และสามารถเปิดร้านได้ตามปกติครับ หากร้านยังไม่แสดงออนไลน์ รบกวนตรวจสอบการเปิดร้านในระบบอีกครั้งครับ”</t>
  </si>
  <si>
    <t>ภาษาสุภาพ แต่มีการใช้คำลงท้ายไม่สอดคล้องกันเล็กน้อย เช่น แอดมินใช้ “ครับ” แต่ในข้อความขอข้อมูลใช้ “ดังนี้ค่ะ” และมีประโยคที่ควรเว้นวรรคหรือเรียบเรียงใหม่เพื่อให้อ่านง่ายขึ้น
เงื่อนไขที่ใช้หักคะแนนตามไฟล์:
พลาดเล็กน้อย
หัก 1 คะแนน
ตัวอย่างจากเคส:
“แอดมินขอรบกวนข้อมูลเพิ่มเติมจากทางร้านค้า เพื่อใช้ในการตรวจสอบ ดังนี้ค่ะ”
“สามารถใช้งานได้ตามปกติครับในส่วนที่รออนุมัติจะอนุมัติภายใน 1-2 วันทำการครับ”
ตัวอย่างที่ถูกต้องมากขึ้น:
“แอดมินขอรบกวนข้อมูลเพิ่มเติมจากทางร้านค้า เพื่อใช้ในการตรวจสอบ ดังนี้ครับ”
“สามารถใช้งานได้ตามปกติครับ หากยังพบปัญหาร้านไม่ขึ้นออนไลน์ สามารถแจ้งกลับมาให้แอดมินตรวจสอบเพิ่มเติมได้ครับ”</t>
  </si>
  <si>
    <t>น้ำเสียงของแอดมินสุภาพและเหมาะสม มีการขอข้อมูลและแจ้งผลด้วยท่าทีพร้อมช่วยเหลือ ไม่พบถ้อยคำที่ไม่เหมาะสมต่อร้านค้า
เงื่อนไขที่ใช้หักคะแนนตามไฟล์:
ไม่เข้ากลุ่มพลาด</t>
  </si>
  <si>
    <t>ร้านค้าสอบถามสถานะร้านไม่ขึ้นออนไลน์ในระบบ (Merchant Inquires About Store Not Showing Online in the System)</t>
  </si>
  <si>
    <t>ร้านค้าติดต่อเข้ามาแจ้งว่าร้านค้าในระบบ Robinhood ไม่ขึ้นออนไลน์ และต้องการทราบว่าต้องทำอย่างไรเพื่อให้ร้านแสดงในระบบ</t>
  </si>
  <si>
    <t>https://drive.google.com/open?id=1BGOMKOjtWC6VX18wP2J3w-W7C3doL_EH</t>
  </si>
  <si>
    <t>AA237624</t>
  </si>
  <si>
    <t>https://app.oho.chat/business/6805c0f16232119d2a1204b5/smartchat?room=68a976d92dad757d15e8da1d</t>
  </si>
  <si>
    <t>เคสนี้มีการทักทายและมีการปิดการสนทนา แต่ยังไม่ครบตามเงื่อนไข เพราะชื่อแอดมิน/ชื่อผู้ให้บริการปรากฏไม่ครบอย่างน้อย 2 ครั้ง โดยตอนทักทายมีการแจ้ง “แอดมินขนมถ้วย” แต่ตอนปิดแชทไม่ได้ลงชื่อแอดมินหรือชื่อผู้ให้บริการซ้ำ
เงื่อนไขที่ใช้หักคะแนนตามไฟล์:
พลาดเล็กน้อย
หัก 2 คะแนน
ตัวอย่างจากเคส:
“สวัสดีครับ แอดมินขนมถ้วย ยินดีให้บริการครับ”
ตอนปิดแชทมีการขออนุญาตปิดเคส แต่ไม่ได้ลงท้ายชื่อแอดมิน/ชื่อผู้ให้บริการซ้ำให้ครบตามมาตรฐาน
ตัวอย่างที่ถูกต้องมากขึ้น:
“หากได้รับข้อมูลครบถ้วนและไม่มีข้อสอบถามเพิ่มเติมแล้ว แอดมินขออนุญาตปิดแชทนี้นะครับ หากมีปัญหาการใช้งานอื่น ๆ สามารถติดต่อเข้ามาได้เสมอครับ ขอบคุณที่ใช้บริการ Robinhood แอดมินขนมถ้วยยินดีให้บริการครับ 🙏</t>
  </si>
  <si>
    <t>แอดมินตอบกลับอยู่ใน SLA และแจ้งขั้นตอนหลักได้ว่าไรเดอร์ต้องอบรมและทำแบบสอบถามก่อน แต่ยังมีข้อมูลไม่ตรง Process ในส่วนระยะเวลาดำเนินการ เพราะแจ้งว่าอนุมัติภายใน 3–5 วันทำการ ทั้งที่ Process ระบุว่าหลังไรเดอร์ดำเนินการตามขั้นตอนและส่งเอกสารครบถ้วนแล้ว ระบบจะเปิดให้ภายใน 3 วันทำการ อีกทั้งยังไม่ได้ทวนข้อมูลสถานะเอกสารก่อนแจ้งผล
เงื่อนไขที่ใช้หักคะแนนตามไฟล์:
พลาดเล็กน้อย
หัก 2 คะแนน
ตัวอย่างจากเคส:
“หากส่งเรียบร้อยแล้วจะต้องอบรมและทำแบบสอบถามก่อนนะครับ จากนั้นจะรออนุมัติภายใน 3-5 วันทำการครับ”
ตัวอย่างที่ถูกต้องมากขึ้น:
“จากการตรวจสอบ ตอนนี้พี่ไรเดอร์ยังขาดรูปโปรไฟล์นะครับ หลังจากอัปโหลดรูปครบ อบรม และทำแบบสอบถามเรียบร้อยแล้ว ระบบจะเปิดให้ภายใน 3 วันทำการครับ</t>
  </si>
  <si>
    <t>แอดมินตอบถูกในส่วนที่แจ้งว่าพี่ไรเดอร์ยังขาดรูปโปรไฟล์ และต้องอบรม/ทำแบบสอบถามก่อน แต่มีข้อมูลไม่ถูกต้องในส่วนระยะเวลา เพราะแจ้งว่ารออนุมัติภายใน 3–5 วันทำการ ทั้งที่ Process ที่ถูกต้องคือระบบจะเปิดให้ภายใน 3 วันทำการ หลังจากไรเดอร์ดำเนินการตามขั้นตอนและส่งเอกสารครบถ้วนแล้ว
เงื่อนไขที่ใช้หักคะแนนตามไฟล์:
พลาดเล็กน้อยถึงปานกลาง
หัก 3 คะแนน
ตัวอย่างจากเคส:
“จากนั้นจะรออนุมัติภายใน 3-5 วันทำการครับ”
ตัวอย่างที่ถูกต้องมากขึ้น:
“หลังจากพี่ไรเดอร์ส่งเอกสารครบ อบรม และทำแบบสอบถามเรียบร้อยแล้ว ระบบจะเปิดให้ภายใน 3 วันทำการครับ”</t>
  </si>
  <si>
    <t>แอดมินตอบคำถามหลักได้ว่าเอกสารที่ขาดคือรูปโปรไฟล์ และแจ้งว่าต้องอบรมกับทำแบบสอบถามก่อน แต่คำตอบยังไม่ครบ เพราะไม่ได้ทวนข้อมูลสำคัญก่อนตอบ เช่น RR และสถานะเอกสารที่ตรวจสอบพบ อีกทั้งยังไม่ได้อธิบายให้ชัดว่าระยะเวลา 3 วันทำการจะเริ่มนับหลังจากไรเดอร์ส่งเอกสารครบและทำตามขั้นตอนครบแล้ว
เงื่อนไขที่ใช้หักคะแนนตามไฟล์:
พลาดเล็กน้อยถึงปานกลาง
หัก 3 คะแนน
ตัวอย่างจากเคส:
แอดมินตอบว่า “ขาดรูปโปรไฟล์” และ “รออนุมัติภายใน 3–5 วันทำการ” แต่ยังไม่ได้บอกเงื่อนไขการนับระยะเวลาที่ถูกต้อง
ตัวอย่างที่ถูกต้องมากขึ้น:
“ขอทวนข้อมูลนะครับ พี่ไรเดอร์ RR692544 ตอนนี้ยังขาดรูปโปรไฟล์ หลังจากอัปโหลดรูปโปรไฟล์ อบรม และทำแบบสอบถามครบแล้ว ระบบจะเปิดให้ภายใน 3 วันทำการครับ”</t>
  </si>
  <si>
    <t>แอดมินแจ้งขั้นตอนหลักได้บางส่วน แต่ยังไม่ครบถ้วน เพราะระยะเวลาที่แจ้งไม่ตรงกับ Process และยังไม่ได้อธิบายลำดับให้ชัดว่า พี่ไรเดอร์ต้องส่งเอกสารให้ครบก่อน จากนั้นจึงเข้าอบรม ทำแบบสอบถาม และรอระบบเปิดให้ภายใน 3 วันทำการ
เงื่อนไขที่ใช้หักคะแนนตามไฟล์:
พลาดปานกลาง
หัก 2 คะแนน
ตัวอย่างจากเคส:
“หากส่งเรียบร้อยแล้วจะต้องอบรมและทำแบบสอบถามก่อนนะครับ จากนั้นจะรออนุมัติภายใน 3-5 วันทำการครับ”
ตัวอย่างที่ถูกต้องมากขึ้น:
“รบกวนพี่ไรเดอร์อัปโหลดรูปโปรไฟล์ให้ครบก่อนนะครับ หลังจากส่งเอกสารครบ อบรม และทำแบบสอบถามเรียบร้อยแล้ว ระบบจะเปิดให้ภายใน 3 วันทำการครับ”</t>
  </si>
  <si>
    <t>แอดมินตอบคำถามได้บางส่วน โดยแจ้งได้ว่าพี่ไรเดอร์ขาดรูปโปรไฟล์ และต้องอบรมพร้อมทำแบบสอบถามก่อน แต่คำตอบยังไม่ครบ เพราะระยะเวลาที่แจ้งไม่ตรงกับ Process และยังไม่ได้อธิบายให้ชัดว่า ระบบจะเปิดให้ภายใน 3 วันทำการ หลังจากพี่ไรเดอร์ส่งเอกสารครบ อบรม และทำแบบสอบถามครบแล้ว
เงื่อนไขที่ใช้หักคะแนนตามไฟล์:
พลาดเล็กน้อยถึงปานกลาง
หัก 3 คะแนน
ตัวอย่างจากเคส:
พี่ไรเดอร์ถามว่า “ส่งแล้วรอประมาณกี่วันครับถึงจะเปิดระบบ” แต่แอดมินแจ้งระยะเวลาเป็น 3–5 วันทำการ ซึ่งไม่ตรง Process
ตัวอย่างที่ถูกต้องมากขึ้น:
“หลังจากส่งเอกสารครบ อบรม และทำแบบสอบถามเรียบร้อยแล้ว ระบบจะเปิดให้ภายใน 3 วันทำการครับ”</t>
  </si>
  <si>
    <t>แอดมินแจ้งแนวทางต่อไว้บางส่วนว่า พี่ไรเดอร์ต้องอบรมและทำแบบสอบถามก่อน แต่ยังอธิบายไม่ครบ เพราะไม่ได้บอกให้ชัดว่าตอนนี้ต้องอัปโหลดรูปโปรไฟล์ให้ครบก่อน จากนั้นเมื่ออบรมและทำแบบสอบถามครบแล้ว ระบบจะเปิดให้ภายใน 3 วันทำการ รวมถึงควรแจ้งเพิ่มเติมว่าหากครบกำหนดแล้วยังเปิดระบบไม่ได้ สามารถติดต่อกลับมาให้แอดมินตรวจสอบต่อได้
เงื่อนไขที่ใช้หักคะแนนตามไฟล์:
พลาดเล็กน้อยถึงปานกลาง
หัก 3 คะแนน
ตัวอย่างจากเคส:
แอดมินแจ้งเพียงว่าต้องอบรม ทำแบบสอบถาม และรออนุมัติ 3–5 วันทำการ แต่ยังไม่ได้ย้ำขั้นตอนต่อให้ครบ
ตัวอย่างที่ถูกต้องมากขึ้น:
“รบกวนพี่ไรเดอร์อัปโหลดรูปโปรไฟล์ให้ครบก่อนนะครับ หลังจากอบรมและทำแบบสอบถามเรียบร้อยแล้ว ระบบจะเปิดให้ภายใน 3 วันทำการ หากครบเวลาแล้วยังไม่สามารถใช้งานได้ สามารถติดต่อกลับมาให้แอดมินตรวจสอบเพิ่มเติมได้ครับ”</t>
  </si>
  <si>
    <t>ข้อความสั้น อ่านง่าย และเข้าใจประเด็นหลักได้ ไม่ยาวหรือซับซ้อน
เงื่อนไขที่ใช้หักคะแนนตามไฟล์:
ไม่เข้ากลุ่มพลาด</t>
  </si>
  <si>
    <t>ภาษาที่ใช้สุภาพ กระชับ และไม่พบคำสะกดผิดที่มีผลต่อความเข้าใจ
เงื่อนไขที่ใช้หักคะแนนตามไฟล์:
ไม่เข้ากลุ่มพลาด</t>
  </si>
  <si>
    <t>น้ำเสียงของแอดมินสุภาพ เหมาะสม และตอบด้วยท่าทีพร้อมช่วยเหลือ ไม่พบถ้อยคำที่ไม่เหมาะสมต่อพี่ไรเดอร์
เงื่อนไขที่ใช้หักคะแนนตามไฟล์:
ไม่เข้ากลุ่มพลาด</t>
  </si>
  <si>
    <t>ไรเดอร์สอบถามเอกสารที่ยังขาดเพื่อเปิดระบบ (Rider Inquires About Missing Documents for Account Activation)</t>
  </si>
  <si>
    <t>พี่ไรเดอร์ติดต่อเข้ามาสอบถามว่า “ขาดรูปอย่างเดียวใช่ไหมครับ” เพื่อยืนยันว่าเอกสารที่ยังขาดสำหรับการเปิดระบบมีเพียงรูปโปรไฟล์หรือไม่</t>
  </si>
  <si>
    <t>https://drive.google.com/open?id=1GOPQN0y9rsL_vfnl4Pb6rd3GbFtyfxJs</t>
  </si>
  <si>
    <t>AA235974</t>
  </si>
  <si>
    <t>https://app.oho.chat/business/6805c0f16232119d2a1204b5/smartchat?room=685ccb8ffed74568ece31898</t>
  </si>
  <si>
    <t>เคสนี้มีการทักทายและปิดการสนทนาครบตามมาตรฐาน ชื่อแอดมินปรากฏมากกว่า 2 ครั้ง และข้อความสุดท้ายเป็นข้อความของแอดมินที่ปิดเคสเรียบร้อย จึงไม่หักคะแนนในหัวข้อนี้
เงื่อนไขที่ใช้หักคะแนนตามไฟล์:
ไม่เข้ากลุ่มพลาด</t>
  </si>
  <si>
    <t>เคสนี้เกี่ยวกับการรีเซ็ตรหัสผ่านของร้านค้า ซึ่งเป็นข้อมูลสำคัญ แต่ไม่พบว่าแอดมินยืนยันตัวตนร้านค้าก่อนดำเนินการ เช่น ชื่อ-นามสกุลเจ้าของกิจการ และเลข 5 หลักสุดท้ายของบัตรประชาชน การแจ้งรหัสผ่านผ่านช่องทางแชทสามารถทำได้ในบางกรณี แต่ควรทำหลังจากตรวจสอบและยืนยันตัวตนครบก่อน จึงต้องหักคะแนนในหัวข้อนี้
เงื่อนไขที่ใช้หักคะแนนตามไฟล์:
พลาดปานกลาง
หัก 5 คะแนน
ตัวอย่างจากเคส:
แอดมินแจ้งอีเมลและรหัสผ่านใหม่ให้ร้านค้าในแชท แต่ไม่พบขั้นตอนยืนยันตัวตนก่อน
ตัวอย่างที่ถูกต้องมากขึ้น:
“รบกวนร้านค้ายืนยันข้อมูลเจ้าของกิจการก่อนนะคะ ขอชื่อ-นามสกุล และเลข 5 หลักสุดท้ายของบัตรประชาชน เพื่อให้แอดมินตรวจสอบความถูกต้องก่อนดำเนินการค่ะ”</t>
  </si>
  <si>
    <t>แอดมินตอบกลับอยู่ใน SLA แต่ขั้นตอนการดำเนินการยังไม่ครบ เพราะไม่พบการยืนยันตัวตนก่อนรีเซ็ตรหัสผ่าน และไม่พบการบันทึกหรือเปิดเคส Support Center สำหรับการดำเนินการรีเซ็ตรหัสผ่านให้ร้านค้า จึงยังไม่เป็นไปตามขั้นตอนที่ควรทำครบถ้วน
เงื่อนไขที่ใช้หักคะแนนตามไฟล์:
พลาดปานกลาง
หัก 5 คะแนน
ตัวอย่างจากเคส:
“แอดมินจะดำเนินการรีเซ็ตรหัสผ่านให้อีกครั้งนะคะ”
แต่ไม่พบขั้นตอนยืนยันตัวตนและไม่พบการบันทึกเคส Support Center
ตัวอย่างที่ถูกต้องมากขึ้น:
“หลังจากยืนยันตัวตนครบแล้ว แอดมินจะดำเนินการรีเซ็ตรหัสผ่านให้ และบันทึกเคสตามขั้นตอนนะคะ”</t>
  </si>
  <si>
    <t>แอดมินให้ข้อมูลที่ช่วยให้ร้านค้าเข้าสู่ระบบได้ โดยแจ้งอีเมลและรหัสผ่านใหม่หลังจากรีเซ็ตให้แล้ว แต่คำตอบยังไม่สมบูรณ์ เพราะไม่พบการยืนยันตัวตนก่อนแจ้งข้อมูลสำคัญ และไม่ได้แจ้งให้ชัดว่าดำเนินการรีเซ็ตรหัสผ่านเรียบร้อยแล้ว
เงื่อนไขที่ใช้หักคะแนนตามไฟล์:
พลาดเล็กน้อยถึงปานกลาง
หัก 3 คะแนน
ตัวอย่างจากเคส:
“รบกวนร้านค้าเข้าสู่ระบบดังนี้ อีเมล... รหัสผ่าน...”
ตัวอย่างที่ถูกต้องมากขึ้น:
“แอดมินดำเนินการรีเซ็ตรหัสผ่านให้เรียบร้อยแล้ว หลังจากยืนยันข้อมูลร้านค้าครบถ้วน รบกวนร้านค้าเข้าสู่ระบบด้วยอีเมลและรหัสผ่านใหม่ได้เลยค่ะ”</t>
  </si>
  <si>
    <t>แอดมินแจ้งข้อมูลสำหรับเข้าใช้งานให้ร้านค้าแล้ว แต่คำตอบยังไม่ครบ เพราะไม่ได้ยืนยันตัวตนก่อน ไม่ได้แจ้งทางเลือกอื่น เช่น การกดลืมรหัสผ่านด้วยตนเอง หรือการเข้าสู่ระบบด้วยเบอร์โทรศัพท์และรับ OTP หากร้านค้าผูกเบอร์ไว้แล้ว รวมถึงไม่ได้แจ้งว่าหากยังเข้าไม่ได้ต้องทำอย่างไรต่อ
เงื่อนไขที่ใช้หักคะแนนตามไฟล์:
พลาดปานกลาง
หัก 4 คะแนน
ตัวอย่างจากเคส:
แอดมินแจ้งรหัสผ่านใหม่ให้ร้านค้า แต่ไม่ได้ให้ทางเลือกอื่นหรือขั้นตอนต่อหากยังเข้าไม่ได้
ตัวอย่างที่ถูกต้องมากขึ้น:
“ร้านค้าสามารถลองเข้าสู่ระบบด้วยอีเมลและรหัสผ่านใหม่ได้เลยค่ะ หากยังเข้าไม่ได้ สามารถแจ้งกลับมาให้แอดมินตรวจสอบเพิ่มเติม หรือหากผูกเบอร์ไว้สามารถเข้าใช้งานด้วยเบอร์โทรศัพท์เพื่อรับ OTP ได้ค่ะ”</t>
  </si>
  <si>
    <t>แอดมินแจ้งอีเมลและรหัสผ่านใหม่ให้ร้านค้าใช้เข้าสู่ระบบแล้ว แต่ยังอธิบายขั้นตอนต่อไปไม่ครบ เช่น หากยังเข้าไม่ได้ต้องแจ้งกลับมาอย่างไร หรือต้องลองเข้าใช้งานผ่าน OTP ได้หรือไม่ ทำให้ร้านค้ายังอาจไม่ชัดเจนว่าต้องทำอย่างไรต่อ
เงื่อนไขที่ใช้หักคะแนนตามไฟล์:
พลาดปานกลาง
หัก 2 คะแนน
ตัวอย่างจากเคส:
“รบกวนร้านค้าเข้าสู่ระบบดังนี้...”
ตัวอย่างที่ถูกต้องมากขึ้น:
“รบกวนร้านค้าลองเข้าสู่ระบบด้วยอีเมลและรหัสผ่านใหม่ หากยังพบปัญหาให้แจ้งกลับมาได้เลยค่ะ หรือสามารถลองเข้าสู่ระบบด้วยเบอร์โทรศัพท์เพื่อรับ OTP ได้ หากร้านค้าผูกเบอร์ไว้ในระบบค่ะ</t>
  </si>
  <si>
    <t>แอดมินช่วยแก้ปัญหาให้ร้านค้าได้บางส่วน เพราะดำเนินการรีเซ็ตรหัสผ่านและแจ้งข้อมูลให้ร้านค้าลองเข้าสู่ระบบ แต่การแก้ปัญหายังขาดขั้นตอนสำคัญ คือไม่พบการยืนยันตัวตนก่อน และไม่พบการตรวจสอบหรือบันทึกเคสตามขั้นตอน จึงยังไม่ถือว่าแก้ปัญหาได้ครบถ้วน
เงื่อนไขที่ใช้หักคะแนนตามไฟล์:
พลาดปานกลาง
หัก 6 คะแนน
ตัวอย่างจากเคส:
แอดมินรีเซ็ตรหัสผ่านให้ร้านค้า แต่ไม่พบการยืนยันตัวตนก่อนดำเนินการ
ตัวอย่างที่ถูกต้องมากขึ้น:
“แอดมินขอยืนยันตัวตนก่อนนะคะ หลังจากตรวจสอบครบแล้วจะดำเนินการรีเซ็ตรหัสผ่านให้ และแจ้งข้อมูลกลับในแชทนี้ค่ะ”</t>
  </si>
  <si>
    <t>แอดมินรับเรื่องและช่วยดำเนินการให้แล้ว แต่ยังแจ้งขั้นตอนต่อไปไม่ครบ เพราะหลังส่งรหัสผ่านใหม่ ยังไม่ได้บอกว่าหากร้านค้ายังเข้าไม่ได้ให้ติดต่อกลับมาเพื่อตรวจสอบต่อ และยังไม่ได้แนะนำทางเลือกการเข้าใช้งานด้วย OTP ซึ่งอาจช่วยให้ร้านค้าเข้าใช้งานได้สะดวกขึ้น
เงื่อนไขที่ใช้หักคะแนนตามไฟล์:
พลาดปานกลาง
หัก 4 คะแนน
ตัวอย่างจากเคส:
แอดมินแจ้งรหัสผ่านใหม่และปิดเคส โดยยังไม่ได้ให้แนวทางเพิ่มเติมหากร้านค้ายังเข้าไม่ได้
ตัวอย่างที่ถูกต้องมากขึ้น:
“หากลองเข้าสู่ระบบด้วยรหัสผ่านใหม่แล้วยังเข้าไม่ได้ รบกวนแจ้งกลับมาได้เลยนะคะ แอดมินจะช่วยตรวจสอบต่อให้ หรือร้านค้าสามารถเข้าสู่ระบบด้วยเบอร์โทรศัพท์และรับ OTP ได้ หากผูกเบอร์ไว้ในระบบค่ะ”</t>
  </si>
  <si>
    <t>ข้อความโดยรวมอ่านง่ายและเข้าใจได้ แต่ขั้นตอนการแจ้งยังข้ามลำดับสำคัญไป ควรเรียงจากยืนยันตัวตน ตรวจสอบ แล้วจึงแจ้งผลหรือรหัสผ่านใหม่ จะทำให้ร้านค้าเข้าใจขั้นตอนชัดเจนกว่าเดิม
เงื่อนไขที่ใช้หักคะแนนตามไฟล์:
พลาดเล็กน้อย
หัก 1 คะแนน</t>
  </si>
  <si>
    <t>ภาษาสุภาพ กระชับ และไม่พบคำสะกดผิดที่มีผลต่อความเข้าใจในเคสนี้
เงื่อนไขที่ใช้หักคะแนนตามไฟล์:
ไม่เข้ากลุ่มพลาด</t>
  </si>
  <si>
    <t>น้ำเสียงของแอดมินสุภาพและพร้อมช่วยเหลือ แต่เนื่องจากเป็นเคสเกี่ยวกับการเข้าสู่ระบบและรหัสผ่าน แอดมินควรสื่อสารให้รอบคอบกว่านี้ เช่น แจ้งว่าต้องยืนยันตัวตนก่อนดำเนินการ เพื่อให้ร้านค้ามั่นใจว่าขั้นตอนปลอดภัยและถูกต้อง
เงื่อนไขที่ใช้หักคะแนนตามไฟล์:
พลาดเล็กน้อย
หัก 1 คะแนน</t>
  </si>
  <si>
    <t>ร้านค้าเข้าสู่ระบบไม่ได้ / ขอรีเซ็ตรหัสผ่าน (Merchant Login Issue / Password Reset Request)</t>
  </si>
  <si>
    <t>ร้านค้าแจ้งว่าเข้าใช้งานระบบไม่ได้ พร้อมส่งภาพหน้าจอที่แสดงว่ารหัสผ่านหรืออีเมลไม่ถูกต้อง แอดมินรับเรื่องและแจ้งว่าจะตรวจสอบ จากนั้นแจ้งว่าจะรีเซ็ตรหัสผ่านให้ และส่งอีเมลพร้อมรหัสผ่านใหม่ให้ร้านค้าในแชท</t>
  </si>
  <si>
    <t>https://drive.google.com/open?id=15kiF5I0wruLPL5hrZt26jcAVLRnDJfxh</t>
  </si>
  <si>
    <t>AA236144</t>
  </si>
  <si>
    <t>https://app.oho.chat/business/6805c0f16232119d2a1204b5/smartchat?room=682efa76068d3939807b6d31</t>
  </si>
  <si>
    <t>เคสนี้มีการทักทายและปิดการสนทนาครบตามมาตรฐาน ชื่อแอดมิน “แอดมินขนมดอกจอก” ปรากฏครบมากกว่า 2 ครั้ง และข้อความสุดท้ายเป็นข้อความของแอดมินที่ปิดเคสเรียบร้อย จึงไม่หักคะแนนในหัวข้อนี้
เงื่อนไขที่ใช้หักคะแนนตามไฟล์:
ไม่เข้ากลุ่มพลาด</t>
  </si>
  <si>
    <t>ไม่พบการขอหรือเปิดเผยข้อมูลส่วนบุคคลเกินความจำเป็น และไม่มีการให้ข้อมูลที่ขัดกับนโยบาย แอดมินให้ข้อมูลในภาพรวมเกี่ยวกับการกระจายงานของระบบเท่านั้น
เงื่อนไขที่ใช้หักคะแนนตามไฟล์:
ไม่เข้ากลุ่มพลาด</t>
  </si>
  <si>
    <t>แอดมินตอบกลับอยู่ใน SLA และตอบตามแนว Process ได้บางส่วน คือแจ้งว่าระบบกระจายงานตามความเหมาะสมและระยะทางที่ใกล้ที่สุด ไม่สามารถจ่ายงานให้เฉพาะรายได้ แต่ยังไม่ได้ให้คำแนะนำตามขั้นตอนครบ เช่น ให้ตรวจสอบแผนที่งาน ขยับไปโซนสีแดงเข้ม หรือดู Rank ในแอป
เงื่อนไขที่ใช้หักคะแนนตามไฟล์:
พลาดเล็กน้อย
หัก 1 คะแนน
ตัวอย่างจากเคส:
“ระบบจะทำการกระจายงานตามความเหมาะสมและระยะทางที่ใกล้ที่สุด ขออนุญาตแนะนำให้รอระบบจ่ายงานตามลำดับนะคะ”
ตัวอย่างที่ถูกต้องมากขึ้น:
“แอดมินไม่สามารถจ่ายงานให้เป็นรายบุคคลได้นะคะ แนะนำให้พี่ไรเดอร์ตรวจสอบแผนที่งานในแอป และลองขยับไปพื้นที่สีแดงเข้มหรือพื้นที่ที่มีงานหนาแน่น เพื่อเพิ่มโอกาสรับงานค่ะ”</t>
  </si>
  <si>
    <t>แอดมินตอบถูกในประเด็นหลัก โดยแจ้งว่าระบบเป็นผู้กระจายงานอัตโนมัติ และการอยู่ในพื้นที่สีแดงไม่ได้หมายความว่าจะได้รับงานทันที เพราะระบบจะพิจารณาจากจำนวนไรเดอร์ ความเหมาะสม และระยะทางร่วมด้วย อย่างไรก็ตาม คำตอบยังไม่ครบตาม Process เพราะยังไม่ได้แนะนำแนวทางอื่นที่ควรตรวจสอบเพิ่มเติม
เงื่อนไขที่ใช้หักคะแนนตามไฟล์:
พลาดเล็กน้อย
หัก 1 คะแนน
ตัวอย่างจากเคส:
“แม้จะมีคำสั่งซื้อเข้ามามาก แต่หากมีไรเดอร์รอรับงานในบริเวณนั้นจำนวนมากเช่นกัน ระบบจะทำการกระจายงานตามความเหมาะสมและระยะทางที่ใกล้ที่สุด”
ตัวอย่างที่ถูกต้องมากขึ้น:
“ระบบจะกระจายงานอัตโนมัติตามตำแหน่ง เวลา และความเหมาะสม แอดมินไม่สามารถกดจ่ายงานให้เฉพาะรายได้ค่ะ”</t>
  </si>
  <si>
    <t>แอดมินตอบประเด็นหลักได้ แต่คำตอบยังไม่ครบตาม Process เพราะไม่ได้แนะนำวิธีเพิ่มโอกาสรับงานให้พี่ไรเดอร์อย่างครบถ้วน เช่น การเปิดดูแผนที่งานในแอป Robinhood Rider, การขยับไปโซนสีแดงเข้ม, การดูจำนวนงานและ Rank ปัจจุบันในแอป รวมถึงไม่ได้แจ้งว่าระบบจะกระจายงานอัตโนมัติ ไม่สามารถกำหนดงานให้เป็นรายบุคคลได้อย่างชัดเจนในข้อความของแอดมิน
เงื่อนไขที่ใช้หักคะแนนตามไฟล์:
พลาดปานกลาง
หัก 3 คะแนน
ตัวอย่างจากเคส:
แอดมินแจ้งให้รอระบบจ่ายงานตามลำดับ แต่ยังไม่ได้แนะนำให้ตรวจสอบแผนที่งานหรือขยับไปพื้นที่สีแดงเข้ม
ตัวอย่างที่ถูกต้องมากขึ้น:
“แนะนำให้พี่ไรเดอร์เปิดแผนที่งานในแอป Robinhood Rider เพื่อดูพื้นที่ที่มีงานหนาแน่น หากต้องการเพิ่มโอกาสรับงาน สามารถขยับไปโซนสีแดงเข้ม และติดตามจำนวนงาน/Rank ปัจจุบันในแอปได้ค่ะ”</t>
  </si>
  <si>
    <t>แอดมินอธิบายหลักการกระจายงานได้พอเข้าใจ แต่ยังไม่ได้บอกขั้นตอนที่พี่ไรเดอร์ควรทำต่ออย่างชัดเจน เช่น ให้กดเข้าเมนูแผนที่งานในแอป ดูโซนสีแดงเข้ม หรือเช็ก Rank ปัจจุบัน ทำให้คำตอบยังเป็นข้อมูลกว้าง ๆ มากกว่าการแนะนำขั้นตอนใช้งานจริง
เงื่อนไขที่ใช้หักคะแนนตามไฟล์:
พลาดปานกลาง
หัก 2 คะแนน
ตัวอย่างจากเคส:
“ขออนุญาตแนะนำให้รอระบบจ่ายงานตามลำดับนะคะ”
ตัวอย่างที่ถูกต้องมากขึ้น:
“พี่ไรเดอร์สามารถเปิดแอป Robinhood Rider แล้วกดที่ ‘แผนที่งาน’ เพื่อดูพื้นที่ที่มีงานหนาแน่น จากนั้นขยับไปพื้นที่สีแดงเข้มหรือจุดที่มีออเดอร์มากขึ้น เพื่อเพิ่มโอกาสรับงานค่ะ”</t>
  </si>
  <si>
    <t>แอดมินเข้าใจปัญหาหลักว่าพี่ไรเดอร์ต้องการให้งานเข้า และตอบได้ตรงจุดในระดับหนึ่งว่าแอดมินไม่สามารถควบคุมการจ่ายงานได้ เพราะระบบกระจายงานตามความเหมาะสม แต่การช่วยยังไม่ครบ เพราะควรแนะนำวิธีที่พี่ไรเดอร์ทำเองได้เพื่อเพิ่มโอกาสรับงาน เช่น เช็กแผนที่งาน ย้ายไปโซนสีแดงเข้ม และดู Rank ในแอป
เงื่อนไขที่ใช้หักคะแนนตามไฟล์:
พลาดเล็กน้อยถึงปานกลาง
หัก 3 คะแนน
ตัวอย่างจากเคส:
แอดมินอธิบายว่าระบบกระจายงานตามความเหมาะสม แต่ยังไม่ได้ให้แนวทางเพิ่มโอกาสรับงานครบตาม Process
ตัวอย่างที่ถูกต้องมากขึ้น:
“แอดมินไม่สามารถเพิ่มงานให้เฉพาะรายได้ แต่พี่ไรเดอร์สามารถเพิ่มโอกาสรับงานได้โดยดูแผนที่งาน เลือกพื้นที่สีแดงเข้ม และรักษา Rank จากจำนวนงานที่สำเร็จค่ะ”</t>
  </si>
  <si>
    <t>แอดมินมีการอธิบายและให้คำแนะนำแล้ว แต่ยังบอกแนวทางต่อไม่ชัดพอ เพราะแจ้งเพียงให้รอระบบจ่ายงานตามลำดับ ยังไม่ได้แนะนำสิ่งที่พี่ไรเดอร์สามารถทำได้ทันที เช่น เปิดดูแผนที่งานในแอป ขยับไปพื้นที่สีแดงเข้ม หรือเช็ก Rank ปัจจุบันของตัวเอง
เงื่อนไขที่ใช้หักคะแนนตามไฟล์:
พลาดปานกลาง
หัก 3 คะแนน
ตัวอย่างจากเคส:
“ขออนุญาตแนะนำให้รอระบบจ่ายงานตามลำดับนะคะ”
ตัวอย่างที่ถูกต้องมากขึ้น:
“ระหว่างรอระบบจ่ายงาน แนะนำให้พี่ไรเดอร์เปิดแผนที่งานและขยับไปพื้นที่สีแดงเข้มเพื่อเพิ่มโอกาสรับงานนะคะ รวมถึงตรวจสอบจำนวนงานและ Rank ของตนเองในแอปได้ค่ะ”</t>
  </si>
  <si>
    <t>ข้อความของแอดมินอ่านเข้าใจง่าย เรียงประเด็นไม่ซับซ้อน และไม่ยาวเกินไป
เงื่อนไขที่ใช้หักคะแนนตามไฟล์:
ไม่เข้ากลุ่มพลาด</t>
  </si>
  <si>
    <t>ภาษาสุภาพ กระชับ และไม่พบคำสะกดผิดที่กระทบต่อความเข้าใจ
เงื่อนไขที่ใช้หักคะแนนตามไฟล์:
ไม่เข้ากลุ่มพลาด</t>
  </si>
  <si>
    <t>น้ำเสียงของแอดมินสุภาพ เหมาะสมกับพี่ไรเดอร์ และมีการปิดท้ายให้กำลังใจ เช่น ขอให้ขับขี่ปลอดภัยและออเดอร์ปัง ๆ ถือว่าเหมาะกับสถานการณ์
เงื่อนไขที่ใช้หักคะแนนตามไฟล์:
ไม่เข้ากลุ่มพลาด</t>
  </si>
  <si>
    <t>ไรเดอร์สอบถามงานเข้า / ขอให้ระบบจ่ายงานเพิ่ม (Rider Inquires About Low Job Assignment)</t>
  </si>
  <si>
    <t>พี่ไรเดอร์ติดต่อเข้ามาว่า “ของานหน่อยคับ” พร้อมแนบภาพหน้าจอแผนที่งาน/สถานะรอคำสั่งซื้อ แชทบอทมีการให้ข้อมูลเบื้องต้นว่าแอดมินและทีม IT ไม่สามารถจัดสรรหรือกำหนดการจ่ายงานให้ไรเดอร์เป็นกรณีพิเศษได้</t>
  </si>
  <si>
    <t>https://drive.google.com/open?id=1rC33aLYy7DnK1RwWJhSGkdzaeV9zaTKA</t>
  </si>
  <si>
    <t>AA238473</t>
  </si>
  <si>
    <t>https://app.oho.chat/business/6805c0f16232119d2a1204b5/smartchat?room=68f468bd8dd59be4cdcba7d0</t>
  </si>
  <si>
    <t>เคสนี้มีการทักทายและปิดการสนทนาครบตามมาตรฐาน ชื่อแอดมิน “แอดมินขนมดอกจอก” ปรากฏครบมากกว่า 2 ครั้ง และข้อความสุดท้ายเป็นข้อความของแอดมินที่ขออนุญาตจบการสนทนา พร้อมเปิดโอกาสให้ติดต่อกลับและกล่าวขอบคุณ
เงื่อนไขที่ใช้หักคะแนนตามไฟล์:
ไม่เข้ากลุ่มพลาด</t>
  </si>
  <si>
    <t>แอดมินขอข้อมูลเท่าที่จำเป็นต่อการตรวจสอบ ได้แก่ หมายเลขออเดอร์และเบอร์โทรศัพท์ที่ลงทะเบียน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</si>
  <si>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และขอข้อมูลที่จำเป็นก่อนตรวจสอบ ถือว่าทำตามขั้นตอนพื้นฐานได้ดี โดยมีการขอหมายเลขออเดอร์และเบอร์โทรศัพท์ก่อนแจ้งผล อย่างไรก็ตาม หลังลูกค้าถามถึงสาเหตุที่ร้านกดยกเลิก แอดมินควรอิงจากสถานะในระบบให้ชัดเจนกว่านี้ว่า ตรวจสอบพบสถานะร้านค้าเป็นผู้กดยกเลิก ส่วนสาเหตุเพิ่มเติมมีข้อมูลยืนยันในระบบหรือไม่
เงื่อนไขที่ใช้หักคะแนนตามไฟล์:
พลาดเล็กน้อย
หัก 1 คะแนน
ตัวอย่างจากเคส:
“จากการตรวจสอบ ออเดอร์ 260516-SG-4660 ทางร้านค้าเป็นผู้ดำเนินการกดยกเลิกค่ะ”
ตัวอย่างที่ถูกต้องมากขึ้น:
“จากการตรวจสอบ ออเดอร์ 260516-SG-4660 มีสถานะถูกยกเลิกโดยร้านค้านะคะ ส่วนสาเหตุเพิ่มเติม หากระบบไม่ได้แสดงรายละเอียดชัดเจน แอดมินขอแจ้งตามข้อมูลที่ตรวจสอบพบก่อนนะคะ”</t>
  </si>
  <si>
    <t>แอดมินตอบถูกในส่วนหลักว่าออเดอร์ถูกยกเลิกโดยร้านค้า ซึ่งตรงกับสถานะที่ตรวจสอบพบคือ CANCEL MERCHANT - REJECT แต่ส่วนที่แจ้งว่า “ร้านค้าปิดค่ะ แต่ลืมปิดแอปฯ” ยังควรระวัง เพราะหากระบบไม่ได้ระบุสาเหตุนี้ชัดเจน แอดมินไม่ควรแจ้งเป็นข้อสรุปแน่นอน ควรแจ้งเท่าที่ตรวจสอบยืนยันได้จากระบบ
เงื่อนไขที่ใช้หักคะแนนตามไฟล์:
พลาดเล็กน้อย
หัก 2 คะแนน
ตัวอย่างจากเคส:
“ร้านค้าปิดค่ะ แต่ลืมปิดแอปฯ”
ตัวอย่างที่ถูกต้องมากขึ้น:
“จากระบบพบว่าออเดอร์นี้ถูกยกเลิกโดยร้านค้าค่ะ แต่ระบบไม่ได้แสดงรายละเอียดสาเหตุเพิ่มเติมชัดเจน แอดมินขออภัยในความไม่สะดวกด้วยนะคะ”</t>
  </si>
  <si>
    <t>แอดมินตอบคำถามหลักของลูกค้าได้ครบในระดับหนึ่ง โดยแจ้งว่าออเดอร์ถูกยกเลิกโดยร้านค้า และเมื่อลูกค้าถามสาเหตุก็มีการตอบกลับเพิ่มเติม แต่ยังขาดการอธิบายให้ชัดว่าข้อมูลใดเป็นข้อมูลที่ยืนยันจากระบบ และข้อมูลใดเป็นการแจ้งจากสถานะร้านค้า รวมถึงควรแจ้งแนวทางต่อให้ลูกค้า เช่น สามารถสั่งร้านอื่นใหม่ได้ หรือหากพบปัญหาร้านปิดแต่ยังแสดงในระบบซ้ำ สามารถแจ้งให้แอดมินตรวจสอบเพิ่มเติมได้
เงื่อนไขที่ใช้หักคะแนนตามไฟล์:
พลาดเล็กน้อย
หัก 2 คะแนน
ตัวอย่างจากเคส:
ลูกค้าถามว่า “สาเหตุที่กดยกเลิกล่ะคะ” แอดมินตอบว่า “ร้านค้าปิดค่ะ แต่ลืมปิดแอปฯ” แต่ไม่ได้อธิบายต่อว่าระบบยืนยันได้แค่ร้านค้าเป็นผู้กดยกเลิก
ตัวอย่างที่ถูกต้องมากขึ้น:
“จากระบบยืนยันได้ว่าออเดอร์ถูกยกเลิกโดยร้านค้าค่ะ หากคุณลูกค้าพบหลายร้านมีปัญหาเปิดอยู่แต่ไม่รับออเดอร์ สามารถส่งชื่อร้านหรือออเดอร์เพิ่มเติมมาให้แอดมินตรวจสอบได้ค่ะ”</t>
  </si>
  <si>
    <t>แอดมินแจ้งผลการตรวจสอบเป็นลำดับพอเข้าใจ เริ่มจากขอข้อมูล ตรวจสอบ และแจ้งผลว่าออเดอร์ถูกยกเลิกโดยร้านค้า แต่ควรบอกให้ชัดขึ้นว่าอ้างอิงจากสถานะในระบบ
เงื่อนไขที่ใช้หักคะแนนตามไฟล์:
พลาดเล็กน้อย
หัก 1 คะแนน
ตัวอย่างจากเคส:
“จากการตรวจสอบ ออเดอร์ 260516-SG-4660 ทางร้านค้าเป็นผู้ดำเนินการกดยกเลิกค่ะ”
ตัวอย่างที่ถูกต้องมากขึ้น:
“จากสถานะในระบบ ออเดอร์ 260516-SG-4660 ถูกยกเลิกโดยร้านค้าค่ะ หากต้องการให้ตรวจสอบร้านอื่นเพิ่มเติม แอดมินขอตรวจสอบพร้อมแจ้งกลับอีกครั้งค่ะ"</t>
  </si>
  <si>
    <t>แอดมินวิเคราะห์ปัญหาได้ตรงจุดฃ เพราะลูกค้าถามว่าออเดอร์ถูกยกเลิกเพราะอะไร แอดมินขอข้อมูลที่จำเป็นและตรวจสอบจนแจ้งได้ว่าออเดอร์ถูกยกเลิกโดยร้านค้า แต่ยังมีจุดที่ควรระวังคือการสรุปสาเหตุว่า “ร้านปิดแต่ลืมปิดแอปฯ” หากไม่มีข้อมูลยืนยันชัดเจนในระบบ อาจทำให้คำตอบดูยืนยันเกินกว่าข้อมูลที่ตรวจสอบได้
เงื่อนไขที่ใช้หักคะแนนตามไฟล์:
พลาดเล็กน้อยถึงปานกลาง
หัก 3 คะแนน
ตัวอย่างที่ถูกต้องมากขึ้น:
“ออเดอร์นี้ถูกยกเลิกโดยร้านค้าค่ะ ส่วนรายละเอียดสาเหตุเพิ่มเติมในระบบยังไม่แสดงชัดเจน แอดมินต้องขออภัยในความไม่สะดวกด้วยนะคะ”</t>
  </si>
  <si>
    <t>แอดมินมีการรับเรื่อง ตรวจสอบ และตอบคำถามลูกค้าต่อเนื่อง ถือว่ามีการดูแลเคสได้ดี แต่ next step ยังเพิ่มได้อีก เช่น หากลูกค้าพบปัญหาหลายร้านปิดแต่ยังเปิดรับออเดอร์ ควรแจ้งว่าสามารถส่งข้อมูลร้านหรือออเดอร์เพิ่มเติมมาให้ตรวจสอบได้ เพื่อให้ลูกค้ารู้ว่าปัญหานี้สามารถส่งต่อให้ตรวจสอบต่อได้ ไม่ใช่จบเพียงการขออภัย
เงื่อนไขที่ใช้หักคะแนนตามไฟล์:
พลาดเล็กน้อย
หัก 2 คะแนน
ตัวอย่างจากเคส:
ลูกค้าแจ้งว่า “เป็นหลายร้านมากค่ะ” แอดมินตอบขออภัย แต่ยังไม่ได้ขอข้อมูลเพิ่มเพื่อช่วยตรวจสอบกรณีร้านอื่น
ตัวอย่างที่ถูกต้องมากขึ้น:
“หากคุณลูกค้าพบหลายร้านที่แสดงเปิดอยู่แต่ไม่สามารถสั่งได้ สามารถแจ้งชื่อร้านหรือหมายเลขออเดอร์เพิ่มเติมเข้ามาได้เลยนะคะ แอดมินจะช่วยตรวจสอบให้ค่ะ”</t>
  </si>
  <si>
    <t>ข้อความของแอดมินอ่านง่าย เรียงลำดับชัดเจน เริ่มจากขอข้อมูล ตรวจสอบ แจ้งผล และปิดการสนทนา ไม่พบปัญหาด้านโครงสร้างข้อความ
เงื่อนไขที่ใช้หักคะแนนตามไฟล์:
ไม่เข้ากลุ่มพลาด</t>
  </si>
  <si>
    <t>ภาษาสุภาพ กระชับ และไม่พบคำสะกดผิดที่มีผลต่อความเข้าใจ
เงื่อนไขที่ใช้หักคะแนนตามไฟล์:
ไม่เข้ากลุ่มพลาด</t>
  </si>
  <si>
    <t>น้ำเสียงของแอดมินสุภาพ เหมาะสมกับสถานการณ์ มีการขออภัยเมื่อลูกค้าได้รับความไม่สะดวก และมีการถามต่อว่าลูกค้าต้องการสอบถามข้อมูลเพิ่มเติมหรือไม่ ถือว่าสื่อสารได้เหมาะสม
เงื่อนไขที่ใช้หักคะแนนตามไฟล์:
ไม่เข้ากลุ่มพลาด</t>
  </si>
  <si>
    <t>ลูกค้าสอบถามสาเหตุคำสั่งซื้อถูกยกเลิก (Customer Inquires About Order Cancellation Reason)</t>
  </si>
  <si>
    <t>ลูกค้าติดต่อเข้ามาสอบถามว่าออเดอร์ถูกยกเลิกเพราะอะไร แอดมินขอหมายเลขออเดอร์และเบอร์โทรศัพท์ที่ลงทะเบียนเพื่อตรวจสอบ จากนั้นแจ้งว่าคำสั่งซื้อหมายเลข 260516-SG-4660 ถูกยกเลิกโดยร้านค้า เมื่อลูกค้าถามต่อว่าสาเหตุที่ร้านกดยกเลิกคืออะไร แอดมินแจ้งว่า “ร้านค้าปิดค่ะ แต่ลืมปิดแอปฯ” และขออภัยในความไม่สะดวก</t>
  </si>
  <si>
    <t>https://drive.google.com/file/d/1tDy3-HZ00aJ6lAvEn4GExbTtL9oVx9ZC/view?usp=drive_link</t>
  </si>
  <si>
    <t>AA238074</t>
  </si>
  <si>
    <t>https://app.oho.chat/business/6805c0f16232119d2a1204b5/smartchat?room=6a06cbfed9effb47f53907f8</t>
  </si>
  <si>
    <t>เคสนี้มีการทักทายและปิดการสนทนาครบตามมาตรฐาน ชื่อแอดมิน “แอดมินขนมสาลี่” ปรากฏครบมากกว่า 2 ครั้ง และข้อความสุดท้ายเป็นข้อความของแอดมินที่ขออนุญาตจบการสนทนา พร้อมเปิดโอกาสให้ลูกค้าติดต่อกลับหากต้องการตรวจสอบเพิ่มเติม
เงื่อนไขที่ใช้หักคะแนนตามไฟล์:
ไม่เข้ากลุ่มพลาด</t>
  </si>
  <si>
    <t>แอดมินตอบรับเคสเร็วและดำเนินการตรวจสอบตามขั้นตอน โดยใช้หมายเลขออเดอร์ที่ลูกค้าแจ้งเพื่อตรวจสอบสถานะ และมีการดำเนินการหาไรเดอร์ทดแทนก่อนยกเลิกออเดอร์ รวมถึงมีการเปิดเคส Support Center #3524 เพื่อบันทึกปัญหาก่อนการจัดส่ง อย่างไรก็ตาม ช่วงที่ลูกค้าขอให้รอไรเดอร์ทดแทนภายใน 5 นาที หากไม่ได้ให้ยกเลิก แอดมินใช้เวลาถึง 14:58 น. จึงแจ้งยกเลิก และระหว่างนั้นไม่มีการอัปเดตสถานะให้ลูกค้าทราบ จึงยังมีจุดที่ควรปรับเรื่องการแจ้งความคืบหน้า
เงื่อนไขที่ใช้หักคะแนนตามไฟล์:
พลาดเล็กน้อย
หัก 2 คะแนน
ตัวอย่างจากเคส:
ลูกค้าแจ้งเวลา 14:47 น. ว่า “ภายใน 5 นาที ถ้าไม่มีไรเดอร์ รบกวนยกเลิกออเดอร์ไปเลยค่ะ” แต่แอดมินแจ้งยกเลิกอีกครั้งเวลา 14:58 น.
ตัวอย่างที่ถูกต้องมากขึ้น:
“แอดมินกำลังเรียกไรเดอร์ทดแทนให้นะคะ หากภายในเวลาที่แจ้งยังไม่มีไรเดอร์รับงาน แอดมินจะดำเนินการยกเลิกออเดอร์และแจ้งผลให้ทราบทันทีค่ะ”</t>
  </si>
  <si>
    <t>คำตอบของแอดมินถูกต้องในประเด็นหลัก โดยแจ้งว่าออเดอร์ร้านทำอาหารเรียบร้อยแล้ว แต่ไรเดอร์ยังไม่เข้ารับอาหาร และเมื่อลูกค้าสะดวกรอ แอดมินมีการเรียกไรเดอร์ทดแทนให้ หลังจากหาไรเดอร์ไม่ได้จึงยกเลิกออเดอร์และแจ้งข้อมูลการคืนเงินตามช่องทางบัตรเครดิตได้เหมาะสม จุดที่ยังควรปรับคือช่วงแรกแอดมินแจ้งว่าจะยกเลิกทันที ก่อนเสนอทางเลือกเรียกไรเดอร์ทดแทน ทำให้ลูกค้าต้องเป็นฝ่ายถามเองว่าระบบไม่มีเปลี่ยนไรเดอร์ให้หรือไม่
เงื่อนไขที่ใช้หักคะแนนตามไฟล์:
พลาดเล็กน้อย
หัก 1 คะแนน
ตัวอย่างจากเคส:
“แอดมินจะดำเนินการยกเลิกออเดอร์นะคะเนื่องจากร้านทำอาหารเรียบร้อยแต่ทางไรเดอร์ยังไม่เข้ารับอาหารค่ะ”
ตัวอย่างที่ถูกต้องมากขึ้น:
“จากการตรวจสอบ ร้านทำอาหารเรียบร้อยแล้ว แต่ไรเดอร์ยังไม่เข้ารับอาหารค่ะ คุณลูกค้าสะดวกรอให้แอดมินเรียกไรเดอร์ทดแทนก่อนหรือประสงค์ให้ยกเลิกออเดอร์คะ”</t>
  </si>
  <si>
    <t>แอดมินตอบครอบคลุมหลายส่วน ทั้งการตรวจสอบสถานะออเดอร์ การเสนอเรียกไรเดอร์ทดแทน การยกเลิกออเดอร์เมื่อหาไรเดอร์ไม่ได้ และการแจ้งระยะเวลาคืนเงินตามช่องทางบัตรเครดิต อย่างไรก็ตาม คำตอบยังไม่ครบตั้งแต่แรก เพราะควรเสนอทางเลือกให้ลูกค้าชัดเจนก่อน เช่น รอเรียกไรเดอร์ทดแทน หรือยกเลิกและคืนเงิน รวมถึงควรแจ้งความคืบหน้าระหว่างรอหาไรเดอร์ให้ลูกค้าทราบ
เงื่อนไขที่ใช้หักคะแนนตามไฟล์:
พลาดเล็กน้อย
หัก 2 คะแนน
ตัวอย่างจากเคส:
ลูกค้าถามว่า “ระบบไม่มีเปลี่ยนไรเดอร์ให้หรอคะ” แอดมินจึงค่อยถามว่าลูกค้าสะดวกรออาหารหรือไม่
ตัวอย่างที่ถูกต้องมากขึ้น:
“ตอนนี้ร้านทำอาหารเรียบร้อยแล้ว แต่ไรเดอร์ยังไม่เข้ารับอาหารค่ะ แอดมินสามารถช่วยเรียกไรเดอร์ทดแทนให้ได้ หากคุณลูกค้าไม่สะดวกรอแล้ว แอดมินสามารถดำเนินการยกเลิกและแจ้งข้อมูลคืนเงินให้ค่ะ</t>
  </si>
  <si>
    <t>แอดมินแจ้งขั้นตอนโดยรวมพอเข้าใจ มีการบอกว่าจะตรวจสอบ เรียกไรเดอร์ทดแทน และเมื่อยกเลิกแล้วแจ้งระยะเวลาคืนเงินชัดเจน แต่ช่วงการดำเนินการหาไรเดอร์ทดแทนยังไม่ชัด เพราะไม่ได้แจ้งว่ากำลังดำเนินการผ่านขั้นตอนใด และไม่ได้อัปเดตผลระหว่างรอจนลูกค้าต้องรอนานกว่าที่กำหนด
เงื่อนไขที่ใช้หักคะแนนตามไฟล์:
พลาดเล็กน้อย
หัก 1 คะแนน
ตัวอย่างจากเคส:
“รบกวนรอสักครู่นะคะ แอดมินดำเนินการเรียกไรเดอร์ท่านอื่นเข้ารับอาหารให้นะคะ”
ตัวอย่างที่ถูกต้องมากขึ้น:
“แอดมินกำลังดำเนินการเรียกไรเดอร์ทดแทนให้นะคะ หากไม่มีไรเดอร์รับงานภายในเวลาที่คุณลูกค้าแจ้ง แอดมินจะดำเนินการยกเลิกออเดอร์ให้ทันทีค่ะ”</t>
  </si>
  <si>
    <t>แอดมินวิเคราะห์ปัญหาได้ค่อนข้างตรงจุด เพราะเข้าใจว่าปัญหาคืออาหารล่าช้า ไรเดอร์ไม่เข้ารับอาหาร และลูกค้าต้องการติดตามออเดอร์ แอดมินมีการตรวจสอบสถานะ เรียกไรเดอร์ทดแทน และเมื่อหาไรเดอร์ไม่ได้จึงยกเลิกออเดอร์ให้ พร้อมแจ้งข้อมูลคืนเงิน จุดที่ยังขาดคือควรเสนอทางเลือกเรียกไรเดอร์ทดแทนก่อนแจ้งยกเลิก และควรอัปเดตลูกค้าระหว่างรอหาไรเดอร์ให้ชัดกว่านี้
เงื่อนไขที่ใช้หักคะแนนตามไฟล์:
พลาดเล็กน้อย
หัก 2 คะแนน
ตัวอย่างจากเคส:
แอดมินแก้ปัญหาโดยหาไรเดอร์ทดแทนและยกเลิกเมื่อหาไม่ได้ แต่การสื่อสารช่วงแรกยังทำให้ลูกค้าต้องถามเองเรื่องเปลี่ยนไรเดอร์
ตัวอย่างที่ถูกต้องมากขึ้น:
“ตอนนี้ร้านทำอาหารเรียบร้อยแล้ว แต่ไรเดอร์ยังไม่เข้ารับอาหารค่ะ แอดมินขอเสนอ 2 ทางเลือกนะคะ 1) เรียกไรเดอร์ทดแทนให้ หรือ 2) หากคุณลูกค้าไม่สะดวกรอแล้ว แอดมินดำเนินการยกเลิกและคืนเงินให้ค่ะ”</t>
  </si>
  <si>
    <t>แอดมินมีการรับเรื่อง ตรวจสอบ เรียกไรเดอร์ทดแทน และยกเลิกออเดอร์เมื่อหาไรเดอร์ไม่ได้ ถือว่ามีความรับผิดชอบต่อเคส แต่การแจ้ง next step ยังไม่ชัดพอในช่วงกลางเคส โดยเฉพาะหลังลูกค้ากำหนดเวลา 5 นาที หากไม่มีไรเดอร์ให้ยกเลิก แอดมินควรแจ้งรับทราบและอัปเดตความคืบหน้าให้ลูกค้าทราบ ไม่ควรปล่อยให้ลูกค้ารอจนถึงเวลายกเลิกโดยไม่มีข้อความอัปเดต
เงื่อนไขที่ใช้หักคะแนนตามไฟล์:
พลาดปานกลาง
หัก 3 คะแนน
ตัวอย่างจากเคส:
ลูกค้าขอให้ยกเลิกหากภายใน 5 นาทีไม่มีไรเดอร์ แต่แอดมินไม่มีข้อความรับทราบเงื่อนไขหรืออัปเดตระหว่างรอ
ตัวอย่างที่ถูกต้องมากขึ้น:
“รับทราบค่ะ แอดมินจะพยายามเรียกไรเดอร์ทดแทนให้ก่อน หากภายใน 5 นาทีไม่มีไรเดอร์รับงาน แอดมินจะดำเนินการยกเลิกออเดอร์และแจ้งผลให้ทราบนะคะ”</t>
  </si>
  <si>
    <t>ข้อความโดยรวมอ่านเข้าใจง่าย แต่บางช่วงควรเรียงลำดับทางเลือกให้ชัดกว่านี้ โดยเฉพาะช่วงที่ควรแจ้งให้ลูกค้าเลือกระหว่างรอไรเดอร์ทดแทนหรือยกเลิกออเดอร์ ก่อนที่แอดมินจะสรุปว่าจะยกเลิก
เงื่อนไขที่ใช้หักคะแนนตามไฟล์:
พลาดเล็กน้อย
หัก 1 คะแนน</t>
  </si>
  <si>
    <t>ภาษาสุภาพ กระชับ และไม่พบคำสะกดผิดที่กระทบต่อความเข้าใจ ข้อความการคืนเงินอ่านเข้าใจได้และให้รายละเอียดครบพอสมควร
เงื่อนไขที่ใช้หักคะแนนตามไฟล์:
ไม่เข้ากลุ่มพลาด</t>
  </si>
  <si>
    <t>น้ำเสียงของแอดมินสุภาพ เหมาะสมกับสถานการณ์ มีการขออภัยในความไม่สะดวก และสื่อสารด้วยท่าทีพร้อมช่วยเหลือตลอดการสนทนา
เงื่อนไขที่ใช้หักคะแนนตามไฟล์:
ไม่เข้ากลุ่มพลาด</t>
  </si>
  <si>
    <t>ลูกค้าติดตามออเดอร์ล่าช้าและยังไม่ได้รับอาหาร (Customer Follow-up on Delayed Food Delivery)</t>
  </si>
  <si>
    <t>ลูกค้าติดต่อเข้ามาติดตามออเดอร์ 260515-SF-7789 เนื่องจากระบบแจ้งว่าจะได้รับอาหารเวลา 14:16 น. แต่ปัจจุบันยังไม่ได้รับอาหาร และไรเดอร์ไม่ตอบแชท ลูกค้าสอบถามเพิ่มเติมว่าสามารถติดต่อร้านได้หรือไม่</t>
  </si>
  <si>
    <t>https://drive.google.com/open?id=1L8kLwOcGWFGrfx1v6PzVIR94ohN4qYJF</t>
  </si>
  <si>
    <t>AA237813</t>
  </si>
  <si>
    <t>https://app.oho.chat/business/6805c0f16232119d2a1204b5/smartchat?room=68f724f8600329ecd0e04bb2</t>
  </si>
  <si>
    <t>เคสนี้มีการทักทายและปิดการสนทนาครบตามมาตรฐาน ชื่อแอดมิน “แอดมินขนมสาลี่” ปรากฏครบมากกว่า 2 ครั้ง และข้อความสุดท้ายเป็นข้อความของแอดมินที่ขออนุญาตจบการสนทนา พร้อมเปิดโอกาสให้พี่ไรเดอร์ติดต่อกลับหากต้องการสอบถามเพิ่มเติม จึงไม่หักคะแนนในหัวข้อนี้
เงื่อนไขที่ใช้หักคะแนนตามไฟล์:
ไม่เข้ากลุ่มพลาด</t>
  </si>
  <si>
    <t>แอดมินมีการขอยืนยันตัวตนก่อนดำเนินการต่อ ซึ่งสอดคล้องกับ Process สำหรับเคสที่เกี่ยวกับสถานะบัญชีไรเดอร์ แต่การขอให้เห็นเลขบัตรประชาชน 13 หลักเต็มในแชทมีความอ่อนไหว ควรขอเท่าที่จำเป็น หรือแจ้งให้ชัดว่าข้อมูลใช้เพื่อยืนยันตัวตนเท่านั้น และควรระมัดระวังเรื่องการขอข้อมูลส่วนบุคคลในช่องทางแชท
เงื่อนไขที่ใช้หักคะแนนตามไฟล์:
พลาดเล็กน้อย
หัก 2 คะแนน
ตัวอย่างจากเคส:
“ถ่ายรูปตนเองคู่กับบัตรประชาชน ให้เห็นทั้งใบหน้าและรายละเอียดบนบัตรอย่างชัดเจน (ชื่อ-นามสกุล และเลขบัตรประชาชน 13 หลัก)”
ตัวอย่างที่ถูกต้องมากขึ้น:
“เพื่อยืนยันตัวตน รบกวนพี่ไรเดอร์ส่งภาพถ่ายตนเองคู่กับบัตรประชาชน โดยให้เห็นใบหน้าและข้อมูลบนบัตรชัดเจนเท่าที่จำเป็นสำหรับการตรวจสอบนะคะ ข้อมูลนี้ใช้เพื่อยืนยันตัวตนเท่านั้นค่ะ”</t>
  </si>
  <si>
    <t>แอดมินตอบกลับอยู่ใน SLA และดำเนินการตามขั้นตอนหลักได้ค่อนข้างครบ มีการตรวจสอบออเดอร์ แจ้งเหตุผลการถูกระงับ แจ้งยอดเงินที่ถูกหัก และขอให้พี่ไรเดอร์ยืนยันตัวตนก่อนดำเนินการต่อ เคสนี้ยังไม่จำเป็นต้องเปิดเคสอุทธรณ์ เพราะเป็นการระงับบัญชีเพื่อให้ไรเดอร์ติดต่อเข้ามารับทราบปัญหา อย่างไรก็ตาม ควรแจ้งขั้นตอนหลังยืนยันตัวตนให้ชัดขึ้น เช่น หลังตรวจสอบตัวตนแล้วแอดมินจะตรวจสอบสถานะบัญชีและแจ้งขั้นตอนถัดไป
เงื่อนไขที่ใช้หักคะแนนตามไฟล์:
พลาดเล็กน้อย
หัก 1 คะแนน
ตัวอย่างจากเคส:
“แอดมินดำเนินการระงับสัญญาณพี่ไรเดอร์เนื่องจากติดต่อไม่ได้ค่ะ”
ตัวอย่างที่ถูกต้องมากขึ้น:
“หลังจากยืนยันตัวตนเรียบร้อยแล้ว แอดมินจะตรวจสอบสถานะบัญชีและประวัติการระงับในระบบ เพื่อแจ้งขั้นตอนถัดไปให้ทราบนะคะ”</t>
  </si>
  <si>
    <t>คำตอบของแอดมินถูกต้องในประเด็นหลัก เพราะแจ้งได้ว่าออเดอร์ 260514-SE-9560 พี่ไรเดอร์รับอาหารแล้วแต่ไม่ได้จัดส่งให้ลูกค้า และมีการหักเงินค่าอาหาร 350 บาท ซึ่งตรงกับข้อมูลที่ตรวจสอบเพิ่มเติมว่าในระบบมีการหักเงินไรเดอร์คืนร้านค้าแล้ว รวมถึงแจ้งว่ามีการระงับบัญชีเนื่องจากติดต่อไม่ได้ อย่างไรก็ตาม ควรอธิบายให้ชัดขึ้นว่าการหักเงินเป็นไปตามระเบียบเพื่อรับผิดชอบค่าอาหารในออเดอร์ที่มีปัญหา
เงื่อนไขที่ใช้หักคะแนนตามไฟล์:
พลาดเล็กน้อย
หัก 1 คะแนน
ตัวอย่างจากเคส:
“แอดมินดำเนินการหักเงินค่าอาหารมูลค่า 350 บาทคืนให้กับลูกค้าค่ะ”
ตัวอย่างที่ถูกต้องมากขึ้น:
“กรณีรับอาหารแล้วไม่ได้จัดส่งให้ลูกค้า ระบบมีการหักเงินค่าอาหาร 350 บาท เพื่อรับผิดชอบค่าอาหารของออเดอร์ที่เกิดปัญหาค่ะ”</t>
  </si>
  <si>
    <t>แอดมินตอบได้ครบในส่วนสำคัญ คือแจ้งผลการตรวจสอบ แจ้งยอดหักเงิน และแจ้งให้ยืนยันตัวตนก่อนดำเนินการต่อ แต่ยังขาดการอธิบายขั้นตอนถัดไปให้ชัดเจน เช่น หลังยืนยันตัวตนแล้วจะตรวจสอบสถานะบัญชีอย่างไร และพี่ไรเดอร์จะต้องรอผลหรือดำเนินการต่ออย่างไร อีกทั้งควรแจ้งให้ชัดว่าขณะนี้ยังเป็นการรับทราบปัญหาและยืนยันตัวตน ไม่ใช่การยื่นอุทธรณ์เพื่อเปิดระบบทันที
เงื่อนไขที่ใช้หักคะแนนตามไฟล์:
พลาดเล็กน้อย
หัก 2 คะแนน
ตัวอย่างจากเคส:
พี่ไรเดอร์ถามว่า “แล้วผมต้องทำอย่างไรต่อครับ” แอดมินขอให้ยืนยันตัวตน แต่ยังไม่ได้แจ้งขั้นตอนหลังจากยืนยันตัวตนครบ
ตัวอย่างที่ถูกต้องมากขึ้น:
“รบกวนพี่ไรเดอร์ยืนยันตัวตนก่อนนะคะ หลังจากยืนยันตัวตนครบแล้ว แอดมินจะตรวจสอบสถานะบัญชีในระบบและแจ้งขั้นตอนถัดไปให้ทราบค่ะ</t>
  </si>
  <si>
    <t>แอดมินแจ้งขั้นตอนการยืนยันตัวตนค่อนข้างชัดเจน โดยบอกให้ถ่ายรูปตนเองคู่กับบัตรประชาชน และอธิบายว่าต้องเห็นใบหน้าและข้อมูลบนบัตร แต่ยังขาดการอธิบายลำดับหลังจากส่งเอกสารแล้ว ว่าจะนำไปตรวจสอบสถานะบัญชีหรือแจ้งผลอย่างไรต่อ
เงื่อนไขที่ใช้หักคะแนนตามไฟล์:
พลาดเล็กน้อย
หัก 1 คะแนน
ตัวอย่างจากเคส:
“รบกวนพี่ไรเดอร์ทำการยืนยันตัวตน โดยถ่ายรูปตนเองคู่กับบัตรประชาชน...”
ตัวอย่างที่ถูกต้องมากขึ้น:
“หลังจากพี่ไรเดอร์ส่งภาพยืนยันตัวตนครบแล้ว แอดมินจะตรวจสอบสถานะบัญชีในระบบ และแจ้งผลหรือขั้นตอนถัดไปให้ทราบนะคะ”</t>
  </si>
  <si>
    <t>แอดมินวิเคราะห์ปัญหาได้ตรงจุด เพราะตรวจสอบพบว่าไรเดอร์รับอาหารแล้วไม่ได้จัดส่งให้ลูกค้า และมีการระงับบัญชีเนื่องจากติดต่อไม่ได้ แอดมินแจ้งยอดหักเงินและขอให้ยืนยันตัวตนก่อนดำเนินการต่อ ซึ่งตรงกับแนวทางหลักของเคสประเภทนี้ แต่ยังควรอธิบายให้พี่ไรเดอร์เข้าใจมากขึ้นว่าเหตุใดจึงถูกหักเงินและระงับบัญชี รวมถึงหลังยืนยันตัวตนแล้วจะมีขั้นตอนตรวจสอบต่อ ไม่ใช่การปลดระบบทันที
เงื่อนไขที่ใช้หักคะแนนตามไฟล์:
พลาดเล็กน้อย
หัก 2 คะแนน
ตัวอย่างจากเคส:
แอดมินแจ้งว่า “รับอาหารแต่ไม่ได้จัดส่ง” และ “ระงับสัญญาณเนื่องจากติดต่อไม่ได้” แต่ยังไม่ได้ขยายเหตุผล/ขั้นตอนถัดไปให้ครบ
ตัวอย่างที่ถูกต้องมากขึ้น:
“กรณีนี้ระบบมีการระงับบัญชีไว้ก่อน เนื่องจากพี่ไรเดอร์รับอาหารแล้วไม่สามารถติดต่อได้และไม่ได้จัดส่งออเดอร์ หลังยืนยันตัวตนครบแล้ว แอดมินจะตรวจสอบสถานะบัญชีและแจ้งขั้นตอนถัดไปให้ทราบค่ะ”</t>
  </si>
  <si>
    <t>แอดมินมีการดูแลเคสต่อเนื่อง ตรวจสอบข้อมูล แจ้งผล และติดตามให้พี่ไรเดอร์ส่งภาพยืนยันตัวตน ถือว่ามีความรับผิดชอบต่อเคสดีระดับหนึ่ง แต่ next step ยังไม่ชัดพอ เพราะหลังขอภาพยืนยันตัวตน แอดมินไม่ได้แจ้งว่าหลังจากได้รับภาพครบแล้วจะดำเนินการตรวจสอบหรือแจ้งผลอย่างไรต่อ และเมื่อภาพที่ส่งมายังไม่ครบ ควรบอกให้ชัดว่าต้องส่งใหม่เพื่อให้ดำเนินการต่อได้
เงื่อนไขที่ใช้หักคะแนนตามไฟล์:
พลาดปานกลาง
หัก 3 คะแนน
ตัวอย่างจากเคส:
“พี่ไรเดอร์ถ่ายภาพให้เห็นข้อมูลบัตรประชาชนให้ครบถ้วนนะคะ” แต่ไม่ได้แจ้งต่อว่าหากส่งครบแล้วจะตรวจสอบและแจ้งผลอย่างไร
ตัวอย่างที่ถูกต้องมากขึ้น:
“ภาพที่ส่งมายังเห็นข้อมูลไม่ครบ รบกวนส่งใหม่อีกครั้งนะคะ เมื่อได้รับภาพครบแล้ว แอดมินจะตรวจสอบตัวตนและสถานะบัญชีให้ต่อค่ะ”</t>
  </si>
  <si>
    <t>ข้อความโดยรวมอ่านเข้าใจง่าย เรียงลำดับจากตรวจสอบ แจ้งผล แจ้งเหตุผลการระงับ และขอเอกสารยืนยันตัวตนได้ชัดเจน ไม่พบปัญหาด้านโครงสร้างข้อความ
เงื่อนไขที่ใช้หักคะแนนตามไฟล์:
ไม่เข้ากลุ่มพลาด</t>
  </si>
  <si>
    <t>ภาษาสุภาพ กระชับ และไม่พบคำสะกดผิดที่กระทบต่อความเข้าใจในเคสนี้
เงื่อนไขที่ใช้หักคะแนนตามไฟล์:
ไม่เข้ากลุ่มพลาด</t>
  </si>
  <si>
    <t>น้ำเสียงของแอดมินโดยรวมสุภาพ และสื่อสารเหมาะสมกับพี่ไรเดอร์ แต่ในช่วงที่แจ้งผลตรวจสอบเรื่องการหักเงินและการระงับบัญชี ซึ่งเป็นประเด็นที่ค่อนข้างอ่อนไหว แอดมินยังสื่อสารแบบตรงข้อมูลค่อนข้างมาก ทำให้โทนคำตอบดูแข็งไปเล็กน้อย หากเพิ่มคำอธิบายและน้ำเสียงเชิงเห็นใจอีกนิด จะช่วยให้พี่ไรเดอร์รับข้อมูลได้ดีขึ้น
เงื่อนไขที่ใช้หักคะแนนตามไฟล์:
พลาดเล็กน้อย
หัก 1 คะแนน
ตัวอย่างจากเคส:
“จากการตรวจสอบข้อมูลออเดอร์ 260514-SE-9560 พี่ไรเดอร์รับอาหารแต่ไม่ได้จัดส่งให้ลูกค้า แอดมินดำเนินการหักเงินค่าอาหารมูลค่า 350 บาทคืนให้กับลูกค้าค่ะ”
เหตุที่นำมาเป็นตัวอย่าง:
ประโยคนี้ข้อมูลถูกต้อง แต่โทนค่อนข้างตรงและแข็ง เพราะเป็นการแจ้งทั้งเรื่องไม่จัดส่งและการหักเงิน ซึ่งเป็นเรื่องที่กระทบความรู้สึกของพี่ไรเดอร์ ควรมีคำอธิบายเชิงเห็นใจหรือผ่อนน้ำเสียงเพิ่มอีกเล็กน้อย
ตัวอย่างที่เหมาะสมกว่า:
“จากการตรวจสอบออเดอร์ 260514-SE-9560 พบว่าระบบตรวจสอบว่ามีการรับอาหารแล้ว แต่ยังไม่ได้จัดส่งให้ลูกค้านะคะ จึงมีการหักค่าอาหารจำนวน 350 บาทตามเงื่อนไขของระบบค่ะ แอดมินขออภัยในความไม่สะดวกด้วยนะคะ และหากพี่ไรเดอร์ต้องการให้ช่วยตรวจสอบขั้นตอนต่อเพิ่มเติม แอดมินยินดีช่วยดูให้ค่ะ”</t>
  </si>
  <si>
    <t>ไรเดอร์สอบถามสถานะถูกระงับจากการไม่จัดส่งออเดอร์ (Rider Inquiry About Account Suspension Due to Undelivered Order)</t>
  </si>
  <si>
    <t>พี่ไรเดอร์ติดต่อเข้ามาแจ้งออเดอร์ 260514-SE-9560 และแจ้งว่าไม่ได้ไปส่งออเดอร์ลูกค้า เนื่องจากโทรศัพท์พัง พร้อมแจ้งเบอร์โทรศัพท์ของไรเดอร์เข้ามา</t>
  </si>
  <si>
    <t>https://drive.google.com/open?id=1nHcsl4Zoph3xa53Otcn_9g-l8VJ713FO</t>
  </si>
  <si>
    <t>AA237635</t>
  </si>
  <si>
    <t>https://app.oho.chat/business/6805c0f16232119d2a1204b5/smartchat?room=6a02db081214601047cc87cd</t>
  </si>
  <si>
    <t>เคสนี้มีการทักทายและปิดการสนทนาครบตามมาตรฐาน ชื่อแอดมิน “แอดมินขนมสาลี่” ปรากฏครบมากกว่า 2 ครั้ง และข้อความสุดท้ายเป็นข้อความของแอดมินที่ปิดเคส พร้อมเปิดโอกาสให้ร้านค้าติดต่อกลับหากต้องการให้ตรวจสอบเพิ่มเติม 
เงื่อนไขที่ใช้หักคะแนนตามไฟล์:
ไม่เข้ากลุ่มพลาด</t>
  </si>
  <si>
    <t>ไม่พบการเปิดเผยข้อมูลส่วนบุคคลเกินความจำเป็น แอดมินมีการขอข้อมูลเพื่อยืนยันตัวตนก่อนให้ข้อมูลการจัดการร้านค้า ซึ่งยังอยู่ในขอบเขตที่เกี่ยวข้องกับข้อมูลร้านค้า อย่างไรก็ตาม คำถามของร้านค้าเป็นการสอบถามวิธีเพิ่มเมนูทั่วไป แอดมินควรใช้ถ้อยคำที่นุ่มกว่านี้ ไม่ควรใช้ประโยคที่ดูปิดกั้นเกินไป เช่น “สงวนสิทธิ์ในการให้ข้อมูลทุกกรณี”
เงื่อนไขที่ใช้หักคะแนนตามไฟล์:
พลาดเล็กน้อย
หัก 1 คะแนน
ตัวอย่างจากเคส:
“หากไม่สามารถยืนยันข้อมูลดังกล่าวได้ ทางเราขอสงวนสิทธิ์ในการให้ข้อมูลทุกกรณีค่ะ”
ตัวอย่างที่เหมาะสมกว่า:
“เพื่อความปลอดภัยของข้อมูลร้านค้า รบกวนยืนยันข้อมูลเจ้าของกิจการก่อนนะคะ หลังจากตรวจสอบแล้ว แอดมินจะช่วยแนะนำขั้นตอนให้ค่ะ”</t>
  </si>
  <si>
    <t>แอดมินตอบกลับอยู่ใน SLA และมีการให้ขั้นตอนการเพิ่มเมนูพร้อมภาพประกอบ ถือว่าดำเนินการตามขั้นตอนหลักได้บางส่วน แต่ยังแจ้ง Process ไม่ครบ เพราะไม่ได้ระบุเงื่อนไขสำคัญว่าการเพิ่ม ลบ หรือแก้ไขเมนูทำได้เฉพาะสาขาหลัก ส่วนสาขาย่อยทำได้เพียงเปิด/ปิด หรือซ่อนเมนูเท่านั้น อีกทั้งมีการส่งข้อความ/ลิงก์ที่ไม่เกี่ยวกับเคส แล้วพิมพ์เพียง “ขออภัยค่ะ” โดยไม่แก้ไขให้ชัดเจน
เงื่อนไขที่ใช้หักคะแนนตามไฟล์:
พลาดเล็กน้อย
หัก 2 คะแนน
ตัวอย่างจากเคส:
แอดมินส่งลิงก์ที่ไม่เกี่ยวกับเคส แล้วตามด้วย “ขออภัยค่ะ” แต่ไม่ได้แจ้งว่าข้อความก่อนหน้าส่งผิดหรือให้ยึดข้อมูลใด
ตัวอย่างที่ถูกต้องมากขึ้น:
“ขออภัยค่ะ แอดมินส่งลิงก์ผิดก่อนหน้านี้ รบกวนยึดตามภาพขั้นตอนการเพิ่มเมนูที่ส่งให้ล่าสุดนะคะ หากต้องการเพิ่มเมนู ให้ดำเนินการผ่านสาขาหลัก หรือผ่าน Merchant Portal ได้ค่ะ”</t>
  </si>
  <si>
    <t>คำตอบของแอดมินถูกในประเด็นหลัก เพราะมีการแจ้งวิธีเพิ่มเมนูและส่งภาพขั้นตอนให้ร้านค้าดูประกอบ แต่ยังไม่ครบตาม Process เรื่องสิทธิ์ของสาขาหลักและสาขาย่อย หากร้านค้าที่ติดต่อมาเป็นสาขาย่อย อาจไม่สามารถเพิ่มหรือแก้ไขเมนูเองได้ นอกจากนี้มีการส่งข้อความ/ลิงก์ที่ไม่เกี่ยวกับเคส ทำให้ความถูกต้องของข้อมูลที่ส่งในแชทลดลงบางส่วน
เงื่อนไขที่ใช้หักคะแนนตามไฟล์:
พลาดเล็กน้อย
หัก 2 คะแนน
ตัวอย่างจากเคส:
“ทางร้านค้าสามารถเพิ่มเมนูตามขั้นตอนนี้ได้เลยนะคะ” แต่ไม่ได้แจ้งเงื่อนไขเรื่องสาขาหลัก/สาขาย่อย และมีข้อความ/ลิงก์ที่ไม่เกี่ยวกับเคสแทรกเข้ามา
ตัวอย่างที่ถูกต้องมากขึ้น:
“ร้านค้าสามารถเพิ่มเมนูได้จากสาขาหลักเท่านั้นนะคะ หากเป็นสาขาย่อยจะสามารถเปิด/ปิด หรือซ่อนเมนูที่พร้อมขาย/ไม่พร้อมขายได้ค่ะ”</t>
  </si>
  <si>
    <t>แอดมินตอบคำถามหลักได้ค่อนข้างครบ มีการส่งภาพขั้นตอนให้ร้านค้าทำตาม และแจ้งว่าหากทำตามแล้วยังติดปัญหาสามารถติดต่อกลับมาได้ แต่ยังขาดข้อมูลสำคัญ เช่น การเพิ่ม/แก้ไขเมนูทำได้เฉพาะสาขาหลัก สาขาย่อยทำได้เพียงเปิด/ปิดหรือซ่อนเมนู และไม่ได้แจ้งช่องทาง Merchant Portal เป็นอีกทางเลือก นอกจากนี้ข้อความที่ส่งผิดและไม่เกี่ยวกับเคสทำให้คำตอบโดยรวมดูไม่ครบถ้วนและไม่เรียบร้อยเท่าที่ควร
เงื่อนไขที่ใช้หักคะแนนตามไฟล์:
พลาดเล็กน้อย
หัก 2 คะแนน
ตัวอย่างจากเคส:
แอดมินส่งภาพขั้นตอนและลิงก์ประกอบ แต่มีข้อความ/ลิงก์ที่ไม่เกี่ยวกับเคสแทรก และไม่ได้อธิบายแก้ไขให้ชัดเจน
ตัวอย่างที่ถูกต้องมากขึ้น:
“ร้านค้าสามารถเพิ่มเมนูได้ผ่านแอป Robinhood Shop หรือ Merchant Portal โดยการเพิ่ม/แก้ไขเมนูจะทำได้จากสาขาหลักเท่านั้น หากเป็นสาขาย่อยจะเปิด/ปิดหรือซ่อนเมนูได้ค่ะ”</t>
  </si>
  <si>
    <t>แอดมินมีการส่งภาพขั้นตอนการเพิ่มเมนู ทำให้ร้านค้ามีแนวทางเบื้องต้นในการทำตาม แต่ความชัดเจนถูกลดลง เพราะมีการส่งข้อความ/ลิงก์ที่ไม่เกี่ยวข้องกับเคส แล้วตามด้วยคำว่า “ขออภัยค่ะ” โดยไม่ได้บอกว่าข้อความก่อนหน้าส่งผิด หรือให้ร้านค้ายึดขั้นตอนไหนเป็นข้อมูลที่ถูกต้อง ทำให้ขั้นตอนและแหล่งอ้างอิงในแชทดูสับสน
เงื่อนไขที่ใช้หักคะแนนตามไฟล์:
พลาดปานกลาง
หัก 2 คะแนน
ตัวอย่างจากเคส:
“หรือเพิ่มเติมสามารถทำตามคลิปวิดิโอดังกล่าวได้เลยนะคะ
https://khanom-tuapaep.vercel.app/#lib|CS-027
ขออภัยค่ะ”
ตัวอย่างที่ถูกต้องมากขึ้น:
“ขออภัยค่ะ แอดมินส่งลิงก์ผิดก่อนหน้านี้ ขอแจ้งใหม่อีกครั้งนะคะ รบกวนร้านค้ายึดตามภาพขั้นตอนการเพิ่มเมนูที่แอดมินส่งให้ค่ะ หากทำตามแล้วยังติดปัญหา สามารถแจ้งแอดมินตรวจสอบต่อได้เลยนะคะ”</t>
  </si>
  <si>
    <t>แอดมินเข้าใจปัญหาหลักว่าร้านค้าต้องการสร้างหรือเพิ่มเมนู และมีการส่งภาพขั้นตอนให้ทำตาม ถือว่าช่วยแก้ปัญหาได้ตรงจุดในระดับหนึ่ง แต่ยังขาดการตรวจสอบหรือแจ้งเงื่อนไขสำคัญเรื่องสาขาหลัก/สาขาย่อย และมีการส่งข้อความที่ไม่เกี่ยวข้องกับเคส ทำให้การแก้ปัญหาดูไม่เรียบร้อยและอาจทำให้ร้านค้าสับสนได้
เงื่อนไขที่ใช้หักคะแนนตามไฟล์:
พลาดเล็กน้อยถึงปานกลาง
หัก 3 คะแนน
ตัวอย่างจากเคส:
ร้านค้าถามเรื่องเพิ่มเมนู แอดมินส่งขั้นตอนให้ แต่มีข้อความ/ลิงก์ที่ไม่เกี่ยวกับเคสแทรก และไม่ได้แก้ไขให้ชัดเจนว่าเป็นการส่งผิด
ตัวอย่างที่ถูกต้องมากขึ้น:
“ขออภัยค่ะ ข้อความก่อนหน้าส่งผิดนะคะ สำหรับเคสนี้ รบกวนร้านค้าทำตามภาพขั้นตอนการเพิ่มเมนูที่แอดมินส่งให้ และหากร้านค้าเป็นสาขาย่อย อาจต้องให้สาขาหลักเป็นผู้เพิ่มหรือแก้ไขเมนูค่ะ”</t>
  </si>
  <si>
    <t>แอดมินมีการแจ้งว่าหากทำตามขั้นตอนแล้วยังไม่สามารถเพิ่มเมนูได้ สามารถติดต่อกลับมาให้ตรวจสอบได้ ถือว่ามี next step อยู่บ้าง แต่เมื่อมีการส่งข้อความ/ลิงก์ที่ไม่เกี่ยวข้องกับเคส แอดมินควรรับผิดชอบการสื่อสารให้ชัดเจนกว่านี้ เช่น แจ้งว่า “ขออภัย ส่งผิด” และสรุปข้อมูลที่ถูกต้องให้ร้านค้าอีกครั้ง ไม่ควรพิมพ์เพียง “ขออภัยค่ะ” แล้วปล่อยให้ร้านค้าตีความเอง
เงื่อนไขที่ใช้หักคะแนนตามไฟล์:
พลาดปานกลาง
หัก 3 คะแนน
ตัวอย่างจากเคส:
หลังส่งข้อความ/ลิงก์ที่ไม่เกี่ยวกับเคส แอดมินพิมพ์เพียง “ขออภัยค่ะ” แต่ไม่ได้บอกว่าข้อความก่อนหน้าส่งผิดหรือไม่เกี่ยวกับเคสนี้
ตัวอย่างที่ถูกต้องมากขึ้น:
“ขออภัยค่ะ แอดมินส่งลิงก์ไม่เกี่ยวข้องกับเคสนี้ รบกวนร้านค้ายึดตามภาพขั้นตอนการเพิ่มเมนูที่ส่งให้ก่อนหน้านะคะ หากทำตามแล้วยังติดปัญหา แอดมินยินดีตรวจสอบต่อให้ค่ะ”</t>
  </si>
  <si>
    <t>ช่วงต้นและช่วงท้ายของข้อความยังอ่านเข้าใจได้ แต่ช่วงที่ส่งข้อความ/ลิงก์ที่ไม่เกี่ยวกับเคส และตามด้วย “ขออภัยค่ะ” โดยไม่มีการอธิบาย ทำให้โครงสร้างการสื่อสารสะดุด ไม่ต่อเนื่อง และอาจทำให้ร้านค้าไม่แน่ใจว่าควรใช้ข้อมูลใดเป็นข้อมูลหลัก
เงื่อนไขที่ใช้หักคะแนนตามไฟล์:
พลาดปานกลาง
หัก 2 คะแนน
ตัวอย่างจากเคส:
“หรือเพิ่มเติมสามารถทำตามคลิปวิดิโอดังกล่าวได้เลยนะคะ … ขออภัยค่ะ”
ตัวอย่างที่เหมาะสมกว่า:
“ขออภัยค่ะ ข้อความก่อนหน้าของแอดมินส่งผิดนะคะ ขอแจ้งข้อมูลที่ถูกต้องอีกครั้ง ร้านค้าสามารถทำตามภาพขั้นตอนการเพิ่มเมนูที่แอดมินส่งให้ได้เลยค่ะ”</t>
  </si>
  <si>
    <t>ภาษาสุภาพ แต่มีจุดผิดที่กระทบความเข้าใจ คือมีการส่งข้อความ/ลิงก์ที่ไม่เกี่ยวกับเคส แล้วขอโทษแบบไม่ชัดเจน ทำให้ข้อความดูไม่ถูกต้องและไม่สมบูรณ์ นอกจากนี้พบคำสะกดที่ควรแก้ เช่น “วิดิโอ” ควรเขียนเป็น “วิดีโอ”
เงื่อนไขที่ใช้หักคะแนนตามไฟล์:
พลาดปานกลาง
หัก 2 คะแนน
ตัวอย่างจากเคส:
“คลิปวิดิโอ”
และ
“ขออภัยค่ะ” หลังจากส่งข้อความ/ลิงก์ที่ไม่เกี่ยวกับเคส โดยไม่ได้อธิบายเพิ่มเติม
ตัวอย่างที่ถูกต้อง:
“คลิปวิดีโอ”
และ
“ขออภัยค่ะ แอดมินส่งข้อความผิดเคส ขอแจ้งข้อมูลที่ถูกต้องอีกครั้งนะคะ”</t>
  </si>
  <si>
    <t>น้ำเสียงโดยรวมสุภาพและเหมาะสมกับร้านค้า แต่ในจุดที่แอดมินส่งข้อความ/ลิงก์ที่ไม่เกี่ยวกับเคส การพิมพ์เพียง “ขออภัยค่ะ” ยังไม่เหมาะพอ เพราะไม่ได้อธิบายหรือรับผิดชอบความผิดพลาดให้ชัดเจน ควรขออภัยแบบชัดเจนว่าเป็นการส่งผิด และสรุปข้อมูลที่ถูกต้องให้ร้านค้าอีกครั้ง เพื่อลดความสับสน
เงื่อนไขที่ใช้หักคะแนนตามไฟล์:
พลาดเล็กน้อย
หัก 2 คะแนน
ตัวอย่างจากเคส:
“ขออภัยค่ะ”
ตัวอย่างที่เหมาะสมกว่า:
“ขออภัยค่ะ แอดมินส่งข้อความผิดเคส ขอแจ้งข้อมูลที่ถูกต้องอีกครั้งนะคะ ร้านค้าสามารถเพิ่มเมนูตามภาพขั้นตอนที่แอดมินส่งให้ได้เลยค่ะ หากติดปัญหาเพิ่มเติม แอดมินยินดีช่วยตรวจสอบต่อค่ะ”</t>
  </si>
  <si>
    <t>ร้านค้าสอบถามวิธีสร้าง/เพิ่มเมนูอาหาร (Merchant Menu Creation Inquiry)</t>
  </si>
  <si>
    <t>ร้านค้าสอบถามว่า “จะสร้างเมนูยังไง / ลงอาหารยังไง” แอดมินมีการทักทาย ขอข้อมูลยืนยันตัวตน ตรวจสอบ และแจ้งวิธีเพิ่มเมนูให้ร้านค้าทำตาม พร้อมส่งภาพขั้นตอนและลิงก์วิดีโอประกอบ จากนั้นแจ้งว่าหากทำตามแล้วยังไม่สามารถเพิ่มเมนูได้ สามารถติดต่อกลับมาให้แอดมินช่วยตรวจสอบได้</t>
  </si>
  <si>
    <t>https://drive.google.com/open?id=1d0pLyknDpJGv7KIus_jrxNBrRTlWCJ5-</t>
  </si>
  <si>
    <t>AA238940</t>
  </si>
  <si>
    <t>https://app.oho.chat/business/6805c0f16232119d2a1204b5/smartchat?room=6a0963569b6f1b9fe18cf9a5</t>
  </si>
  <si>
    <t>เคสนี้มีการทักทายและปิดการสนทนาครบตามมาตรฐาน ชื่อแอดมิน “แอดมินปุยฝ้าย” ปรากฏครบมากกว่า 2 ครั้ง และข้อความสุดท้ายเป็นข้อความของแอดมินที่ขออนุญาตจบการสนทนา พร้อมเปิดโอกาสให้พี่ไรเดอร์ติดต่อกลับหากมีคำถามเพิ่มเติม จึงไม่หักคะแนนในหัวข้อนี้
เงื่อนไขที่ใช้หักคะแนนตามไฟล์:
ไม่เข้ากลุ่มพลาด</t>
  </si>
  <si>
    <t>แอดมินมีการขอยืนยันตัวตนก่อนเปลี่ยนเบอร์โทรศัพท์ในระบบ ซึ่งเหมาะสม เพราะเป็นข้อมูลบัญชีไรเดอร์และเกี่ยวข้องกับการยกเลิกบัญชี อย่างไรก็ตาม การขอให้เห็นเลขบัตรประชาชน 13 หลักเต็มในแชทเป็นข้อมูลส่วนบุคคลที่อ่อนไหว ควรขอเท่าที่จำเป็น หรือแจ้งให้ชัดว่าข้อมูลนี้ใช้เพื่อยืนยันตัวตนเท่านั้นและใช้ตามขั้นตอนของระบบ
เงื่อนไขที่ใช้หักคะแนนตามไฟล์:
พลาดเล็กน้อย
หัก 2 คะแนน
ตัวอย่างจากเคส:
“ให้เห็นทั้งใบหน้าและรายละเอียดบนบัตรอย่างชัดเจน (ชื่อ-นามสกุล และเลขบัตรประชาชน 13 หลัก)”
ตัวอย่างที่เหมาะสมกว่า:
“เพื่อยืนยันตัวตน รบกวนพี่ไรเดอร์ส่งภาพตนเองคู่กับบัตรประชาชน โดยให้เห็นใบหน้าและข้อมูลบนบัตรชัดเจนตามขั้นตอนตรวจสอบนะคะ ข้อมูลนี้ใช้เพื่อยืนยันตัวตนเท่านั้นค่ะ”</t>
  </si>
  <si>
    <t>แอดมินตอบรับเร็วและดำเนินการตาม Flow หลักได้ดี มีการสอบถามข้อมูลเบื้องต้น ขอให้ยืนยันตัวตน เปลี่ยนเบอร์โทรศัพท์ในระบบ และแจ้งขั้นตอนให้พี่ไรเดอร์กดยกเลิกบัญชีด้วยตนเอง ซึ่งตรงกับ Process ที่กำหนดว่าพี่ไรเดอร์ต้องเป็นผู้กดลบบัญชีเอง จุดที่ยังขาดคือควรแจ้งข้อมูลเรื่องระยะเวลาคืนเงินประกันและเงื่อนไขหลังลบบัญชีให้ชัดเจนเป็นข้อความ ไม่ใช่ให้ข้อมูลผ่านภาพแนบอย่างเดียว
เงื่อนไขที่ใช้หักคะแนนตามไฟล์:
พลาดเล็กน้อย
หัก 1 คะแนน
ตัวอย่างจากเคส:
พี่ไรเดอร์ถามว่า “แล้วถ้ายกเลิกแล้วระบบจะคืนเงินให้ภายในกี่วันเหรอครับ” แต่แอดมินไม่ได้ตอบระยะเวลาเป็นข้อความชัดเจน
ตัวอย่างที่ถูกต้องมากขึ้น:
“หากพี่ไรเดอร์มีเงินประกันคงเหลือ และพ้นสถานะการเป็นคนขับโดยไม่มีความผิด ระบบจะคืนเงินเข้าบัญชีภายใน 7 วันทำการ หลังจากลบบัญชีสำเร็จนะคะ”</t>
  </si>
  <si>
    <t>แอดมินตอบถูกในประเด็นหลักเรื่องการเปลี่ยนเบอร์โทรศัพท์และแจ้งให้พี่ไรเดอร์กดยกเลิกบัญชีด้วยตนเองผ่านแอป ซึ่งตรงกับ Process แต่คำตอบยังไม่ครบในส่วนเงินประกัน เพราะเมื่อพี่ไรเดอร์ถามระยะเวลาคืนเงิน แอดมินไม่ได้ตอบเป็นข้อความตาม Process ว่าคืนภายใน 7 วันทำการหลังลบบัญชีสำเร็จ หากเข้าเงื่อนไข อีกทั้งภาพแนบมีข้อมูลเรื่องเงินประกัน แต่ไม่ได้สรุปให้พี่ไรเดอร์เข้าใจชัดเจน
เงื่อนไขที่ใช้หักคะแนนตามไฟล์:
พลาดเล็กน้อย
หัก 2 คะแนน
ตัวอย่างจากเคส:
พี่ไรเดอร์ถามเรื่องเงินคืน แต่แอดมินตอบต่อด้วยการเปลี่ยนเบอร์และขั้นตอนลบบัญชี โดยไม่ได้ตอบจำนวนวันคืนเงินตรง ๆ
ตัวอย่างที่ถูกต้องมากขึ้น:
“หลังจากพี่ไรเดอร์กดยกเลิกบัญชีสำเร็จ หากมีเงินประกันคงเหลือและไม่มีความผิดค้าง ระบบจะคืนเงินเข้าบัญชีภายใน 7 วันทำการค่ะ”</t>
  </si>
  <si>
    <t>แอดมินให้ข้อมูลครบในส่วนการเปลี่ยนเบอร์และขั้นตอนการกดยกเลิกบัญชี แต่ยังตอบไม่ครบทุกคำถามของพี่ไรเดอร์ เพราะพี่ไรเดอร์ถามชัดเจนเรื่อง “ยกเลิกแล้วระบบจะคืนเงินให้ภายในกี่วัน” แอดมินควรตอบเงื่อนไขและระยะเวลาคืนเงินประกันให้ชัดเจน รวมถึงควรแจ้งด้วยว่าหลังจากกดลบบัญชีจะมีระยะเวลา 14 วัน หากต้องการยกเลิกคำขอลบบัญชี
เงื่อนไขที่ใช้หักคะแนนตามไฟล์:
พลาดปานกลาง
หัก 3 คะแนน
ตัวอย่างจากเคส:
“แล้วถ้ายกเลิกแล้วระบบจะคืนเงินให้ภายในกี่วันเหรอครับ”
ตัวอย่างที่ถูกต้องมากขึ้น:
“หลังจากกดยกเลิกบัญชีแล้ว จะมีระยะเวลา 14 วันหากต้องการยกเลิกคำขอลบบัญชี และหากพี่ไรเดอร์มีเงินประกันคงเหลือ ระบบจะคืนเงินภายใน 7 วันทำการหลังลบบัญชีสำเร็จค่ะ”</t>
  </si>
  <si>
    <t>แอดมินแจ้งขั้นตอนการลบบัญชีได้ชัดเจนเป็นลำดับ 1-5 และมีภาพแนบเรื่องเงินประกันความเสียหายประกอบ ทำให้พี่ไรเดอร์พอเข้าใจขั้นตอนการดำเนินการต่อได้ แต่ข้อมูลเรื่องเงินประกันควรถูกสรุปเป็นข้อความให้ชัดเจนด้วย เพราะภาพแนบอย่างเดียวอาจทำให้พี่ไรเดอร์ไม่เข้าใจเงื่อนไขและระยะเวลาคืนเงินครบถ้วน
เงื่อนไขที่ใช้หักคะแนนตามไฟล์:
พลาดเล็กน้อย
หัก 1 คะแนน
ตัวอย่างจากเคส:
แอดมินส่งภาพข้อมูลเงินประกัน แต่ไม่ได้สรุปข้อความตอบคำถามเรื่องคืนเงินกี่วัน
ตัวอย่างที่ถูกต้องมากขึ้น:
“แอดมินแนบข้อมูลเงินประกันให้เพิ่มเติมนะคะ โดยสรุปคือ หากมีเงินประกันคงเหลือและไม่มีความผิดค้าง ระบบจะคืนเงินภายใน 7 วันทำการหลังลบบัญชีสำเร็จค่ะ”</t>
  </si>
  <si>
    <t>แอดมินวิเคราะห์ปัญหาได้ตรงจุด เพราะพี่ไรเดอร์ไม่ได้ต้องการยกเลิกออเดอร์ แต่ต้องการยกเลิกการเป็นไรเดอร์และติดปัญหาเบอร์เดิมไม่ได้ใช้งาน แอดมินจึงเปลี่ยนเบอร์โทรศัพท์ในระบบให้ก่อน แล้วแจ้งให้พี่ไรเดอร์เข้าสู่ระบบเพื่อกดยกเลิกบัญชีเอง ถือว่าแก้ปัญหาหลักได้ถูกทาง จุดที่ยังขาดคือไม่ได้ตอบประเด็นเงินประกันคืนภายในกี่วันให้ครบตาม Process
เงื่อนไขที่ใช้หักคะแนนตามไฟล์:
พลาดเล็กน้อย
หัก 2 คะแนน
ตัวอย่างจากเคส:
แอดมินช่วยเปลี่ยนเบอร์เพื่อให้พี่ไรเดอร์กลับเข้าสู่ระบบและลบบัญชีได้ แต่ไม่ได้ตอบคำถามเรื่องระยะเวลาคืนเงินประกันอย่างชัดเจน
ตัวอย่างที่ถูกต้องมากขึ้น:
“แอดมินเปลี่ยนเบอร์ให้เรียบร้อยแล้ว พี่ไรเดอร์สามารถเข้าสู่ระบบด้วยเบอร์ใหม่เพื่อกดยกเลิกบัญชีได้เลยค่ะ หลังลบบัญชีสำเร็จ หากมีเงินประกันคงเหลือ ระบบจะคืนภายใน 7 วันทำการค่ะ”</t>
  </si>
  <si>
    <t>แอดมินมีความรับผิดชอบต่อเคสดี มีการรับเรื่อง ปรับจาก Flow ยกเลิกออเดอร์มาเป็นเรื่องยกเลิกบัญชี ขอข้อมูล ยืนยันตัวตน เปลี่ยนเบอร์โทรศัพท์ และแจ้งขั้นตอนให้พี่ไรเดอร์ไปดำเนินการต่อเองได้ แต่ next step ยังไม่ครบ เพราะควรแจ้งเงื่อนไขหลังลบบัญชี เช่น ระยะเวลา 14 วันในการยกเลิกคำขอลบบัญชี และระยะเวลาคืนเงินประกันตาม Process ให้ชัดเจนด้วย
เงื่อนไขที่ใช้หักคะแนนตามไฟล์:
พลาดเล็กน้อย
หัก 2 คะแนน
ตัวอย่างจากเคส:
“พี่ไรเดอร์สามารถเข้าสู่ระบบด้วยหมายเลขโทรศัพท์ 0655364450 เพื่อดำเนินการยกเลิกบัญชีในระบบได้เลยค่ะ”
ตัวอย่างที่ถูกต้องมากขึ้น:
“หลังจากกดยกเลิกบัญชีแล้ว หากต้องการยกเลิกคำขอลบบัญชีสามารถดำเนินการได้ภายใน 14 วัน และหากมีเงินประกันคงเหลือ ระบบจะคืนเงินภายใน 7 วันทำการหลังลบบัญชีสำเร็จค่ะ”</t>
  </si>
  <si>
    <t>ข้อความโดยรวมเรียงลำดับเข้าใจง่าย จากการสอบถามข้อมูล ยืนยันตัวตน เปลี่ยนเบอร์ แจ้งผล และแจ้งขั้นตอนการลบบัญชีเป็นข้อ ๆ ทำให้พี่ไรเดอร์สามารถทำตามได้ ไม่พบปัญหาโครงสร้างข้อความที่กระทบความเข้าใจ
เงื่อนไขที่ใช้หักคะแนนตามไฟล์:
ไม่เข้ากลุ่มพลาด</t>
  </si>
  <si>
    <t>ภาษาสุภาพ กระชับ และอ่านเข้าใจง่าย ไม่พบคำสะกดผิดที่กระทบต่อความเข้าใจ แอดมินใช้ภาษาที่เหมาะกับการให้คำแนะนำพี่ไรเดอร์
เงื่อนไขที่ใช้หักคะแนนตามไฟล์:
ไม่เข้ากลุ่มพลาด</t>
  </si>
  <si>
    <t>น้ำเสียงของแอดมินสุภาพและเหมาะสมกับพี่ไรเดอร์ มีการสื่อสารด้วยท่าทีพร้อมช่วยเหลือ แต่ในช่วงที่พี่ไรเดอร์ถามเรื่องเงินประกันคืนภายในกี่วัน ซึ่งเป็นประเด็นที่พี่ไรเดอร์กังวล แอดมินควรตอบให้ชัดเจนกว่านี้ ไม่ควรให้พี่ไรเดอร์ตีความจากภาพแนบเองทั้งหมด
เงื่อนไขที่ใช้หักคะแนนตามไฟล์:
พลาดเล็กน้อย
หัก 1 คะแนน
ตัวอย่างจากเคส:
พี่ไรเดอร์ถามว่า “แล้วถ้ายกเลิกแล้วระบบจะคืนเงินให้ภายในกี่วันเหรอครับ” แต่แอดมินไม่ได้ตอบเป็นข้อความตรง ๆ
ตัวอย่างที่เหมาะสมกว่า:
“ได้ค่ะ แอดมินขอแจ้งเพิ่มเติมนะคะ หากพี่ไรเดอร์มีเงินประกันคงเหลือและเข้าเงื่อนไข ระบบจะคืนเงินภายใน 7 วันทำการหลังลบบัญชีสำเร็จค่ะ”</t>
  </si>
  <si>
    <t>ไรเดอร์ขอเปลี่ยนเบอร์โทรเพื่อยกเลิกบัญชีไรเดอร์ (Rider requests phone number update to proceed with account deletion)</t>
  </si>
  <si>
    <t>พี่ไรเดอร์ติดต่อเข้ามาโดยเริ่มจากเมนูแจ้งปัญหาออเดอร์/ยกเลิกงาน แต่แจ้งเพิ่มเติมว่าต้องการยกเลิกการเป็นไรเดอร์ และเบอร์โทรศัพท์เดิมที่สมัครไว้ไม่ได้ใช้งานแล้ว จึงต้องการทราบว่าต้องทำอย่างไร</t>
  </si>
  <si>
    <t>https://drive.google.com/open?id=19VWGIzmE7784afb7swTKLs5LzYKh9pdL</t>
  </si>
  <si>
    <t>AA238598</t>
  </si>
  <si>
    <t>https://app.oho.chat/business/6805c0f16232119d2a1204b5/smartchat?room=682ebe75bdac34545622017e</t>
  </si>
  <si>
    <t>เคสนี้มีการทักทายและปิดการสนทนาครบตามมาตรฐาน ชื่อแอดมิน “แอดมินปุยฝ้าย” ปรากฏครบมากกว่า 2 ครั้ง และข้อความสุดท้ายเป็นข้อความของแอดมินที่ขออนุญาตจบการสนทนา พร้อมเปิดโอกาสให้พี่ไรเดอร์ติดต่อกลับหากมีคำถามเพิ่มเติม
เงื่อนไขที่ใช้หักคะแนนตามไฟล์:
ไม่เข้ากลุ่มพลาด</t>
  </si>
  <si>
    <t>ไม่พบการเปิดเผยข้อมูลส่วนบุคคลเกินความจำเป็น แอดมินใช้ข้อมูลที่เกี่ยวข้องกับออเดอร์และระยะทางเพื่อดำเนินการตรวจสอบตามปัญหาที่พี่ไรเดอร์แจ้ง ไม่พบการขอข้อมูลอ่อนไหวเกินความจำเป็น หรือเปิดเผยข้อมูลลูกค้า/ร้านค้าเพิ่มเติมในลักษณะที่ไม่เกี่ยวข้องกับการแก้ไขปัญหา
เงื่อนไขที่ใช้หักคะแนนตามไฟล์:
ไม่เข้ากลุ่มพลาด</t>
  </si>
  <si>
    <t>แอดมินตอบกลับอยู่ใน SLA และดำเนินการตาม Process ได้ครบ มีการรับเรื่อง ตรวจสอบระยะทาง เปรียบเทียบข้อมูลจากหน้าแอปกับระยะทางที่วิ่งจริง แจ้งผลการพิจารณาชดเชย แจ้งจำนวนเงิน 7 บาท และแจ้งระยะเวลารับเงินภายใน 2 วันทำการ อีกทั้งจากข้อมูลเพิ่มเติมพบว่ามีการเปิดเคส #3549 เพื่อขอรับเงินชดเชยแล้ว
เงื่อนไขที่ใช้หักคะแนนตามไฟล์:
ไม่เข้ากลุ่มพลาด</t>
  </si>
  <si>
    <t>คำตอบของแอดมินถูกต้องตาม Process โดยตรวจสอบพบว่าหน้าแอปแสดงระยะทาง 7 กม. แต่ระยะทางจริงประมาณ 8 กม. จึงส่งเรื่องชดเชยส่วนต่าง 1 กม. เป็นเงิน 7 บาท และแจ้งช่องทางรับเงินผ่านบัญชีธนาคารไทยพาณิชย์ภายใน 2 วันทำการ ซึ่งสอดคล้องกับแนวทางการชดเชยระยะทาง จุดที่ควรเพิ่มเล็กน้อยคือควรอธิบายให้ชัดว่าเป็นการชดเชยตาม “ส่วนต่างระยะทาง” ไม่ใช่การชดเชยส่วนต่างจากยอดค่ารอบเดิมที่พี่ไรเดอร์จำได้
เงื่อนไขที่ใช้หักคะแนนตามไฟล์:
พลาดเล็กน้อย
หัก 1 คะแนน
ตัวอย่างจากเคส:
“แอดมินจะทำการส่งเรื่องขอรับเงินชดเชยส่วนต่างระยะทาง 1 กิโลเมตร เป็นจำนวนเงิน 7 บาท”
ตัวอย่างที่เหมาะสมกว่า:
“จากการตรวจสอบ ระยะทางในระบบแสดง 7 กม. แต่ระยะทางที่ตรวจสอบได้ประมาณ 8 กม. จึงมีส่วนต่าง 1 กม. ระบบจะชดเชยตามส่วนต่างกิโลเมตรละ 7 บาท รวมเป็น 7 บาทค่ะ”</t>
  </si>
  <si>
    <t>แอดมินตอบครอบคลุมประเด็นหลักของพี่ไรเดอร์ มีการแจ้งหมายเลขคำสั่งซื้อ ระยะทางหน้าแอป ระยะทางที่ตรวจสอบได้ จำนวนกิโลเมตรส่วนต่าง จำนวนเงินชดเชย และระยะเวลารับเงินครบถ้วน อีกทั้งมีการเปิดเคสขอรับเงินชดเชยแล้ว จุดที่ยังเพิ่มได้คือควรแจ้งวิธีคิดให้ละเอียดอีกเล็กน้อย เพื่อให้พี่ไรเดอร์เข้าใจว่าค่าชดเชยมาจากส่วนต่างระยะทาง 1 กม. ไม่ใช่เทียบจากยอด 71 บาทกับ 61 บาท
เงื่อนไขที่ใช้หักคะแนนตามไฟล์:
พลาดเล็กน้อย
หัก 1 คะแนน
ตัวอย่างจากเคส:
พี่ไรเดอร์แจ้งว่า “ปกติผมไปส่งลูกค้าบ้านหลังนี้ทุกครั้ง 71 นะครับไม่ใช่ 61บาท” แต่แอดมินยังไม่ได้อธิบายเชื่อมให้ชัดว่ายอดที่ชดเชยคิดจากส่วนต่างระยะทางที่ตรวจสอบได้
ตัวอย่างที่เหมาะสมกว่า:
“กรณีนี้ระบบจะพิจารณาชดเชยจากส่วนต่างระยะทางที่ตรวจสอบได้ค่ะ จากหน้าแอป 7 กม. และระยะจริงประมาณ 8 กม. จึงมีส่วนต่าง 1 กม. ชดเชย 7 บาทค่ะ”</t>
  </si>
  <si>
    <t>แอดมินแจ้งขั้นตอนชัดเจนว่าตรวจสอบข้อมูลแล้วพบส่วนต่างระยะทาง และจะส่งเรื่องขอรับเงินชดเชย พร้อมแจ้งระยะเวลาที่พี่ไรเดอร์จะได้รับเงินภายใน 2 วันทำการ ข้อมูลที่แจ้งทำให้พี่ไรเดอร์เข้าใจขั้นตอนต่อได้ ไม่พบจุดที่ทำให้สับสนในหัวข้อนี้
เงื่อนไขที่ใช้หักคะแนนตามไฟล์:
ไม่เข้ากลุ่มพลาด</t>
  </si>
  <si>
    <t>แอดมินวิเคราะห์ปัญหาได้ตรงจุด พี่ไรเดอร์ไม่ได้สอบถามเรื่องยกเลิกงาน แต่ต้องการตรวจสอบค่ารอบและระยะทาง แอดมินจึงตรวจสอบระยะทางจริงเทียบกับระยะที่แอปแสดง และดำเนินการส่งเรื่องชดเชยส่วนต่างให้ตาม Process อีกทั้งจากข้อมูลเพิ่มเติมพบว่ามีการเปิดเคส #3549 ขอรับเงินชดเชยแล้ว ถือว่าแก้ไขปัญหาได้ครบและตรงประเด็น
เงื่อนไขที่ใช้หักคะแนนตามไฟล์:
ไม่เข้ากลุ่มพลาด</t>
  </si>
  <si>
    <t>แอดมินมี Ownership ดี รับเรื่อง ตรวจสอบ ดำเนินการส่งเรื่องชดเชย และแจ้ง next step ชัดเจนว่าพี่ไรเดอร์จะได้รับเงินผ่านบัญชีธนาคารไทยพาณิชย์ภายใน 2 วันทำการ รวมถึงมีการเปิดเคสในระบบ Support Center แล้ว จึงถือว่าดูแลเคสต่อเนื่องและแจ้งขั้นตอนถัดไปครบถ้วน
เงื่อนไขที่ใช้หักคะแนนตามไฟล์:
ไม่เข้ากลุ่มพลาด</t>
  </si>
  <si>
    <t>ข้อความเรียงลำดับดี อ่านเข้าใจง่าย เริ่มจากแจ้งผลการตรวจสอบ ระบุหมายเลขคำสั่งซื้อ ระยะทางที่พบ จำนวนเงินชดเชย และระยะเวลาดำเนินการ ทำให้พี่ไรเดอร์เข้าใจภาพรวมได้ชัดเจน
เงื่อนไขที่ใช้หักคะแนนตามไฟล์:
ไม่เข้ากลุ่มพลาด</t>
  </si>
  <si>
    <t>ภาษาสุภาพและเข้าใจได้ แต่มีจุดสะกดและการเว้นวรรคที่ควรปรับเล็กน้อย เช่น “ระยะทาง7 กม.” ควรเว้นวรรคเป็น “ระยะทาง 7 กม.” และ “8.X กม.” ควรระบุให้เป็นรูปแบบที่เป็นทางการมากขึ้น เช่น “ประมาณ 8 กม.” หรือ “8.x กม.” เพื่อให้ข้อความดูเรียบร้อยและเป็นมืออาชีพมากขึ้น
เงื่อนไขที่ใช้หักคะแนนตามไฟล์:
พลาดเล็กน้อย
หัก 1 คะแนน
ตัวอย่างจากเคส:
“หน้าแอปแสดงระยะทาง7 กม. ระยะทางที่วิ่งจริง 8.X กม.”
ตัวอย่างที่เหมาะสมกว่า:
“หน้าแอปแสดงระยะทาง 7 กม. และระยะทางที่ตรวจสอบได้ประมาณ 8 กม.”</t>
  </si>
  <si>
    <t>น้ำเสียงของแอดมินสุภาพ เหมาะสมกับพี่ไรเดอร์ และสื่อสารด้วยท่าทีพร้อมช่วยเหลือ มีการแจ้งผลอย่างชัดเจน พร้อมปิดท้ายด้วยข้อความให้กำลังใจพี่ไรเดอร์ จึงไม่หักคะแนนในหัวข้อนี้
เงื่อนไขที่ใช้หักคะแนนตามไฟล์:
ไม่เข้ากลุ่มพลาด</t>
  </si>
  <si>
    <t>ไรเดอร์ขอตรวจสอบค่ารอบ/ระยะทางจัดส่งไม่ตรง (Rider Distance Compensation Inquiry)</t>
  </si>
  <si>
    <t>พี่ไรเดอร์ติดต่อเข้ามาเพื่อสอบถามค่ารอบของระยะทาง เนื่องจากมองว่าระยะทางและค่ารอบไม่ตรงกับที่เคยได้รับ โดยแจ้งว่าเคยไปส่งจุดนี้ได้ 71 บาท แต่ครั้งนี้ได้รับ 61 บาท พร้อมแนบภาพหน้าแอปและแผนที่ประกอบ</t>
  </si>
  <si>
    <t>https://drive.google.com/file/d/1_GE-HrlztID5XqElB6YfYsizEmnkuTnd/view?usp=drive_link</t>
  </si>
  <si>
    <t>AA237661</t>
  </si>
  <si>
    <t>https://app.oho.chat/business/6805c0f16232119d2a1204b5/smartchat?room=68a43772f090010f166f4a51</t>
  </si>
  <si>
    <t>เคสนี้มีการทักทายและปิดการสนทนาครบตามมาตรฐาน ชื่อแอดมิน “แอดมินปุยฝ้าย” ปรากฏครบมากกว่า 2 ครั้ง และข้อความสุดท้ายเป็นข้อความของแอดมินที่ขออนุญาตจบการสนทนา พร้อมเปิดโอกาสให้ลูกค้าติดต่อกลับหากมีคำถามเพิ่มเติม 
เงื่อนไขที่ใช้หักคะแนนตามไฟล์:
ไม่เข้ากลุ่มพลาด</t>
  </si>
  <si>
    <t>ไม่พบการเปิดเผยข้อมูลส่วนบุคคลเกินความจำเป็น แอดมินใช้ข้อมูลหมายเลขออเดอร์และสถานะการจัดส่งเพื่อประกอบการตรวจสอบเท่านั้น ไม่พบการเปิดเผยข้อมูลส่วนตัวของลูกค้า ร้านค้า หรือไรเดอร์ที่ไม่เกี่ยวข้องกับการแก้ไขปัญหา
เงื่อนไขที่ใช้หักคะแนนตามไฟล์:
ไม่เข้ากลุ่มพลาด</t>
  </si>
  <si>
    <t>แอดมินตอบกลับอยู่ใน SLA และตรวจสอบข้อมูลจากระบบได้บางส่วน โดยแจ้งถูกต้องว่าไรเดอร์รับงานจากระยะห่างร้าน 1 กม. แต่ยังดำเนินการตาม Process ไม่ครบ เพราะลูกค้ามีข้อสงสัยเรื่องความล่าช้าและพฤติกรรมไรเดอร์ แอดมินแจ้งว่าจะประสานงานไรเดอร์ แต่ไม่พบหลักฐานการโทรออกหรือสอบถามไรเดอร์ตามที่แจ้ง อีกทั้งไม่ได้อัปเดตสถานะจัดส่งสำเร็จให้ลูกค้าทราบก่อนปิดเคส
เงื่อนไขที่ใช้หักคะแนนตามไฟล์:
พลาดปานกลาง
หัก 3 คะแนน
ตัวอย่างจากเคส:
“อย่างไรแล้วแอดมินจะประสานงานไรเดอร์สอบถามรายละเอียดอีกครั้งนะคะ”
แต่ไม่พบการโทรออกหรือการสอบถามไรเดอร์จริงตามที่แจ้ง
ตัวอย่างที่เหมาะสมกว่า:
“แอดมินตรวจสอบพบว่า ณ ตอนรับงาน ไรเดอร์อยู่ห่างร้านประมาณ 1 กม. ค่ะ ขณะนี้ออเดอร์จัดส่งสำเร็จแล้วเวลา 15:39 น. สำหรับข้อกังวลเรื่องการจัดส่งล่าช้า แอดมินจะบันทึกและส่งเรื่องตรวจสอบพฤติกรรมไรเดอร์เพิ่มเติมนะคะ”</t>
  </si>
  <si>
    <t>ข้อมูลที่แอดมินแจ้งว่าไรเดอร์รับงานระยะห่างจากร้านเพียง 1 กม. ถูกต้องตามข้อมูลจาก Admin Panel V2 แต่คำตอบยังไม่ครบในประเด็นที่ลูกค้าถามเรื่องความล่าช้าและข้อสงสัยว่าไรเดอร์รับงานแอปอื่นหรือไม่ แอดมินยังไม่ได้อธิบายให้ลูกค้าเข้าใจว่า ระบบคำนวณระยะจากตำแหน่งไรเดอร์ตอนรับงาน และหลังรับงานไรเดอร์อาจเคลื่อนที่ออกจากพื้นที่ได้ รวมถึงไม่ได้แจ้งสถานะล่าสุดว่าออเดอร์จัดส่งสำเร็จแล้ว
เงื่อนไขที่ใช้หักคะแนนตามไฟล์:
พลาดเล็กน้อยถึงปานกลาง
หัก 2 คะแนน
ตัวอย่างจากเคส:
“ไรเดอร์ได้รับงานระยะห่างจากร้านเพียง 1 กิโลเมตรค่ะ”
ตัวอย่างที่เหมาะสมกว่า:
“จากการตรวจสอบ ณ เวลาที่ระบบจ่ายงาน ไรเดอร์อยู่ห่างจากร้านประมาณ 1 กม. ค่ะ ส่วนกรณีที่ลูกค้าพบว่าใช้เวลานาน แอดมินจะตรวจสอบประวัติการเคลื่อนที่และบันทึกเรื่องให้ทีมที่เกี่ยวข้องตรวจสอบเพิ่มเติมค่ะ”</t>
  </si>
  <si>
    <t>แอดมินตอบประเด็นระยะห่างไรเดอร์จากร้านได้ แต่ยังตอบไม่ครบทุกข้อสงสัยของลูกค้า ลูกค้าถามทั้งเรื่องทำไมนาน ไรเดอร์อยู่ไกล และมีข้อสงสัยว่าไรเดอร์รับแอปอื่นหรือไม่ แอดมินควรอธิบายสถานะการจัดส่งปัจจุบัน แจ้งไทม์ไลน์ที่ตรวจสอบได้ หรืออย่างน้อยแจ้งว่าจะบันทึกเรื่องเพื่อให้ทีมตรวจสอบพฤติกรรมไรเดอร์ แต่ในเคสนี้แอดมินแจ้งเพียงว่าจะประสานงานไรเดอร์ และไม่ได้แจ้งผลต่อให้ลูกค้าทราบ
เงื่อนไขที่ใช้หักคะแนนตามไฟล์:
พลาดปานกลาง
หัก 3 คะแนน
ตัวอย่างจากเคส:
ลูกค้าถาม “เค้ารับแอพอื่นด้วยรึเปล่า ปกติไม่น่านาน”
แต่แอดมินไม่ได้ตอบหรือแจ้งแนวทางตรวจสอบประเด็นนี้ให้ชัดเจน
ตัวอย่างที่เหมาะสมกว่า:
“ประเด็นที่ลูกค้ากังวลว่าไรเดอร์อาจออกนอกเส้นทางหรือทำให้จัดส่งล่าช้า แอดมินจะบันทึกเรื่องและส่งให้ทีมที่เกี่ยวข้องตรวจสอบประวัติการเดินทางของไรเดอร์เพิ่มเติมนะคะ”</t>
  </si>
  <si>
    <t>แอดมินแจ้งผลตรวจสอบระยะทางได้ แต่ขั้นตอนต่อไปยังไม่ชัดเจน เพราะบอกว่าจะประสานงานไรเดอร์สอบถามรายละเอียด แต่ไม่ได้แจ้งต่อว่าผลเป็นอย่างไร หรือจะดำเนินการอะไรต่อกับข้อกังวลของลูกค้า อีกทั้งไม่ได้แจ้งสถานะออเดอร์ที่จัดส่งสำเร็จแล้วก่อนปิดเคส ทำให้ลูกค้าไม่เห็นภาพว่าปัญหาถูกติดตามต่ออย่างไร
เงื่อนไขที่ใช้หักคะแนนตามไฟล์:
พลาดปานกลาง
หัก 2 คะแนน
ตัวอย่างจากเคส:
“แอดมินจะประสานงานไรเดอร์สอบถามรายละเอียดอีกครั้งนะคะ”
แต่ไม่มีการแจ้งผลการประสานงานกลับมา
ตัวอย่างที่เหมาะสมกว่า:
“ขณะนี้ออเดอร์จัดส่งสำเร็จแล้วเวลา 15:39 น. ค่ะ ส่วนเรื่องความล่าช้า แอดมินจะบันทึกเรื่องเพื่อตรวจสอบพฤติกรรมการจัดส่งของไรเดอร์เพิ่มเติมนะคะ”</t>
  </si>
  <si>
    <t>แอดมินตรวจสอบข้อมูลได้บางส่วน โดยเช็กระยะห่างของไรเดอร์จากร้านและแจ้งข้อมูลที่ถูกต้อง แต่ยังแก้ปัญหาได้ไม่ครบ เพราะประเด็นหลักของลูกค้าคือออเดอร์ล่าช้าและกังวลเรื่องพฤติกรรมไรเดอร์ เคสนี้ควรตรวจสอบไทม์ไลน์การจัดส่ง สถานะล่าสุด และหากพบข้อสงสัยเรื่องไรเดอร์ออกนอกเส้นทางหรือดึงเวลา ควรบันทึกพฤติกรรมหรือแจ้งว่าจะส่งตรวจสอบเพิ่มเติม อีกทั้งยังไม่ได้แจ้งสถานะจัดส่งสำเร็จก่อนจบเคส
เงื่อนไขที่ใช้หักคะแนนตามไฟล์:
พลาดปานกลาง
หัก 5 คะแนน
ตัวอย่างจากเคส:
แอดมินแจ้งว่าไรเดอร์อยู่ห่างร้าน 1 กม. แต่ไม่ได้ติดตามต่อว่าทำไมจัดส่งล่าช้า หรือแจ้งสถานะว่าออเดอร์จัดส่งสำเร็จแล้ว
ตัวอย่างที่เหมาะสมกว่า:
“จากไทม์ไลน์การจัดส่ง ไรเดอร์รับงานเวลา 14:53 น. ออกเดินทาง 15:15 น. ได้รับอาหาร 15:22 น. และจัดส่งสำเร็จเวลา 15:39 น. ค่ะ แอดมินขออภัยในความล่าช้า และจะบันทึกเรื่องเพื่อให้ทีมตรวจสอบการจัดส่งเพิ่มเติมนะคะ</t>
  </si>
  <si>
    <t>แอดมินรับเรื่องและแจ้งว่าจะตรวจสอบให้แล้ว แต่ยังดูแลเคสไม่ต่อเนื่องพอ เพราะหลังแจ้งว่าจะประสานงานกับไรเดอร์ ยังไม่พบการอัปเดตผลกลับให้ลูกค้าทราบ อีกทั้งเมื่อออเดอร์จัดส่งสำเร็จระหว่างเคส ควรแจ้งสถานะให้ลูกค้าทราบและบอกแนวทางต่อสำหรับข้อร้องเรียนเรื่องความล่าช้า
เงื่อนไขที่ใช้หักคะแนนตามไฟล์:
พลาดปานกลาง
หัก 4 คะแนน
ตัวอย่างจากเคส:
แอดมินแจ้งว่าจะประสานงานไรเดอร์ แต่ไม่มีผลการประสานงาน และปิดเคสหลังจากขอโทษเรื่องความล่าช้า
ตัวอย่างที่เหมาะสมกว่า:
“แอดมินตรวจสอบแล้วออเดอร์จัดส่งสำเร็จแล้วนะคะ สำหรับข้อกังวลเรื่องความล่าช้า แอดมินจะบันทึกเรื่องให้ทีมตรวจสอบพฤติกรรมไรเดอร์เพิ่มเติม หากพบความผิดปกติจะดำเนินการตามขั้นตอนของบริษัทค่ะ”</t>
  </si>
  <si>
    <t>โครงสร้างข้อความอ่านเข้าใจได้ แต่การสื่อสารยังไม่ต่อเนื่อง เพราะแจ้งว่าจะประสานงานกับไรเดอร์แล้วไม่ได้อัปเดตผลกลับมา ทำให้การปิดเคสดูเร็วเกินไปเมื่อเทียบกับปัญหาของลูกค้า
เงื่อนไขที่ใช้หักคะแนนตามไฟล์:
พลาดเล็กน้อย
หัก 1 คะแนน</t>
  </si>
  <si>
    <t>ภาษาสุภาพและเข้าใจได้ แต่พบคำสะกดผิดที่ควรแก้ เช่น “จากากรตรวจสอบ” ควรเป็น “จากการตรวจสอบ” และควรเว้นวรรคให้เหมาะสม เช่น “1 กิโลเมตร” เพื่อให้ข้อความดูเรียบร้อยขึ้น
เงื่อนไขที่ใช้หักคะแนนตามไฟล์:
พลาดเล็กน้อย
หัก 1 คะแนน
ตัวอย่างจากเคส:
“จากากรตรวจสอบหมายเลขออเดอร์…”
ตัวอย่างที่ถูกต้อง:
“จากการตรวจสอบหมายเลขออเดอร์…”</t>
  </si>
  <si>
    <t>น้ำเสียงของแอดมินสุภาพและมีการขออภัยในความล่าช้า เหมาะสมกับสถานการณ์ที่ลูกค้ารออาหารนาน อย่างไรก็ตาม ลูกค้ามีความกังวลเรื่องความล่าช้าและพฤติกรรมไรเดอร์ แอดมินควรแสดงความเข้าใจมากขึ้น พร้อมแจ้งว่าจะตรวจสอบพฤติกรรมหรือบันทึกเรื่องให้ ไม่ใช่เพียงขออภัยและปิดเคส
เงื่อนไขที่ใช้หักคะแนนตามไฟล์:
พลาดเล็กน้อย
หัก 2 คะแนน
ตัวอย่างจากเคส:
“แอดมินต้องขออภัยในความล่าช้าที่เกิดขึ้นนะคะ”
ตัวอย่างที่เหมาะสมกว่า:
“แอดมินต้องขออภัยที่คุณลูกค้ารออาหารนานนะคะ แอดมินเข้าใจว่าทำให้ไม่สะดวก และจะบันทึกเรื่องความล่าช้าเพื่อให้ทีมที่เกี่ยวข้องตรวจสอบพฤติกรรมการจัดส่งของไรเดอร์เพิ่มเติมค่ะ”</t>
  </si>
  <si>
    <t>ลูกค้าติดตามสถานะออเดอร์และสอบถามสาเหตุการจัดส่งล่าช้า (Order Delivery Delay Inquiry)</t>
  </si>
  <si>
    <t>ลูกค้าติดต่อเข้ามาเพื่อติดตามออเดอร์ 260514-SF-1321 เนื่องจากสั่งอาหารก่อน 15:00 น. แต่ยังไม่ได้รับอาหาร และตั้งข้อสงสัยว่าไรเดอร์อยู่ไกลหรืออาจรับงานจากแอปอื่นร่วมด้วย</t>
  </si>
  <si>
    <t>https://drive.google.com/open?id=1X-_ENiP_KuGzWgwUXj-3P4gy7DlHjAtV</t>
  </si>
  <si>
    <t>AA238867</t>
  </si>
  <si>
    <t>https://app.oho.chat/business/6805c0f16232119d2a1204b5/smartchat?room=6a094b1ccd5e1f3b90891bf1</t>
  </si>
  <si>
    <t>แอดมินมีการทักทายและปิดการสนทนาครบตามมาตรฐาน มีการระบุชื่อแอดมิน และข้อความสุดท้ายเป็นการเปิดโอกาสให้ร้านค้าสอบถามเพิ่มเติมได้อีกครั้ง จึงไม่หักคะแนนในหัวข้อนี้
เงื่อนไขที่ใช้หักคะแนนตามไฟล์:
ไม่เข้ากลุ่มพลาด</t>
  </si>
  <si>
    <t>เคสนี้เป็นการดำเนินการเกี่ยวกับการเปิดระบบร้านค้าอีกครั้ง ซึ่งมีผลกับบัญชีร้านค้า แอดมินควรยืนยันตัวตนร้านค้าก่อนดำเนินการ เช่น ขอชื่อ-นามสกุลเจ้าของกิจการ และเลขบัตรประชาชน 5 หลักสุดท้าย แต่ในแชทพบว่าแอดมินขอเพียงรหัสร้านค้า อีเมล และข้อมูลที่ใช้ตรวจสอบเบื้องต้น ยังไม่พบการยืนยันตัวตนครบตามที่ควรทำ แม้ไม่พบการเปิดเผยข้อมูลส่วนบุคคลเกินจำเป็น แต่ถือว่ายังทำตามเงื่อนไขความปลอดภัยของข้อมูลไม่ครบ
เงื่อนไขที่ใช้หักคะแนนตามไฟล์:
พลาดปานกลาง
หัก 5 คะแนน
ตัวอย่างจากเคส:
แอดมินขอรหัสร้านค้า / อีเมล / ข้อมูลร้านค้า แต่ยังไม่พบการขอชื่อ-นามสกุลเจ้าของกิจการ และ เลขประจำตัวผู้เสียภาษี 5 หลักสุดท้ายก่อนดำเนินการเปิดระบบร้านค้า
ตัวอย่างที่เหมาะสมกว่า:
“เพื่อความปลอดภัยของข้อมูล แอดมินรบกวนยืนยันข้อมูลเพิ่มเติมก่อนดำเนินการนะครับ
ชื่อ-นามสกุลเจ้าของกิจการ
เลขประจำตัวผู้เสียภาษี 5 หลักสุดท้าย
หลังจากยืนยันข้อมูลเรียบร้อย แอดมินจะตรวจสอบสถานะร้านค้าและดำเนินการเปิดระบบให้ตามขั้นตอนครับ”</t>
  </si>
  <si>
    <t>แอดมินมีการตรวจสอบสถานะร้านบนระบบ และมีการเปิดเคส #3575 ขอเปิดร้านค้าในระบบอีกครั้ง แล้ว ถือว่ามีการดำเนินการต่อ แต่ยังขาดขั้นตอนสำคัญคือการยืนยันตัวตนก่อนดำเนินการ และในแชทไม่ได้แจ้ง SLA ให้ร้านค้าทราบชัดเจน เช่น ระยะเวลาดำเนินการประมาณ 2 วันทำการ รวมถึงไม่ได้สื่อสารให้ชัดว่าเป็นการเปิดเคสเพื่อขอเปิดระบบร้านค้าอีกครั้ง
เงื่อนไขที่ใช้หักคะแนนตามไฟล์:
พลาดปานกลาง
หัก 3 คะแนน
ตัวอย่างจากเคส:
“แอดมินส่งเรื่องให้ สนง.ใหญ่รับทราบแล้ว และจะดำเนินการเปิดระบบร้านค้าให้โดยเร็วที่สุดครับ”
ตัวอย่างที่เหมาะสมกว่า:
“แอดมินตรวจสอบแล้วพบว่าร้านค้ายังอยู่ในสถานะปิดระบบนะครับ เบื้องต้นแอดมินได้เปิดเคส #3575 เพื่อขอเปิดร้านค้าในระบบอีกครั้งให้แล้ว ระยะเวลาดำเนินการประมาณ 2 วันทำการ หากมีผลอัปเดตจะแจ้งให้ร้านค้าทราบอีกครั้งครับ”</t>
  </si>
  <si>
    <t>แอดมินให้ข้อมูลถูกบางส่วน โดยตรวจสอบได้ว่าร้านค้าเป็นสาขาในนามนิติบุคคล และแจ้งเรื่องการเข้าใช้งานเว็บจัดการร้านค้าได้พอเข้าใจ รวมถึงมีการเปิดเคสขอเปิดร้านค้าอีกครั้งแล้ว แต่คำตอบยังไม่ครบตามสถานการณ์ เพราะจากภาพและข้อความของร้านค้า ประเด็นหลักคือร้านยังไม่แสดงบนแอปและต้องการเปิดระบบ แอดมินควรโฟกัสที่การตรวจสอบสถานะร้าน ยืนยันตัวตน และแจ้งขั้นตอนการเปิดระบบให้ชัดเจนกว่านี้
เงื่อนไขที่ใช้หักคะแนนตามไฟล์:
พลาดเล็กน้อย
หัก 2 คะแนน
ตัวอย่างจากเคส:
“การเข้าใช้งาน Web Merchant Portal จะสามารถเข้าได้เพียงอีเมล์และรหัสผ่านของ สาขาหลักเท่านั้นครับ”
ตัวอย่างที่เหมาะสมกว่า:
“จากภาพที่ร้านค้าส่งมา ร้านยังไม่แสดงบนแอปและสถานะยังปิดอยู่ แอดมินจะตรวจสอบสถานะร้านในระบบก่อนนะครับ หากเป็นการขอเปิดระบบอีกครั้ง แอดมินจะดำเนินการเปิดเคสให้ทีมที่เกี่ยวข้องตรวจสอบตามขั้นตอนครับ”</t>
  </si>
  <si>
    <t>คำตอบยังไม่ครบ เพราะแอดมินไม่ได้แจ้งรายละเอียดให้ครบว่าเคสนี้เป็นการขอเปิดระบบร้านค้าอีกครั้ง ต้องตรวจสอบสถานะร้านและสาเหตุการปิดระบบก่อน ควรบอกให้ร้านค้าทราบว่าเปิดเรื่องส่งทีมที่เกี่ยวข้องแล้ว พร้อมแจ้งระยะเวลาดำเนินการและช่องทางรอผลให้ชัดเจน
เงื่อนไขที่ใช้หักคะแนนตามไฟล์:
พลาดปานกลาง
หัก 3 คะแนน
ตัวอย่างจากเคส:
“แอดมินส่งเรื่องให้ สนง.ใหญ่รับทราบแล้ว และจะดำเนินการเปิดระบบร้านค้าให้โดยเร็วที่สุดครับ”
ตัวอย่างที่เหมาะสมกว่า:
“แอดมินเปิดเคส #3575 เพื่อขอเปิดร้านค้าในระบบอีกครั้งให้แล้วนะครับ ระยะเวลาดำเนินการประมาณ 2 วันทำการ หากทีมที่เกี่ยวข้องดำเนินการเรียบร้อยแล้ว แอดมินจะแจ้งผลให้ร้านค้าทราบอีกครั้งครับ”</t>
  </si>
  <si>
    <t>แอดมินแจ้งขั้นตอนได้ไม่ชัดพอ เพราะใช้คำว่า “ส่งเรื่องให้ สนง.ใหญ่” และ “โดยเร็วที่สุด” ซึ่งไม่บอกขั้นตอนจริงให้ร้านค้าทราบ แม้มีการเปิดเคส #3575 แล้ว แต่ในแชทควรแจ้งให้ชัดว่าเป็นการเปิดเคสขอเปิดร้านค้าในระบบอีกครั้ง และมีระยะเวลาดำเนินการประมาณกี่วัน
เงื่อนไขที่ใช้หักคะแนนตามไฟล์:
พลาดปานกลาง
หัก 2 คะแนน
ตัวอย่างจากเคส:
“หากระบบเปิดแล้ว แอดมินจะแจ้งให้สาขารับทราบอีกครััง”
ตัวอย่างที่เหมาะสมกว่า:
“แอดมินเปิดเคส #3575 เพื่อขอเปิดร้านค้าในระบบอีกครั้งแล้วนะครับ โดยทีมที่เกี่ยวข้องจะใช้เวลาตรวจสอบและดำเนินการประมาณ 2 วันทำการ หากมีผลอัปเดตจะแจ้งให้ร้านค้าทราบอีกครั้งครับ”</t>
  </si>
  <si>
    <t>แอดมินวิเคราะห์ได้บางส่วน เพราะมีการตรวจสอบร้านค้าในระบบ และมีการเปิดเคสขอเปิดร้านค้าในระบบอีกครั้งแล้ว แต่การจับประเด็นยังไม่ครบ เพราะร้านค้าส่งภาพและแจ้งชัดว่าร้านยังไม่แสดงบนแอป ต้องการเปิดระบบ แอดมินควรยืนยันตัวตนก่อน แล้วตรวจสอบสถานะร้านและสาเหตุที่ปิดระบบให้ชัด ก่อนแจ้งแนวทางที่เหมาะสม หากเป็นกรณีที่ต้องส่งเรื่องต่อควรแจ้งว่าเปิดเคสแล้วและมีระยะเวลาดำเนินการเท่าไร
เงื่อนไขที่ใช้หักคะแนนตามไฟล์:
พลาดปานกลาง
หัก 4 คะแนน
ตัวอย่างจากเคส:
ร้านค้าแจ้งว่า “จะเปิดระบบครับ / พอดีสถานะยังปิดอยู่”
แอดมินตอบว่า “แอดมินส่งเรื่องให้ สนง.ใหญ่รับทราบแล้ว”
ตัวอย่างที่เหมาะสมกว่า:
“จากภาพร้านค้ายังไม่แสดงบนแอป แอดมินจะตรวจสอบสถานะร้านในระบบก่อนนะครับ หลังยืนยันตัวตนเรียบร้อยแล้ว หากร้านอยู่ในเงื่อนไขที่สามารถเปิดระบบได้ แอดมินจะเปิดเคสขอเปิดร้านค้าในระบบอีกครั้งให้ทีมที่เกี่ยวข้องดำเนินการครับ”</t>
  </si>
  <si>
    <t>แอดมินมีการรับเรื่อง ตรวจสอบ และเปิดเคส #3575 แล้ว แต่ยังแจ้งขั้นตอนต่อไปไม่ชัดพอ ควรบอกให้ร้านค้าทราบว่าได้เปิดเคสขอเปิดร้านค้าแล้ว ใช้เวลาดำเนินการประมาณกี่วัน และร้านค้าต้องรอผลอย่างไร
เงื่อนไขที่ใช้หักคะแนนตามไฟล์:
พลาดเล็กน้อยถึงปานกลาง
หัก 2 คะแนน
ตัวอย่างจากเคส:
“จะดำเนินการเปิดระบบร้านค้าให้โดยเร็วที่สุดครับ”
ตัวอย่างที่เหมาะสมกว่า:
“แอดมินเปิดเคส #3575 เพื่อขอเปิดระบบร้านค้าให้อีกครั้งแล้วนะครับ โดยทีมที่เกี่ยวข้องจะตรวจสอบและดำเนินการให้ภายในประมาณ 2 วันทำการ หากมีผลอัปเดต แอดมินจะแจ้งให้ร้านค้าทราบอีกครั้งครับ”</t>
  </si>
  <si>
    <t>ข้อความโดยรวมอ่านเข้าใจได้ มีการขอข้อมูล ตรวจสอบ และแจ้งผล แต่ควรแยกประเด็นให้ชัดระหว่าง “เข้าเว็บจัดการร้านค้าไม่ได้” กับ “ร้านยังปิดอยู่/ต้องการเปิดระบบ” เพราะเป็นคนละประเด็นในการช่วยเหลือ หากจัดข้อความเป็นข้อ ๆ จะทำให้ร้านค้าเข้าใจง่ายขึ้น
เงื่อนไขที่ใช้หักคะแนนตามไฟล์:
พลาดเล็กน้อย
หัก 1 คะแนน
ตัวอย่างจากเคส:
แอดมินอธิบายเรื่องการเข้าเว็บจัดการร้านค้าก่อน แล้วต่อด้วยการแจ้งส่งเรื่องเปิดระบบ แต่ไม่ได้แยกให้ชัดว่าเป็น 2 ประเด็น
ตัวอย่างที่เหมาะสมกว่า:
“ขออนุญาตแจ้งเป็น 2 ส่วนนะครับ
เรื่องเข้าเว็บจัดการร้านค้า: ร้านสาขาต้องใช้บัญชีของสาขาหลักในการเข้าใช้งาน
เรื่องร้านยังปิดอยู่: แอดมินเปิดเคสขอเปิดร้านค้าในระบบอีกครั้งให้แล้ว ระยะเวลาดำเนินการประมาณ 2 วันทำการครับ”</t>
  </si>
  <si>
    <t>ภาษาสุภาพและเข้าใจได้ แต่ยังมีคำสะกดและการเว้นวรรคที่ควรแก้ เช่น “อีเมล์” ควรใช้ “อีเมล”, “Shop ID340766” ควรเว้นวรรคเป็น “Shop ID 340766”, “อีกครััง” ควรเป็น “อีกครั้ง” เพื่อให้ข้อความดูเรียบร้อยขึ้น
เงื่อนไขที่ใช้หักคะแนนตามไฟล์:
พลาดเล็กน้อย
หัก 1 คะแนน
ตัวอย่างจากเคส:
“Shop ID340766”
“อีกครััง”
“อีเมล์”
ตัวอย่างที่เหมาะสมกว่า:
“Shop ID 340766”
“อีกครั้ง”
“อีเมล”</t>
  </si>
  <si>
    <t>น้ำเสียงโดยรวมสุภาพ เหมาะสมกับร้านค้า และมีท่าทีพร้อมช่วยเหลือ แต่ควรสื่อสารให้ร้านค้ามั่นใจกว่านี้ เพราะร้านค้ากำลังต้องการเปิดระบบเพื่อกลับมาใช้งาน การบอกว่า “โดยเร็วที่สุด” ยังไม่ช่วยให้ร้านค้ารู้ว่าต้องรอนานเท่าไร ควรแจ้งขั้นตอนและระยะเวลาที่ชัดเจนกว่าเดิม
เงื่อนไขที่ใช้หักคะแนนตามไฟล์:
พลาดเล็กน้อย
หัก 1 คะแนน
ตัวอย่างจากเคส:
“จะดำเนินการเปิดระบบร้านค้าให้โดยเร็วที่สุดครับ”
ตัวอย่างที่เหมาะสมกว่า:
“แอดมินเปิดเคสส่งทีมที่เกี่ยวข้องให้แล้วนะครับ ระยะเวลาดำเนินการประมาณ 2 วันทำการ ระหว่างนี้รบกวนร้านค้ารอผลการตรวจสอบอีกครั้งครับ”</t>
  </si>
  <si>
    <t>ร้านค้าขอเปิดร้านค้าอีกครั้ง / เข้าใช้งาน Merchant Web Portal ไม่ได้ (Merchant Re-Activate / Merchant Portal Login Issue)</t>
  </si>
  <si>
    <t>ร้านค้าติดต่อเข้ามาแจ้งว่าเข้า Web Merchant Portal ไม่ได้ และระบุว่าต้องการเปิดระบบร้านค้า เนื่องจากสถานะร้านยังปิดอยู่ แอดมินมีการขอข้อมูลร้านค้า ตรวจสอบในระบบ Admin Panel และแจ้งว่าร้านเป็นสาขาภายใต้นิติบุคคล จึงไม่สามารถเข้าใช้งาน Web Merchant Portal ด้วยข้อมูลของสาขาได้ ต้องใช้ข้อมูลของสาขาหลักในการเข้าใช้งาน</t>
  </si>
  <si>
    <t>https://drive.google.com/file/d/1zS3_OX1sPUCvd6dOXyx2N2EdLcZVTcgp/view?usp=drive_link</t>
  </si>
  <si>
    <t>AA237160</t>
  </si>
  <si>
    <t>https://app.oho.chat/business/6805c0f16232119d2a1204b5/smartchat?room=6a0437d4915f3320d8baea93</t>
  </si>
  <si>
    <t>แอดมินมีการทักทาย ระบุชื่อแอดมิน และปิดการสนทนาได้สุภาพครบถ้วน มีข้อความเปิดโอกาสให้พี่ไรเดอร์ติดต่อกลับมาได้อีกครั้ง
เงื่อนไขที่ใช้หักคะแนน: ไม่พบข้อผิดพลาด</t>
  </si>
  <si>
    <t>แอดมินตรวจสอบจากข้อมูลที่พี่ไรเดอร์แจ้งเข้ามาเอง เช่น ชื่อ เบอร์ และรหัสไรเดอร์ และไม่พบการเปิดเผยข้อมูลส่วนบุคคลเกินจำเป็น แต่เคสนี้เกี่ยวกับบัญชีไรเดอร์และการขอเปิดระบบอีกครั้ง หากจะดำเนินการต่อควรมีการยืนยันตัวตนให้ครบก่อน เช่น ให้พี่ไรเดอร์ส่งภาพถ่ายตนเองคู่บัตรประชาชน เพื่อความปลอดภัยของข้อมูล
เงื่อนไขที่ใช้หักคะแนน: พลาดเล็กน้อย
หัก 2 คะแนน
ตัวอย่างจากเคส:
แอดมินตรวจสอบและแจ้งสถานะบัญชีจากข้อมูลที่พี่ไรเดอร์ให้มา แต่ยังไม่พบการขอรูปยืนยันตัวตนคู่บัตรประชาชนก่อนเข้าสู่ขั้นตอนดำเนินการต่อ
ตัวอย่างที่เหมาะสมกว่า:
“เพื่อความปลอดภัยของข้อมูล รบกวนพี่ไรเดอร์ยืนยันตัวตนด้วยภาพถ่ายตนเองคู่กับบัตรประชาชนก่อนนะครับ หลังจากตรวจสอบเรียบร้อย แอดมินจะดำเนินการประสานงานให้ครับ”</t>
  </si>
  <si>
    <t>แอดมินดำเนินการตาม Process ได้หลายส่วน ทั้งตรวจสอบบัญชี แจ้งว่าใช้บัญชี RR795977 ได้ ไม่ต้องสมัครใหม่ ตอบเรื่องรถชื่อแฟน และแจ้งรายการเอกสารที่ต้องใช้ แต่ยังขาดการแจ้งเงื่อนไขสำคัญของการกลับมาเปิดระบบ เช่น ต้องทำแบบทดสอบใหม่ให้ผ่านเกณฑ์ และเรื่องเงินประกัน 400 บาท รวมถึงควรแจ้งให้ชัดว่าเมื่อเอกสารครบแล้ว แอดมินจะส่งเรื่องให้ทีมที่เกี่ยวข้องตรวจสอบต่อ
เงื่อนไขที่ใช้หักคะแนน: พลาดเล็กน้อย
หัก 2 คะแนน
ตัวอย่างจากเคส:
แอดมินแจ้งเอกสารที่ต้องอัปโหลด แต่ยังไม่ได้แจ้งชัดว่าเมื่อส่งครบแล้ว แอดมินจะส่งเรื่องให้ทีมที่เกี่ยวข้องตรวจสอบและดำเนินการเปิดระบบให้
ตัวอย่างที่เหมาะสมกว่า:
“หลังจากพี่ไรเดอร์ส่งเอกสารครบและยืนยันตัวตนเรียบร้อยแล้ว แอดมินจะส่งเรื่องให้ทีมที่เกี่ยวข้องตรวจสอบและดำเนินการเปิดระบบให้นะครับ”</t>
  </si>
  <si>
    <t>แอดมินให้ข้อมูลถูกต้องเป็นส่วนใหญ่ ทั้งเรื่องบัญชี RR795977 การไม่ต้องสมัครใหม่ การใช้รถที่เป็นชื่อแฟนได้หากมีเอกสารยินยอมให้ใช้รถ และรายการเอกสารที่ต้องส่ง แต่ยังขาดข้อมูลสำคัญเรื่องการทำแบบทดสอบใหม่ให้ได้ 18 คะแนนขึ้นไป และเงื่อนไขเงินประกัน 400 บาท หากเคยได้รับเงินประกันเดิมคืนแล้ว
เงื่อนไขที่ใช้หักคะแนน: พลาดเล็กน้อย
หัก 2 คะแนน
ตัวอย่างจากเคส:
แอดมินแจ้งรายการเอกสารครบ แต่ยังไม่แจ้งเรื่องการอบรม/สอบใหม่ และเงินประกัน 400 บาท
ตัวอย่างที่เหมาะสมกว่า:
“เพิ่มเติมนะครับ กรณีขอเปิดระบบอีกครั้ง พี่ไรเดอร์จะต้องอบรมออนไลน์และทำแบบทดสอบใหม่ให้ผ่านเกณฑ์ 18 คะแนนขึ้นไป และหากเคยได้รับเงินประกันคืนแล้ว จะต้องยินยอมให้หักเงินประกัน 400 บาทใหม่อีกครั้งครับ”</t>
  </si>
  <si>
    <t>คำตอบครอบคลุมประเด็นหลักได้ดี ทั้งสาเหตุที่เข้าไม่ได้ บัญชีที่พบในระบบ การใช้รถชื่อแฟน และเอกสารที่ต้องใช้ แต่ยังไม่ครบทั้งหมด เพราะไม่ได้แจ้งเงื่อนไขสำคัญก่อนเปิดระบบ ได้แก่ การสอบใหม่ และเงินประกัน 400 บาท รวมถึงไม่ได้สรุปขั้นตอนถัดไปให้ชัดว่าแอดมินจะส่งเรื่องให้ทีมที่เกี่ยวข้องเมื่อเอกสารครบ
เงื่อนไขที่ใช้หักคะแนน: พลาดเล็กน้อย
หัก 2 คะแนน
ตัวอย่างจากเคส:
แอดมินแจ้งเอกสารที่ต้องใช้ แต่ยังไม่ได้บอกเงื่อนไขที่ต้องทำก่อนกลับมาเปิดระบบครบถ้วน
ตัวอย่างที่เหมาะสมกว่า:
“เอกสารที่ต้องใช้มีตามรายการที่แจ้งนะครับ และเงื่อนไขเพิ่มเติมคือพี่ไรเดอร์ต้องทำแบบทดสอบใหม่ให้ผ่านเกณฑ์ หากเอกสารครบแล้ว แอดมินจะส่งเรื่องให้ทีมที่เกี่ยวข้องตรวจสอบและดำเนินการเปิดระบบให้ครับ”</t>
  </si>
  <si>
    <t>แอดมินแจ้งข้อมูลหลายส่วน แต่ลำดับยังไม่ชัดพอ เพราะมีทั้งเรื่องบัญชีเดิม เอกสาร รถชื่อแฟน และพื้นที่งาน หากสรุปเป็นขั้นตอนสั้น ๆ ว่าต้องยืนยันตัวตน ส่งเอกสารให้ครบ แล้วแอดมินจะส่งเรื่องต่อ จะทำให้พี่ไรเดอร์เข้าใจง่ายกว่าเดิม
เงื่อนไขที่ใช้หักคะแนน: พลาดเล็กน้อย
หัก 1 คะแนน
ตัวอย่างจากเคส:
แอดมินแจ้งเอกสารหลายรายการต่อเนื่อง แต่ไม่ได้สรุปว่าหลังจากส่งเอกสารครบแล้วจะเกิดอะไรต่อ
ตัวอย่างที่เหมาะสมกว่า:
“สรุปขั้นตอนนะครับ พี่ไรเดอร์ส่งเอกสารให้ครบและยืนยันตัวตนก่อน หลังจากนั้นแอดมินจะส่งเรื่องให้ทีมที่เกี่ยวข้องตรวจสอบการเปิดระบบให้อีกครั้งครับ”</t>
  </si>
  <si>
    <t>แอดมินวิเคราะห์ได้ตรงจุดค่อนข้างดี เพราะตรวจสอบพบว่าพี่ไรเดอร์มีบัญชี RR795977 และแนะนำให้ใช้การเปิดระบบจากบัญชีเดิมแทนการสมัครใหม่ ซึ่งตรงกับปัญหาที่พี่ไรเดอร์แจ้งว่าเบอร์ขึ้นว่าไม่เคยลงทะเบียน จุดที่ยังขาดคือยังไม่ได้แจ้งเงื่อนไขก่อนเปิดระบบให้ครบ ทำให้พี่ไรเดอร์อาจยังไม่เข้าใจว่าต้องสอบใหม่และมีเรื่องเงินประกันที่ต้องรับทราบก่อน
เงื่อนไขที่ใช้หักคะแนน: พลาดเล็กน้อย
หัก 2 คะแนน
ตัวอย่างจากเคส:
“พี่ไรเดอร์ต้องการเปิดระบบ สามารถแจ้งเปิดระบบจากบัญชี RR795977 ได้เลยครับ”
ตัวอย่างที่เหมาะสมกว่า:
“พี่ไรเดอร์สามารถขอเปิดระบบจากบัญชี RR795977 ได้ครับ โดยต้องส่งเอกสารให้ครบ ยืนยันตัวตน และรับทราบเงื่อนไขการสอบใหม่กับเงินประกันก่อน จากนั้นแอดมินจะส่งเรื่องให้ทีมที่เกี่ยวข้องตรวจสอบต่อครับ”</t>
  </si>
  <si>
    <t>แอดมินดูแลเคสได้ต่อเนื่อง มีการตอบคำถามหลายประเด็น และแจ้งให้พี่ไรเดอร์ส่งเอกสารผ่านช่องทางนี้ได้ ถือว่าดูแลเคสได้ดีในระดับหนึ่ง แต่ยังควรแจ้งขั้นตอนต่อไปให้ชัดกว่านี้ เช่น เมื่อได้รับเอกสารครบแล้ว แอดมินจะส่งเรื่องให้ทีมที่เกี่ยวข้องตรวจสอบ และจะแจ้งผลกลับอีกครั้ง เพื่อให้พี่ไรเดอร์เข้าใจว่าหลังส่งเอกสารแล้วต้องรออะไรต่อ
เงื่อนไขที่ใช้หักคะแนน: พลาดเล็กน้อย
หัก 2 คะแนน
ตัวอย่างจากเคส:
“หรือหากอัปเดตเอกสารเข้าสู่แอปฯไม่ได้ สามารถส่งเอกสารให้แอดมินทางนี้ได้เลยครับ”
ตัวอย่างที่เหมาะสมกว่า:
“หากอัปโหลดเอกสารผ่านแอปไม่ได้ สามารถส่งเอกสารผ่านช่องทางนี้ได้ครับ หลังจากได้รับเอกสารครบ แอดมินจะส่งเรื่องให้ทีมที่เกี่ยวข้องตรวจสอบ และจะแจ้งผลหรือขั้นตอนถัดไปให้ทราบอีกครั้งครับ”</t>
  </si>
  <si>
    <t>ข้อความโดยรวมอ่านเข้าใจได้ แต่ช่วงท้ายมีหลายประเด็นรวมกัน ทั้งเรื่องเอกสาร พื้นที่งาน และการปิดเคส หากแยกหัวข้อสั้น ๆ จะช่วยให้พี่ไรเดอร์เข้าใจง่ายขึ้น
เงื่อนไขที่ใช้หักคะแนน: พลาดเล็กน้อย
หัก 1 คะแนน
ตัวอย่างจากเคส:
มีการแจ้งเอกสารหลายรายการ และตอบเรื่อง “สายไหม เป็นพื้นที่ที่มีงานตลอดทั้งวัน” ในช่วงเดียวกัน
ตัวอย่างที่เหมาะสมกว่า:
“ขอแยกเป็น 2 เรื่องนะครับ
เรื่องเปิดระบบ: ส่งเอกสารครบแล้วแอดมินจะส่งเรื่องให้ทีมตรวจสอบ
เรื่องพื้นที่รับงาน: หลังเปิดระบบแล้วสามารถตรวจสอบงานจากแผนที่งานในแอปได้ครับ”</t>
  </si>
  <si>
    <t>ภาษาสุภาพ แต่มีคำสะกดและคำลงท้ายบางจุดที่ควรแก้ เช่น “โฟรไฟล์” ควรเป็น “โปรไฟล์” และบางประโยคใช้ “นะคะ” ทั้งที่แอดมินใช้ครับเป็นหลัก ทำให้โทนไม่สม่ำเสมอ
เงื่อนไขที่ใช้หักคะแนน: พลาดเล็กน้อย
หัก 1 คะแนน
ตัวอย่างจากเคส:
“รูปถ่ายโฟรไฟล์”
“ต้องมีเอกสารยินยอมให้ใช้รถเท่านั้นนะคะ”
ตัวอย่างที่เหมาะสมกว่า:
“รูปถ่ายโปรไฟล์”
“กรณีเป็นรถของบุคคลอื่น ต้องมีเอกสารยินยอมให้ใช้รถแนบมาด้วยครับ”</t>
  </si>
  <si>
    <t>แอดมินใช้น้ำเสียงสุภาพ และตอบพี่ไรเดอร์ได้ต่อเนื่อง เหมาะกับกรณีที่พี่ไรเดอร์ต้องการกลับมาขับอีกครั้ง จุดที่ยังเพิ่มเติมได้คือควรสรุปให้ชัดว่ากรณีนี้สามารถดำเนินการจากบัญชีเดิมได้ และเมื่อพี่ไรเดอร์ส่งเอกสารครบแล้ว แอดมินจะช่วยส่งเรื่องต่อให้ทีมที่เกี่ยวข้องตรวจสอบ
เงื่อนไขที่ใช้หักคะแนน: พลาดเล็กน้อย
หัก 1 คะแนน
ตัวอย่างจากเคส:
พี่ไรเดอร์กังวลเรื่องต้องสมัครใหม่และบัญชีเดิม แอดมินตอบได้ แต่ยังไม่ได้สรุปให้มั่นใจตอนท้าย
ตัวอย่างที่เหมาะสมกว่า:
“ไม่ต้องกังวลนะครับพี่ กรณีนี้สามารถดำเนินการจากบัญชีเดิม RR795977 ได้ครับ หลังจากส่งเอกสารครบ แอดมินจะช่วยส่งเรื่องให้ทีมที่เกี่ยวข้องตรวจสอบต่อครับ”</t>
  </si>
  <si>
    <t>ไรเดอร์สอบถามการกลับมาใช้งานบัญชีเดิม / ขอเปิดระบบอีกครั้ง (Rider Re-activation Inquiry)</t>
  </si>
  <si>
    <t>พี่ไรเดอร์แจ้งว่าใส่เบอร์แล้วระบบขึ้นว่าไม่เคยลงทะเบียน ต้องการกลับมาขับงานใหม่ และสงสัยว่าต้องสมัครใหม่หรือไม่ แอดมินตรวจสอบพบว่าบัญชี RR795977 เคยกดยกเลิกบัญชี และแจ้งว่าปัจจุบันมีบัญชีเดียว จากนั้นแนะนำให้ติดตั้งแอปใหม่ เข้าระบบด้วยเบอร์เดิม หรือส่งเอกสารเพิ่มเติมได้</t>
  </si>
  <si>
    <t>https://drive.google.com/open?id=1uGUdobCP7DiPLF1TsxwsxVO7ERrP2LT_</t>
  </si>
  <si>
    <t>AA235922</t>
  </si>
  <si>
    <t>https://app.oho.chat/business/6805c0f16232119d2a1204b5/smartchat?room=683eef4ca9249dd530177ad6</t>
  </si>
  <si>
    <t>แอดมินทักทาย ระบุชื่อแอดมิน และปิดการสนทนาได้เหมาะสม มีข้อความปิดท้ายสุภาพว่า “ขับขี่ปลอดภัย แอดมินขนมต้มยินดีให้บริการครับ” ครบตามมาตรฐาน
เงื่อนไขที่ใช้หักคะแนน: ไม่พบข้อผิดพลาด</t>
  </si>
  <si>
    <t>ไม่พบการเปิดเผยข้อมูลส่วนบุคคลเกินจำเป็น ข้อมูลที่ใช้ในเคสเป็นข้อมูลเพื่อยืนยันออเดอร์และดำเนินการแก้ไขงานให้พี่ไรเดอร์เท่านั้น ไม่มีการขอข้อมูลอ่อนไหวเกินจำเป็น
เงื่อนไขที่ใช้หักคะแนน: ไม่พบข้อผิดพลาด</t>
  </si>
  <si>
    <t>กระบวนการหลักทำได้ถูกต้อง แอดมินตรวจสอบออเดอร์ ยืนยันข้อมูลก่อนดำเนินการ เสนอทางเลือกตาม Process และหลังพี่ไรเดอร์เลือกข้อ 2 ก็ยกเลิกงานออกจากหน้าจอ พร้อมใส่ค่ารอบให้ รวมถึงมีการเปิดเคสปรับสถานะออเดอร์เป็น Complete เพิ่มเติมแล้ว
จุดที่หักคือเวลารอรับบริการในระบบขึ้น 0:07:23 ซึ่งถือว่าค่อนข้างนาน และแอดมินยังไม่ได้กำชับพี่ไรเดอร์เรื่องการกด “ถึงร้าน” และถ่ายรูปที่หน้าร้านในครั้งถัดไป เพื่อป้องกันปัญหา Merchant Timeout หรือสถานะงานค้างซ้ำ
เงื่อนไขที่ใช้หักคะแนน: พลาดเล็กน้อย
หัก 2 คะแนน
ตัวอย่างจากเคส:
แอดมินแก้ไขงานได้ถูกต้อง แต่ไม่มีข้อความกำชับเพิ่มเติมหลังดำเนินการเสร็จ
ตัวอย่างที่เหมาะสมกว่า:
“เรียบร้อยครับ แอดมินใส่ค่ารอบให้แล้วนะครับ ครั้งถัดไปรบกวนพี่ไรเดอร์กดถึงร้านและถ่ายรูปรับอาหารที่หน้าร้านก่อนนำอาหารออกไปส่งทุกครั้ง เพื่อป้องกันสถานะงานค้างหรือระบบยกเลิกอัตโนมัติครับ”</t>
  </si>
  <si>
    <t>ข้อมูลที่แอดมินแจ้งถูกต้องตาม Process กรณีไรเดอร์ยังไม่ได้กดปุ่มถึงร้าน แอดมินไม่สามารถกดจบงานแทนเป็นสถานะสำเร็จได้ทันที จึงเสนอทางเลือกให้กลับไปกดถึงร้าน หรือยกเลิกงานออกจากหน้าจอและใส่ค่ารอบให้ ซึ่งตรงกับแนวทางที่ให้มา
เงื่อนไขที่ใช้หักคะแนน: ไม่พบข้อผิดพลาด</t>
  </si>
  <si>
    <t>แอดมินตอบครบเกือบทั้งหมด ทั้งยืนยันออเดอร์ อธิบายสถานะ เสนอทางเลือก และดำเนินการตามที่พี่ไรเดอร์เลือก แต่ยังควรเพิ่มการแจ้งกำชับเรื่องขั้นตอนที่ถูกต้องในครั้งถัดไป เช่น ต้องกดถึงร้านและถ่ายรูปรับอาหารก่อนนำอาหารไปส่ง เพื่อให้พี่ไรเดอร์เข้าใจและไม่เกิดปัญหาเดิมอีก
เงื่อนไขที่ใช้หักคะแนน: พลาดเล็กน้อย
หัก 1 คะแนน
ตัวอย่างจากเคส:
หลังใส่ค่ารอบแล้ว แอดมินถามว่าต้องการสอบถามเพิ่มเติมหรือไม่ แต่ไม่ได้แจ้งวิธีป้องกันปัญหาครั้งหน้า
ตัวอย่างที่เหมาะสมกว่า:
“ครั้งถัดไปรบกวนพี่ไรเดอร์กดถึงร้านและถ่ายรูปรับอาหารก่อนนำอาหารออกไปส่งทุกครั้งนะครับ หากแอปค้างให้รีบติดต่อแอดมินทันทีเพื่อช่วยตรวจสอบให้ครับ”</t>
  </si>
  <si>
    <t>แอดมินแจ้งทางเลือกชัดเจน แยกเป็นข้อ 1 และข้อ 2 ทำให้พี่ไรเดอร์เข้าใจและเลือกดำเนินการได้ง่าย ถือว่าชัดเจนดี
เงื่อนไขที่ใช้หักคะแนน: ไม่พบข้อผิดพลาด</t>
  </si>
  <si>
    <t>แอดมินวิเคราะห์ปัญหาได้ตรงจุดว่าออเดอร์ยังติดสถานะก่อนถึงร้าน จึงไม่สามารถจบงานแทนได้ทันที และเลือกแนวทางแก้ไขตรงกับสถานการณ์ หลังพี่ไรเดอร์เลือกให้ยกเลิกงานออกจากหน้าจอ แอดมินก็ใส่ค่ารอบให้เรียบร้อย พร้อมมีการเปิดเคสปรับสถานะ Complete ตามหลังบ้าน
เงื่อนไขที่ใช้หักคะแนน: ไม่พบข้อผิดพลาด</t>
  </si>
  <si>
    <t>แอดมินรับเรื่อง ตรวจสอบ แจ้งทางเลือก และดำเนินการให้จนจบ พี่ไรเดอร์ได้รับค่ารอบ และมีการเปิดเคสปรับสถานะออเดอร์ต่อ ถือว่ามีการดูแลเคสครบและมี Next Step ชัดเจนพอ
เงื่อนไขที่ใช้หักคะแนน: ไม่พบข้อผิดพลาด</t>
  </si>
  <si>
    <t>ข้อความอ่านง่าย แยกตัวเลือกเป็นข้อ ๆ ชัดเจน พี่ไรเดอร์สามารถตอบเลือกแนวทางได้ทันที ไม่สับสน
เงื่อนไขที่ใช้หักคะแนน: ไม่พบข้อผิดพลาด</t>
  </si>
  <si>
    <t>ภาษากระชับ สุภาพ เข้าใจง่าย ไม่มีคำผิดที่กระทบต่อความเข้าใจหรือความเป็นมืออาชีพของเคส
เงื่อนไขที่ใช้หักคะแนน: ไม่พบข้อผิดพลาด</t>
  </si>
  <si>
    <t>แอดมินใช้น้ำเสียงสุภาพ ให้ข้อมูลตรงไปตรงมา และช่วยแก้ปัญหาให้พี่ไรเดอร์อย่างเหมาะสม สถานการณ์นี้พี่ไรเดอร์ต้องการให้ช่วยจบงานเพื่อรับงานต่อ แอดมินตอบและดำเนินการได้ดี
เงื่อนไขที่ใช้หักคะแนน: ไม่พบข้อผิดพลาด</t>
  </si>
  <si>
    <t>ไรเดอร์ขอให้ช่วยจบงาน / แอปค้างและไม่ได้กดถึงร้าน (Rider Unable to Complete Order / App Issue)</t>
  </si>
  <si>
    <t>พี่ไรเดอร์แจ้งว่าแอปค้าง กดถึงร้านไม่ได้ แต่นำอาหารไปส่งให้ลูกค้าเรียบร้อยแล้ว และขอให้แอดมินช่วยจบงาน แอดมินตรวจสอบออเดอร์ ยืนยันเลขออเดอร์และชื่อร้านค้ากับพี่ไรเดอร์ก่อน จากนั้นแจ้งว่าพี่ไรเดอร์ยังไม่ได้กดปุ่มถึงร้าน จึงไม่สามารถปิดงานแทนเป็นสถานะสำเร็จได้ พร้อมเสนอทางเลือก 2 ทาง คือกลับไปกดถึงร้านก่อน หรือให้แอดมินยกเลิกงานออกจากหน้าจอและใส่ค่ารอบให้ พี่ไรเดอร์เลือกข้อ 2 แอดมินจึงดำเนินการยกเลิกออเดอร์และใส่ค่ารอบ 46 บาทให้เรียบร้อย</t>
  </si>
  <si>
    <t>https://drive.google.com/open?id=1DZPIXvmMzy8TjxQqjdAxpKM7pn-UYvLV</t>
  </si>
  <si>
    <t>AA238226</t>
  </si>
  <si>
    <t>https://app.oho.chat/business/6805c0f16232119d2a1204b5/smartchat?room=69679ee5b01f0a1c8f75e7c5</t>
  </si>
  <si>
    <t>แอดมินมีการทักทาย ระบุชื่อแอดมิน และปิดการสนทนาได้สุภาพครบถ้วน มีข้อความปิดท้ายว่า “แอดมินอินทนิลยินดีให้บริการครับ พี่ไรเดอร์ขับขี่ปลอดภัยนะครับ” ถือว่าครบตามมาตรฐาน
เงื่อนไขที่ใช้หักคะแนน: ไม่พบข้อผิดพลาด</t>
  </si>
  <si>
    <t>ไม่พบการเปิดเผยข้อมูลส่วนบุคคลเกินจำเป็น และไม่มีการขอข้อมูลอ่อนไหวที่ไม่เกี่ยวข้องกับเคส ข้อมูลที่ควรขอเพิ่มเติม เช่น Rider ID หรือเบอร์โทรศัพท์ เป็นข้อมูลที่จำเป็นต่อการประสานงานรับเสื้อ จึงไม่ถือว่าผิด PDPA
เงื่อนไขที่ใช้หักคะแนน: ไม่พบข้อผิดพลาด</t>
  </si>
  <si>
    <t>แอดมินตอบกลับอยู่ในเวลาที่เหมาะสม และแจ้งระยะเวลาจัดส่ง 7–14 วันทำการได้ แต่การดำเนินการตาม Process ยังไม่ครบ เพราะเมื่อพี่ไรเดอร์แจ้งว่าต้องการเข้ารับสินค้าด้วยตนเอง แอดมินควรขอข้อมูลที่จำเป็น เช่น Rider ID หรือเบอร์โทรศัพท์ แล้วแจ้งว่าจะช่วยบันทึกหรือประสานงานกับส่วนงานที่เกี่ยวข้องเพื่อยืนยันสถานที่และเวลารับ ไม่ใช่ตอบกลับภายหลังว่าให้รอรับการจัดส่งแทน
เงื่อนไขที่ใช้หักคะแนน: พลาดปานกลาง
หัก 3 คะแนน
ตัวอย่างจากเคส:
แอดมินแจ้งว่า “สามารถแจ้งวันและเวลาที่สะดวกเข้ารับสินค้าได้เลยนะครับ” แต่เมื่อไรเดอร์แจ้งวันเวลามาแล้ว แอดมินกลับตอบว่า “แนะนำให้รอรับการจัดส่งจะสะดวกกว่าครับ”
ตัวอย่างที่เหมาะสมกว่า:
“รับทราบครับ พี่ไรเดอร์สะดวกเข้ารับสินค้าวันที่ 25/05/2026 เวลา 09:30 น. แอดมินขอ Rider ID หรือเบอร์โทรศัพท์เพิ่มเติม เพื่อบันทึกข้อมูลและประสานงานยืนยันสถานที่/เวลารับสินค้ากับส่วนงานที่เกี่ยวข้องให้นะครับ”</t>
  </si>
  <si>
    <t>ข้อมูลเรื่องการจัดส่งภายใน 7–14 วันทำการถือว่าให้ข้อมูลได้ แต่คำตอบเรื่องการรับเองยังไม่ชัดและมีความย้อนแย้งในแชท ตอนแรกแจ้งว่าสามารถรับเองได้และให้แจ้งวันเวลา แต่ภายหลังแนะนำให้รอรับการจัดส่งแทน โดยไม่ได้ดำเนินการประสานงานตามที่แจ้งไว้ ทำให้คำตอบไม่ตรงกับความต้องการของพี่ไรเดอร์เท่าที่ควร
เงื่อนไขที่ใช้หักคะแนน: พลาดปานกลาง
หัก 3 คะแนน
ตัวอย่างจากเคส:
พี่ไรเดอร์แจ้งว่า “ผมมีความประสงค์จะเข้ารับสินค้าที่บริษัทครับ” และแจ้งวันเวลาแล้ว แต่แอดมินไม่ได้รับเรื่องต่อ
ตัวอย่างที่เหมาะสมกว่า:
“กรณีต้องการเข้ารับเอง แอดมินจะช่วยประสานงานให้ก่อนนะครับ เพื่อยืนยันว่ารอบวันและเวลาที่พี่ไรเดอร์สะดวกสามารถเข้ารับได้หรือไม่ หากยืนยันแล้วจะแจ้งรายละเอียดสถานที่รับให้อีกครั้งครับ”</t>
  </si>
  <si>
    <t>คำตอบยังไม่ครบตามคำถามหลัก เพราะพี่ไรเดอร์ถามว่า “รับได้ที่ไหน” แต่แอดมินไม่ได้แจ้งสถานที่รับที่ชัดเจน หรืออย่างน้อยควรแจ้งว่าจะตรวจสอบ/ประสานงานเพื่อยืนยันสถานที่ให้ รวมถึงไม่ได้ขอ Rider ID หรือเบอร์โทรศัพท์เพื่อบันทึกข้อมูลในการประสานงาน และไม่ได้แจ้งให้ตรวจสอบรายละเอียดจากลิงก์สั่งซื้อ
เงื่อนไขที่ใช้หักคะแนน: พลาดปานกลาง
หัก 4 คะแนน
ตัวอย่างจากเคส:
แอดมินแจ้งเพียงระยะเวลาจัดส่ง และเมื่อไรเดอร์ต้องการรับเอง ก็ยังไม่ได้แจ้งสถานที่รับหรือขั้นตอนต่อที่ชัดเจน
ตัวอย่างที่เหมาะสมกว่า:
“สถานที่รับอุปกรณ์จะยืนยันตามรอบและรายละเอียดที่ส่วนงานอุปกรณ์แจ้งนะครับ แอดมินขอ Rider ID หรือเบอร์โทรศัพท์ไว้ก่อน เพื่อช่วยประสานงานยืนยันสถานที่รับและแจ้งกลับให้พี่ไรเดอร์ทราบครับ”</t>
  </si>
  <si>
    <t>แอดมินอธิบายขั้นตอนไม่ชัดพอ เพราะตอนแรกบอกว่าสามารถรับเองได้และให้แจ้งวันเวลา แต่ภายหลังกลับแนะนำให้รอจัดส่ง ทำให้พี่ไรเดอร์อาจสับสนว่าจริง ๆ แล้วรับเองได้หรือไม่ได้ ควรแยกให้ชัดว่า “จัดส่งตามปกติ” กับ “กรณีต้องการรับเอง แอดมินจะช่วยประสานงานยืนยันให้”
เงื่อนไขที่ใช้หักคะแนน: พลาดปานกลาง
หัก 2 คะแนน
ตัวอย่างจากเคส:
“ได้ครับ หากพี่ไรเดอร์ประสงค์จะเข้ารับสินค้าด้วยตนเอง...”
ต่อมา “แอดมินแนะนำให้รอรับการจัดส่งจะสะดวกกว่าครับ”
ตัวอย่างที่เหมาะสมกว่า:
“โดยปกติสินค้าจะจัดส่งภายใน 7–14 วันทำการครับ หากพี่ไรเดอร์ต้องการเข้ารับเอง แอดมินจะช่วยประสานงานยืนยันรอบรับสินค้าให้ก่อน และจะแจ้งสถานที่/เวลาที่แน่นอนอีกครั้งครับ”</t>
  </si>
  <si>
    <t>แอดมินเข้าใจเบื้องต้นว่าเป็นเรื่องการสั่งเสื้อและการรับสินค้า แต่ยังตอบไม่ตรงกับความต้องการหลักของพี่ไรเดอร์ เพราะพี่ไรเดอร์แจ้งชัดว่าอยากเข้ารับสินค้าที่บริษัท และระบุวันเวลาไว้แล้ว เคสนี้แอดมินควรรับเรื่องไปประสานงานต่อก่อน ไม่ควรตอบให้รอจัดส่งเพียงอย่างเดียว ทำให้ความต้องการของพี่ไรเดอร์ยังไม่ได้รับการดูแลต่อ
เงื่อนไขที่ใช้หักคะแนน: พลาดปานกลาง
หัก 6 คะแนน
ตัวอย่างจากเคส:
พี่ไรเดอร์แจ้งวันเวลาเข้ารับสินค้า “25/5/2026 09.30น.” แล้ว แต่แอดมินไม่ได้ขอข้อมูลเพิ่มหรือแจ้งว่าจะประสานงานให้
ตัวอย่างที่เหมาะสมกว่า:
“รับทราบวันเวลาที่พี่ไรเดอร์สะดวกแล้วครับ แอดมินจะช่วยประสานงานเพื่อยืนยันรอบเข้ารับสินค้าให้ หากสามารถเข้ารับได้ตามวันเวลาดังกล่าว แอดมินจะแจ้งรายละเอียดสถานที่และวิธีเข้ารับให้อีกครั้งครับ”</t>
  </si>
  <si>
    <t>แอดมินมีการตอบต่อเนื่อง แต่การดูแลเคสยังไม่ครบ เพราะเมื่อพี่ไรเดอร์แจ้งความประสงค์และระบุวันเวลาที่ต้องการรับสินค้าแล้ว แอดมินยังไม่ได้รับเรื่องไปดำเนินการต่อ ไม่ได้ขอข้อมูลเพิ่มเติมเพื่อใช้ประสานงาน และไม่ได้แจ้งว่าจะตรวจสอบกับส่วนงานที่เกี่ยวข้อง ทำให้พี่ไรเดอร์ยังไม่ทราบว่าต้องดำเนินการต่ออย่างไร
เงื่อนไขที่ใช้หักคะแนน: พลาดปานกลาง
หัก 4 คะแนน
ตัวอย่างจากเคส:
แอดมินถามให้แจ้งวันเวลา แต่หลังจากได้รับข้อมูลแล้วไม่ได้ดำเนินการต่อในทิศทางนั้น
ตัวอย่างที่เหมาะสมกว่า:
“แอดมินรับข้อมูลวันและเวลาที่พี่ไรเดอร์สะดวกไว้แล้วนะครับ ขอ Rider ID หรือเบอร์โทรศัพท์เพิ่มเติม เพื่อประสานงานกับทีมอุปกรณ์และแจ้งยืนยันกลับให้อีกครั้งครับ”</t>
  </si>
  <si>
    <t>ข้อความอ่านง่าย ไม่ยาวเกินไป และสื่อสารเป็นลำดับพอสมควร ไม่มีปัญหาเรื่องโครงสร้างข้อความ
เงื่อนไขที่ใช้หักคะแนน: ไม่พบข้อผิดพลาด</t>
  </si>
  <si>
    <t>ภาษาสุภาพ กระชับ อ่านเข้าใจง่าย ไม่พบคำผิดที่กระทบต่อความหมายหรือความเป็นมืออาชีพ
เงื่อนไขที่ใช้หักคะแนน: ไม่พบข้อผิดพลาด</t>
  </si>
  <si>
    <t>น้ำเสียงสุภาพและเป็นมิตร มีการอวยพรให้พี่ไรเดอร์ขับขี่ปลอดภัย เหมาะกับการสื่อสารกับไรเดอร์ แต่ยังขาดความชัดเจนในการรับเรื่องต่อ เมื่อไรเดอร์แจ้งว่าจะเข้ารับสินค้าด้วยตนเองแล้ว
เงื่อนไขที่ใช้หักคะแนน: พลาดเล็กน้อย
หัก 1 คะแนน
ตัวอย่างจากเคส:
น้ำเสียงสุภาพ แต่ยังไม่ได้แสดงการรับเรื่องต่อให้ชัดหลังไรเดอร์แจ้งวันเวลาเข้ารับสินค้า
ตัวอย่างที่เหมาะสมกว่า:
“รับทราบครับ แอดมินจะช่วยประสานงานเรื่องการเข้ารับสินค้าให้ และจะแจ้งยืนยันกลับอีกครั้งนะครับ”</t>
  </si>
  <si>
    <t>ไรเดอร์สอบถามการรับเสื้อ / อุปกรณ์การทำงาน (Rider Uniform / Equipment Pickup Inquiry)</t>
  </si>
  <si>
    <t>พี่ไรเดอร์สอบถามว่าสั่งเสื้อแล้วสามารถรับได้ที่ไหน แอดมินแจ้งว่าหากสั่งซื้อเสื้อแล้ว ทีมที่เกี่ยวข้องจะจัดส่งภายในประมาณ 7–14 วันทำการ ต่อมาพี่ไรเดอร์ถามว่าสามารถรับเองที่บริษัทได้หรือไม่ แอดมินตอบว่าได้ และให้แจ้งวันเวลาที่สะดวกเพื่อประสานงาน แต่เมื่อพี่ไรเดอร์แจ้งวันเวลาที่ต้องการเข้ารับ แอดมินกลับแนะนำให้รอรับการจัดส่งแทน โดยไม่ได้ขอ Rider ID หรือเบอร์โทรศัพท์เพื่อบันทึก/ประสานงาน และไม่ได้แจ้งว่าจะตรวจสอบกับ Senior หรือส่วนงานอุปกรณ์เพื่อยืนยันสถานที่และเวลารับที่แน่นอน</t>
  </si>
  <si>
    <t>https://drive.google.com/open?id=10Pi4xnyC7prVKTrtbDlMP79oVDvlxWog</t>
  </si>
  <si>
    <t>AA238191</t>
  </si>
  <si>
    <t>https://app.oho.chat/business/6805c0f16232119d2a1204b5/smartchat?room=6a07093e499d418881c56e5b</t>
  </si>
  <si>
    <t>แอดมินทักทาย ระบุชื่อแอดมิน และปิดท้ายได้สุภาพ มีการขอบคุณและอวยพรให้ร้านค้ามียอดขายดี ถือว่าครบตามมาตรฐาน
เงื่อนไขที่ใช้หักคะแนน: ไม่พบข้อผิดพลาด</t>
  </si>
  <si>
    <t>ไม่พบการเปิดเผยข้อมูลส่วนบุคคลเกินจำเป็น แอดมินขอเฉพาะหมายเลขออเดอร์เพื่อใช้ตรวจสอบและดำเนินการยกเลิก ซึ่งเกี่ยวข้องกับเคสโดยตรง
เงื่อนไขที่ใช้หักคะแนน: ไม่พบข้อผิดพลาด</t>
  </si>
  <si>
    <t>แอดมินรับเรื่องและดำเนินการยกเลิกออเดอร์ได้รวดเร็ว แต่ยังทำ Process ไม่ครบ เพราะกรณีร้านค้าแจ้งว่าสินค้าหมดและลูกค้าขอยกเลิก แอดมินควรยืนยันกับลูกค้าโดยตรงก่อน และหากมีไรเดอร์เกี่ยวข้องควรแจ้งไรเดอร์ให้ทราบด้วย เพื่อป้องกันผลกระทบต่อทุกฝ่าย
เงื่อนไขที่ใช้หักคะแนน: พลาดปานกลาง
หัก 5 คะแนน
ตัวอย่างจากเคส:
แอดมินดำเนินการยกเลิกออเดอร์ทันทีหลังร้านค้าแจ้งเลขออเดอร์ โดยไม่พบหลักฐานการโทรหรือประสานยืนยันกับลูกค้าและไรเดอร์
ตัวอย่างที่เหมาะสมกว่า:
“รับทราบครับ แอดมินขอตรวจสอบสถานะออเดอร์และขอประสานยืนยันกับคุณลูกค้า/พี่ไรเดอร์ก่อนนะครับ หากลูกค้ายืนยันยกเลิก แอดมินจะดำเนินการยกเลิกออเดอร์ให้ครับ”</t>
  </si>
  <si>
    <t>การยกเลิกออเดอร์กรณีสินค้าหมดสามารถทำได้ และจากระบบพบว่ามีการยกเลิกแบบ ADMIN - CANCEL แล้วจริง แต่คำตอบยังไม่ถูกต้องครบตามเงื่อนไข เพราะยังขาดการประสานยืนยันกับลูกค้าและไรเดอร์ก่อนดำเนินการ
เงื่อนไขที่ใช้หักคะแนน: พลาดปานกลาง
หัก 3 คะแนน
ตัวอย่างจากเคส:
“แอดมินดำเนินการยกเลิกหมายเลขคำสั่งซื้อ 260515-SF-9807 เรียบร้อยแล้วนะครับ”
ตัวอย่างที่เหมาะสมกว่า:
“แอดมินตรวจสอบออเดอร์แล้วนะครับ ขอประสานยืนยันกับคุณลูกค้าและพี่ไรเดอร์ก่อน หากยืนยันยกเลิกเรียบร้อย แอดมินจะดำเนินการยกเลิกให้ทันทีครับ”</t>
  </si>
  <si>
    <t>แอดมินแจ้งผลการยกเลิกให้ร้านค้าทราบแล้ว แต่ยังตอบไม่ครบในมุม Process เพราะไม่ได้แจ้งว่าจะมีการประสานลูกค้า/ไรเดอร์ ไม่แจ้งเรื่องผลกระทบหลังยกเลิก เช่น ระบบจะคืนเงินให้ลูกค้าตามช่องทางชำระเงิน และไม่ได้ยืนยันว่าทุกฝ่ายรับทราบแล้ว
เงื่อนไขที่ใช้หักคะแนน: พลาดปานกลาง
หัก 4 คะแนน
ตัวอย่างจากเคส:
แอดมินแจ้งเพียงว่ายกเลิกเรียบร้อย แต่ไม่ได้แจ้งว่ามีการยืนยันกับลูกค้าและไรเดอร์แล้วหรือไม่
ตัวอย่างที่เหมาะสมกว่า:
“ดำเนินการยกเลิกออเดอร์เรียบร้อยแล้วครับ ระบบจะคืนเงินให้คุณลูกค้าตามช่องทางที่ชำระเข้ามา และแอดมินได้แจ้งผู้เกี่ยวข้องให้ทราบเรียบร้อยครับ”</t>
  </si>
  <si>
    <t>ข้อความของแอดมินสั้นและเข้าใจง่าย แต่ขั้นตอนที่แจ้งยังไม่ชัด เพราะไม่ได้บอกว่าก่อนยกเลิกต้องตรวจสอบสถานะและประสานผู้เกี่ยวข้อง หากแจ้งให้ร้านค้าทราบว่าแอดมินจะตรวจสอบและยืนยันกับลูกค้า/ไรเดอร์ก่อน จะทำให้ขั้นตอนชัดเจนกว่า
เงื่อนไขที่ใช้หักคะแนน: พลาดปานกลาง
หัก 2 คะแนน
ตัวอย่างจากเคส:
“รับทราบครับ แอดมินอินทนิลตรวจสอบให้สักครู่นะครับ”
ตัวอย่างที่เหมาะสมกว่า:
“รับทราบครับ แอดมินจะตรวจสอบสถานะออเดอร์ และประสานยืนยันกับคุณลูกค้า/พี่ไรเดอร์ก่อนดำเนินการยกเลิกนะครับ”</t>
  </si>
  <si>
    <t>แอดมินดำเนินการตามคำขอของร้านค้าได้ โดยยกเลิกออเดอร์ให้เนื่องจากสินค้าหมดและร้านค้าแจ้งว่าลูกค้าขอยกเลิก แต่ยังควรตรวจสอบข้อมูลให้ครบกว่านี้ก่อนดำเนินการ เช่น เช็กสถานะออเดอร์ว่ามีไรเดอร์รับงานแล้วหรือไม่ และควรประสานลูกค้าเพื่อยืนยันความต้องการยกเลิกโดยตรงก่อน
แบบสั้นลง:
เงื่อนไขที่ใช้หักคะแนน: พลาดปานกลาง
หัก 5 คะแนน
ตัวอย่างจากเคส:
ร้านค้าแจ้งว่า “ลูกค้าขอให้ยกเลิกออเดอร์ให้หน่อย” แล้วแอดมินดำเนินการยกเลิก โดยไม่พบการยืนยันกับลูกค้าโดยตรง
ตัวอย่างที่เหมาะสมกว่า:
“แอดมินขอตรวจสอบสถานะออเดอร์และติดต่อยืนยันกับคุณลูกค้าก่อนนะครับ หากคุณลูกค้ายืนยันยกเลิก แอดมินจะดำเนินการยกเลิกให้ และหากมีพี่ไรเดอร์รับงานแล้วจะแจ้งพี่ไรเดอร์ให้ทราบด้วยครับ”</t>
  </si>
  <si>
    <t>แอดมินรับเรื่องและดำเนินการยกเลิกออเดอร์ให้จนเสร็จ แต่การดูแลเคสยังไม่ครบ เพราะยังไม่ได้แจ้งให้เห็นว่ามีการตรวจสอบผลกระทบกับฝ่ายที่เกี่ยวข้อง เช่น ลูกค้าและพี่ไรเดอร์ รวมถึงไม่ได้แจ้งขั้นตอนหลังยกเลิกให้ชัด เช่น การคืนเงินให้ลูกค้า หรือการแจ้งพี่ไรเดอร์หากมีงานอยู่ในระบบ
เงื่อนไขที่ใช้หักคะแนน: พลาดปานกลาง
หัก 3 คะแนน
ตัวอย่างจากเคส:
แอดมินแจ้งผลกับร้านค้าอย่างเดียวว่า “ยกเลิกเรียบร้อยแล้ว”
ตัวอย่างที่เหมาะสมกว่า:
“แอดมินดำเนินการยกเลิกออเดอร์เรียบร้อยแล้วครับ และจะดูแลให้ระบบคืนเงินคุณลูกค้าตามช่องทางที่ชำระ รวมถึงแจ้งพี่ไรเดอร์ที่เกี่ยวข้องให้ทราบเรียบร้อยครับ”</t>
  </si>
  <si>
    <t>ข้อความสั้น อ่านง่าย ไม่ซับซ้อน ร้านค้าเข้าใจผลการดำเนินการได้ทันที
เงื่อนไขที่ใช้หักคะแนน: ไม่พบข้อผิดพลาด</t>
  </si>
  <si>
    <t>ใช้ภาษาสุภาพ กระชับ ไม่มีคำผิดที่กระทบต่อความเข้าใจ
เงื่อนไขที่ใช้หักคะแนน: ไม่พบข้อผิดพลาด</t>
  </si>
  <si>
    <t>แอดมินใช้น้ำเสียงสุภาพและปิดท้ายได้ดี แต่ในเคสที่ต้องยกเลิกออเดอร์เพราะสินค้าหมด ควรเพิ่มข้อความขออภัยหรือแสดงความเข้าใจต่อผลกระทบของลูกค้าและพี่ไรเดอร์เล็กน้อย เพื่อให้การสื่อสารดูใส่ใจมากขึ้น
เงื่อนไขที่ใช้หักคะแนน: พลาดเล็กน้อย
หัก 1 คะแนน
ตัวอย่างจากเคส:
แอดมินแจ้งผลการยกเลิกและอวยพรยอดขาย แต่ยังไม่ได้กล่าวขออภัยในความไม่สะดวกที่เกิดขึ้นกับออเดอร์
ตัวอย่างที่เหมาะสมกว่า:
“ดำเนินการยกเลิกออเดอร์เรียบร้อยแล้วครับ ขออภัยในความไม่สะดวกที่เกิดขึ้นกับออเดอร์นี้ด้วยนะครับ”</t>
  </si>
  <si>
    <t>ร้านค้าขอยกเลิกออเดอร์เนื่องจากสินค้าหมด (Merchant Order Cancellation Due to Out of Stock)</t>
  </si>
  <si>
    <t>ร้านค้าแจ้งว่าสินค้าหมด และลูกค้าขอให้ยกเลิกออเดอร์ แอดมินทักทายและขอหมายเลขออเดอร์เพื่อดำเนินการตรวจสอบ หลังจากร้านค้าแจ้งออเดอร์ 260515-SF-9807 แอดมินดำเนินการยกเลิกคำสั่งซื้อให้เรียบร้อย ซึ่งจากการตรวจสอบในระบบพบว่ามีการยกเลิกออเดอร์แล้วจริง สถานะเป็น ADMIN - CANCEL</t>
  </si>
  <si>
    <t>https://drive.google.com/open?id=14Tj-ZGft58WxP2MQHiYIM5KC07QS0k2j</t>
  </si>
  <si>
    <t>AA237985</t>
  </si>
  <si>
    <t>https://app.oho.chat/business/6805c0f16232119d2a1204b5/smartchat?room=68d7be3495ccf92243e866ca</t>
  </si>
  <si>
    <t>แอดมินมีการทักทาย ระบุชื่อแอดมิน และปิดการสนทนาได้สุภาพครบถ้วน ข้อความปิดท้ายมีการเปิดโอกาสให้ร้านค้าติดต่อกลับได้อีก ถือว่าครบตามมาตรฐาน
เงื่อนไขที่ใช้หักคะแนน: ไม่พบข้อผิดพลาด</t>
  </si>
  <si>
    <t>ไม่พบการเปิดเผยข้อมูลส่วนบุคคลเกินจำเป็น แอดมินขอข้อมูลที่เกี่ยวข้องกับการตรวจสอบ ได้แก่ หมายเลขออเดอร์ เบอร์โทรศัพท์ที่ลงทะเบียน และ Shop ID ถือว่าอยู่ในขอบเขตการตรวจสอบเคส
เงื่อนไขที่ใช้หักคะแนน: ไม่พบข้อผิดพลาด</t>
  </si>
  <si>
    <t>แอดมินเริ่มจากการขอข้อมูลเพื่อตรวจสอบ ซึ่งเป็นแนวทางที่เหมาะสม และมีการเปิดเคสร้องเรียนไรเดอร์ไว้แล้ว แต่ขั้นตอนยังไม่ครบ เพราะเมื่อแจ้งร้านค้าว่าจะนำเรื่องไปตรวจสอบและตักเตือนพี่ไรเดอร์ ควรมีการตรวจสอบหรือติดต่อไรเดอร์ต่อจริง หรืออย่างน้อยควรบันทึกรายละเอียดให้ครบ เช่น RR ไรเดอร์ เหตุการณ์ พฤติกรรมที่ถูกร้องเรียน และหลักฐานจากร้านค้า เพื่อให้ทีมที่เกี่ยวข้องตรวจสอบต่อได้ชัดเจน
เงื่อนไขที่ใช้หักคะแนน: พลาดปานกลาง
หัก 4 คะแนน
ตัวอย่างจากเคส:
มีการเปิดเคส #3519 แต่ในเนื้อหาไม่พบการระบุ RR ไรเดอร์ และไม่พบการโทรออกหาไรเดอร์เพื่อตักเตือนตามที่แจ้งร้านค้า
ตัวอย่างที่เหมาะสมกว่า:
“แอดมินขอรับเรื่องตรวจสอบพฤติกรรมพี่ไรเดอร์ให้นะครับ โดยจะบันทึกรายละเอียดออเดอร์ เหตุการณ์ และหลักฐานที่ร้านค้าส่งมา เพื่อส่งให้ทีมที่เกี่ยวข้องตรวจสอบและพิจารณาดำเนินการตามขั้นตอนครับ”</t>
  </si>
  <si>
    <t>แอดมินให้ข้อมูลถูกต้องในส่วนที่แจ้งว่า ร้านค้าต้องกดรับออเดอร์ก่อน จากนั้นไรเดอร์จึงจะสามารถเดินทางไปรับสินค้าได้ และการรับเรื่องร้องเรียนพฤติกรรมไรเดอร์ก็เป็นแนวทางที่ถูกต้อง แต่การแจ้งว่าจะ “ตักเตือนพี่ไรเดอร์” ยังเร็วเกินไป เพราะยังไม่พบว่ามีการสอบถามไรเดอร์หรือเก็บข้อมูลไรเดอร์ครบก่อน จึงควรใช้คำว่า “ส่งเรื่องตรวจสอบ/พิจารณาตามขั้นตอน” มากกว่า
เงื่อนไขที่ใช้หักคะแนน: พลาดเล็กน้อย
หัก 2 คะแนน
ตัวอย่างจากเคส:
“แอดมินจะนำเรื่องดังกล่าวไปตรวจสอบและตักเตือนพี่ไรเดอร์”
ตัวอย่างที่เหมาะสมกว่า:
“แอดมินจะรับเรื่องเพื่อตรวจสอบพฤติกรรมพี่ไรเดอร์ตามข้อมูลและหลักฐานที่ร้านค้าแจ้งเข้ามา หากตรวจสอบพบว่าไม่เป็นไปตามมาตรฐานบริการ จะดำเนินการตามขั้นตอนที่เกี่ยวข้องครับ”</t>
  </si>
  <si>
    <t>แอดมินตอบได้บางส่วน แต่ยังไม่ครบทุกประเด็นที่ร้านค้าถาม ร้านค้าถามทั้งเรื่องการอัดเสียง การกระทำของไรเดอร์ถูกต้องตามมารยาทหรือไม่ และขั้นตอนการกดรับออเดอร์ แอดมินตอบเฉพาะเรื่องการกดรับออเดอร์และรับเรื่องตักเตือนไรเดอร์ แต่ไม่ได้อธิบายเรื่องการอัดเสียงหรือแนวทางพฤติกรรมที่เหมาะสมของทั้งไรเดอร์และร้านค้า รวมถึงไม่ได้แจ้งร้านค้าอย่างนุ่มนวลว่าร้านค้าควรรักษาถ้อยคำสุภาพเช่นกัน
เงื่อนไขที่ใช้หักคะแนน: พลาดปานกลาง
หัก 4 คะแนน
ตัวอย่างจากเคส:
ร้านค้าถามว่า “อัดเสียงไว้ด้วย ซึ่งถือว่าเป็นการทำผิดกฎหมายหรือไม่” แต่แอดมินไม่ได้ตอบประเด็นนี้
ตัวอย่างที่เหมาะสมกว่า:
“ในส่วนการอัดเสียง แอดมินขอรับเรื่องและตรวจสอบตามหลักเกณฑ์ของบริษัทก่อนนะครับ ส่วนพฤติกรรมการสื่อสาร ทั้งพี่ไรเดอร์และร้านค้าควรใช้ถ้อยคำสุภาพต่อกัน แอดมินจะบันทึกข้อมูลเหตุการณ์นี้ให้ทีมที่เกี่ยวข้องตรวจสอบต่อครับ”</t>
  </si>
  <si>
    <t>แอดมินมีการขอข้อมูลและแจ้งผลเบื้องต้น แต่ขั้นตอนการรับเรื่องร้องเรียนยังไม่ชัดว่าแอดมินจะตรวจสอบอะไรต่อ ใครเป็นผู้พิจารณา และร้านค้าจะได้รับการติดตามหรือไม่ อีกทั้งข้อความ “จะนำเรื่องไปตักเตือน” ทำให้ดูเหมือนตัดสินผลไปแล้ว ทั้งที่ข้อมูลยังไม่ครบ
เงื่อนไขที่ใช้หักคะแนน: พลาดปานกลาง
หัก 2 คะแนน
ตัวอย่างจากเคส:
แอดมินแจ้งว่าจะตักเตือนไรเดอร์ แต่ไม่มีการแจ้งขั้นตอนว่าบันทึกเรื่อง ส่งตรวจสอบ หรือรอผลพิจารณา
ตัวอย่างที่เหมาะสมกว่า:
“แอดมินจะบันทึกเรื่องร้องเรียนพร้อมรายละเอียดออเดอร์และหลักฐานที่ร้านค้าส่งมา เพื่อให้ทีมที่เกี่ยวข้องตรวจสอบพฤติกรรมพี่ไรเดอร์ตามขั้นตอนนะครับ”</t>
  </si>
  <si>
    <t>แอดมินจับประเด็นได้ว่าเป็นเคสร้องเรียนพฤติกรรมไรเดอร์และสอบถามขั้นตอนการกดรับออเดอร์ แต่การแก้ปัญหายังไม่ครบ เพราะควรแยกประเด็นให้ชัดเจนว่า 1) ระบบการกดรับออเดอร์เป็นอย่างไร 2) พฤติกรรมไรเดอร์ต้องตรวจสอบตามหลักฐาน 3) ร้านค้าเองก็ยอมรับว่ามีการใช้คำไม่สุภาพ จึงควรแนะนำให้ทั้งสองฝ่ายสื่อสารอย่างสุภาพตามมาตรฐาน ไม่ใช่เน้นเพียงตักเตือนไรเดอร์ฝ่ายเดียว
เงื่อนไขที่ใช้หักคะแนน: พลาดปานกลาง
หัก 5 คะแนน
ตัวอย่างจากเคส:
ร้านค้าระบุเองว่า “ทางเราก็เลยสบถ เ_ี้ย ออกไป” แต่แอดมินไม่ได้ชี้แจงแนวทางการสื่อสารที่เหมาะสมกับร้านค้า
ตัวอย่างที่เหมาะสมกว่า:
“แอดมินเข้าใจเหตุการณ์ที่เกิดขึ้นนะครับ อย่างไรก็ตาม ขอความร่วมมือร้านค้าและพี่ไรเดอร์ใช้ถ้อยคำสุภาพต่อกันทุกครั้ง แอดมินจะรับเรื่องพฤติกรรมที่เกิดขึ้นไปตรวจสอบต่อ และหากพบว่าไม่เป็นไปตามมาตรฐานบริการ จะดำเนินการตามขั้นตอนครับ”</t>
  </si>
  <si>
    <t>แอดมินมีความตั้งใจรับเรื่อง แต่ขั้นตอนต่อยังไม่ครบ เพราะแจ้งว่าจะตรวจสอบและตักเตือนพี่ไรเดอร์ แต่ยังไม่พบการติดต่อไรเดอร์หรือบันทึกข้อมูลสำคัญ เช่น RR ทำให้การติดตามต่ออาจไม่สมบูรณ์ ควรแจ้งร้านค้าว่าจะบันทึกเรื่องและส่งตรวจสอบต่อ
เงื่อนไขที่ใช้หักคะแนน: พลาดปานกลาง
หัก 4 คะแนน
ตัวอย่างจากเคส:
เปิดเคสร้องเรียนไรเดอร์แล้ว แต่รายละเอียดไม่ครบและไม่พบการดำเนินการติดต่อไรเดอร์
ตัวอย่างที่เหมาะสมกว่า:
“แอดมินจะบันทึกเรื่องร้องเรียนนี้พร้อม Order ID และหลักฐานที่ร้านค้าส่งมา หากทีมตรวจสอบต้องการข้อมูลเพิ่มเติมจะมีการติดต่อกลับนะครับ”</t>
  </si>
  <si>
    <t>ข้อความของแอดมินอ่านง่าย ไม่ยาวเกินไป มีการแยกช่วงขอข้อมูลและช่วงตอบคำถามชัดเจนพอสมควร
เงื่อนไขที่ใช้หักคะแนน: ไม่พบข้อผิดพลาด</t>
  </si>
  <si>
    <t>ภาษาสุภาพ กระชับ ไม่มีคำผิดที่กระทบต่อความเข้าใจหรือความเป็นมืออาชีพ
เงื่อนไขที่ใช้หักคะแนน: ไม่พบข้อผิดพลาด</t>
  </si>
  <si>
    <t>แอดมินใช้น้ำเสียงสุภาพและแสดงความเข้าใจต่อร้านค้าได้ดี แต่เคสนี้เป็นเหตุการณ์ที่มีการโต้เถียงกันระหว่างร้านค้ากับพี่ไรเดอร์ จึงควรใช้โทนที่เป็นกลางมากกว่านี้ ไม่ควรสื่อเหมือนเป็นความผิดของพี่ไรเดอร์ฝ่ายเดียว เพราะร้านค้าเองก็แจ้งว่ามีการใช้คำไม่สุภาพเช่นกัน ควรปลอบใจร้านค้า พร้อมย้ำเรื่องการสื่อสารที่เหมาะสมของทั้งสองฝ่าย
เงื่อนไขที่ใช้หักคะแนน: พลาดเล็กน้อย
หัก 2 คะแนน
ตัวอย่างจากเคส:
แอดมินขออภัยและแจ้งว่าจะตักเตือนไรเดอร์ แต่ไม่ได้กล่าวถึงการสื่อสารที่เหมาะสมของทั้งสองฝ่าย
ตัวอย่างที่เหมาะสมกว่า:
“แอดมินต้องขออภัยกับเหตุการณ์ที่เกิดขึ้นนะครับ ทั้งนี้ขอความร่วมมือให้ทั้งร้านค้าและพี่ไรเดอร์สื่อสารกันด้วยถ้อยคำสุภาพ แอดมินจะรับเรื่องไปตรวจสอบตามขั้นตอนครับ”</t>
  </si>
  <si>
    <t>ร้านค้าร้องเรียนพฤติกรรมไรเดอร์ / สอบถามขั้นตอนการกดรับออเดอร์ (Merchant Complaint About Rider Behavior / Order Acceptance Inquiry)</t>
  </si>
  <si>
    <t>ร้านค้าติดต่อเข้ามาสอบถามช่องทาง Call Center และเล่าว่ามีปากเสียงกับไรเดอร์ เนื่องจากไรเดอร์โทรติดต่อหลายครั้งให้ร้านค้ากดรับออเดอร์ พร้อมมีการพูดต่อว่าร้านค้าหน้าร้าน ขณะที่ร้านค้ายอมรับว่ามีการใช้คำไม่สุภาพออกไปด้วย แอดมินขอข้อมูลออเดอร์ เบอร์โทรศัพท์ และ Shop ID เพื่อใช้ตรวจสอบ และมีการขออภัยร้านค้า พร้อมแจ้งว่าจะนำเรื่องไปตรวจสอบและตักเตือนไรเดอร์ จากนั้นมีการตอบคำถามเรื่องระบบว่า ร้านค้าต้องกดรับออเดอร์ก่อน ไรเดอร์จึงจะสามารถเดินทางไปรับสินค้าได้</t>
  </si>
  <si>
    <t>https://drive.google.com/open?id=16Su3BnnW6iR16QxAY6gi8ecZkdOeSiZy</t>
  </si>
  <si>
    <t>AA239145</t>
  </si>
  <si>
    <t>https://app.oho.chat/business/6805c0f16232119d2a1204b5/smartchat?room=69636fcd1f0156319d7c7d3e</t>
  </si>
  <si>
    <t>แอดมินทักทาย ระบุชื่อแอดมิน และปิดการสนทนาได้ครบถ้วน สุภาพ เหมาะสมตามมาตรฐาน
เงื่อนไขที่ใช้หักคะแนน: ไม่พบข้อผิดพลาด</t>
  </si>
  <si>
    <t>ไม่พบการเปิดเผยข้อมูลส่วนบุคคลเกินจำเป็น แอดมินใช้ข้อมูล Order ID เพื่อการตรวจสอบออเดอร์เท่านั้น
เงื่อนไขที่ใช้หักคะแนน: ไม่พบข้อผิดพลาด</t>
  </si>
  <si>
    <t>แอดมินดำเนินการตาม Flow ได้ค่อนข้างครบ มีการรับเรื่อง ตรวจสอบออเดอร์ และโทรติดตามไรเดอร์เพื่อเช็กสถานะการจัดส่ง ถือว่าทำตรงกับปัญหาที่ลูกค้าแจ้งว่าอาหารช้าและติดต่อคนขับไม่ได้ แต่ยังควรถามสาเหตุการล่าช้ากับไรเดอร์ให้เป็นกลางและชัดเจนกว่านี้ เพื่อให้ข้อมูลที่นำกลับมาแจ้งลูกค้าแม่นยำขึ้น
เงื่อนไขที่ใช้หักคะแนน: พลาดเล็กน้อย
หัก 1 คะแนน
ตัวอย่างจากเคส:
แอดมินมีการโทรสอบถามไรเดอร์ แต่คำถามมีลักษณะชี้นำว่า “รออาหารจากร้านนานใช่ไหม”
ตัวอย่างที่เหมาะสมกว่า:
“ขอสอบถามสาเหตุที่ออเดอร์จัดส่งล่าช้าครับ ตอนนี้พี่ไรเดอร์อยู่จุดใด และคาดว่าจะถึงลูกค้าประมาณกี่นาทีครับ”</t>
  </si>
  <si>
    <t>แอดมินตรวจสอบและแจ้งสถานะปัจจุบันให้ลูกค้าทราบได้ถูกต้องว่าไรเดอร์อยู่บริเวณหน้าหมู่บ้านแล้ว แต่ข้อมูลยังไม่ครบ เพราะไม่ได้แจ้งเวลาประมาณการถึงลูกค้า และไม่ได้อธิบายสาเหตุที่ล่าช้าให้ชัดเจน ทั้งที่มีการโทรสอบถามไรเดอร์แล้ว
เงื่อนไขที่ใช้หักคะแนน: พลาดเล็กน้อย
หัก 2 คะแนน
ตัวอย่างจากเคส:
“ไรเดอร์ได้รับอาหารล่าช้าครับ และตอนนี้ไรเดอร์แจ้งว่าอยู่บริเวณหน้าหมู่บ้านแล้วครับ”
ตัวอย่างที่เหมาะสมกว่า:
“จากการตรวจสอบและติดต่อพี่ไรเดอร์แล้ว ขณะนี้พี่ไรเดอร์อยู่บริเวณหน้าหมู่บ้านของคุณลูกค้า คาดว่าจะนำส่งถึงในไม่ช้านี้ครับ ขออภัยที่ออเดอร์ล่าช้าและทำให้คุณลูกค้าติดต่อไรเดอร์ไม่ได้ครับ”</t>
  </si>
  <si>
    <t>แอดมินแจ้งสถานะไรเดอร์ปัจจุบันให้ลูกค้าทราบได้แล้ว แต่ข้อมูลยังไม่ครบ เพราะลูกค้าแจ้งชัดว่าออเดอร์ช้ามากและติดต่อคนขับไม่ได้ จึงควรแจ้งเพิ่มเติมว่าสาเหตุที่ล่าช้าเกิดจากอะไร คาดว่าจะถึงลูกค้าประมาณกี่นาที และหากยังไม่ได้รับอาหารหลังจากนี้ควรดำเนินการอย่างไรต่อ
เงื่อนไขที่ใช้หักคะแนน: พลาดเล็กน้อย
หัก 2 คะแนน
ตัวอย่างจากเคส:
แจ้งเพียงว่าไรเดอร์อยู่หน้าหมู่บ้านแล้ว แต่ไม่ได้แจ้งว่าควรรออีกประมาณกี่นาที หรือหากยังไม่ได้รับให้ทำอย่างไรต่อ
ตัวอย่างที่เหมาะสมกว่า:
“ขณะนี้พี่ไรเดอร์อยู่บริเวณหน้าหมู่บ้านแล้ว หากภายในประมาณ 5-10 นาทีคุณลูกค้ายังไม่ได้รับอาหาร สามารถแจ้งกลับเข้ามาได้ทันที แอดมินจะช่วยติดตามให้อีกครั้งครับ”</t>
  </si>
  <si>
    <t>แอดมินแจ้งว่าดำเนินการตรวจสอบออเดอร์ และแจ้งผลให้ลูกค้าทราบได้เข้าใจง่าย แต่ขั้นตอนยังไม่ชัดพอในส่วน “ติดต่อไรเดอร์แล้วได้ข้อมูลอะไร” และ “ลูกค้าควรทำอย่างไรต่อหากยังไม่ได้รับอาหาร”
เงื่อนไขที่ใช้หักคะแนน: พลาดเล็กน้อย
หัก 1 คะแนน
ตัวอย่างจากเคส:
แอดมินแจ้งผลตรวจสอบ แต่ไม่ได้ระบุ Next step หลังจากแจ้งว่าไรเดอร์ถึงหน้าหมู่บ้านแล้ว
ตัวอย่างที่เหมาะสมกว่า:
“แอดมินติดต่อพี่ไรเดอร์แล้ว ขณะนี้อยู่หน้าหมู่บ้านคุณลูกค้า หากยังไม่ได้รับอาหารภายในไม่กี่นาที แจ้งกลับมาได้เลยนะครับ แอดมินจะติดตามให้ทันทีครับ”</t>
  </si>
  <si>
    <t>แอดมินวิเคราะห์ปัญหาได้ตรงจุด เพราะลูกค้าแจ้งว่าออเดอร์ช้าและติดต่อไรเดอร์ไม่ได้ แอดมินจึงตรวจสอบและโทรติดตามไรเดอร์ ซึ่งเป็นการแก้ปัญหาที่เหมาะสม แต่ยังควรถามไรเดอร์ด้วยคำถามเปิด เพื่อหาสาเหตุจริงของความล่าช้า และควรแจ้งลูกค้าให้ครบทั้งสถานะ สาเหตุ และเวลาประมาณการถึง
เงื่อนไขที่ใช้หักคะแนน: พลาดเล็กน้อย
หัก 2 คะแนน
ตัวอย่างจากเคส:
มีการโทรติดตามไรเดอร์จริง แต่การถามว่า “รออาหารจากร้านนานใช่ไหม” อาจทำให้ข้อมูลที่ได้ไม่เป็นกลาง
ตัวอย่างที่เหมาะสมกว่า:
“ตอนนี้ออเดอร์ล่าช้าเพราะสาเหตุใดครับ พี่ไรเดอร์รับอาหารแล้วหรือยัง อยู่จุดไหน และจะถึงลูกค้าประมาณกี่นาทีครับ”</t>
  </si>
  <si>
    <t>แอดมินดูแลเคสได้ค่อนข้างดี เพราะไม่ได้ตอบจากข้อมูลในระบบอย่างเดียว แต่มีการโทรติดตามไรเดอร์จริง อย่างไรก็ตาม การแจ้งขั้นตอนต่อไปให้ลูกค้ายังสั้นไป ควรบอกให้ชัดว่าหากยังไม่ได้รับอาหารภายในเวลาที่แจ้ง สามารถติดต่อกลับมาเพื่อให้แอดมินช่วยติดตามต่อได้
เงื่อนไขที่ใช้หักคะแนน: พลาดเล็กน้อย
หัก 2 คะแนน
ตัวอย่างจากเคส:
แจ้งว่าไรเดอร์อยู่หน้าหมู่บ้านแล้ว แต่ไม่ได้บอกทางเลือกถ้าลูกค้ายังไม่ได้รับอาหาร
ตัวอย่างที่เหมาะสมกว่า:
“หากคุณลูกค้ายังไม่ได้รับอาหารภายในประมาณ 5-10 นาที สามารถแจ้งกลับเข้ามาได้เลยครับ แอดมินจะช่วยติดตามไรเดอร์ให้อีกครั้งทันทีครับ”</t>
  </si>
  <si>
    <t>ข้อความอ่านง่าย ไม่ยาวเกินไป ลำดับการสื่อสารเข้าใจได้ชัดเจน
เงื่อนไขที่ใช้หักคะแนน: ไม่พบข้อผิดพลาด</t>
  </si>
  <si>
    <t>โดยรวมภาษาสุภาพและเข้าใจง่าย แต่มีจุดที่ควรปรับเล็กน้อย เช่น “ไรเดอร์ได้รับอาหารล่าช้า” ฟังไม่ค่อยชัด ควรใช้ว่า “ไรเดอร์รับอาหารล่าช้า” หรือ “การรับอาหารจากร้านล่าช้า” จะเป็นธรรมชาติกว่า
เงื่อนไขที่ใช้หักคะแนน: พลาดเล็กน้อย
หัก 1 คะแนน
ตัวอย่างจากเคส:
“ไรเดอร์ได้รับอาหารล่าช้าครับ”
ตัวอย่างที่เหมาะสมกว่า:
“พี่ไรเดอร์รับอาหารจากร้านล่าช้าครับ”
หรือ
“ออเดอร์นี้มีความล่าช้าระหว่างขั้นตอนรับอาหารจากร้านครับ”</t>
  </si>
  <si>
    <t>น้ำเสียงสุภาพ มีการขออภัย แต่กรณีนี้ลูกค้าแจ้งว่าอาหารช้ามากและติดต่อไรเดอร์ไม่ได้ ควรมี Empathy ชัดขึ้นอีกนิด เพื่อให้ลูกค้ารู้สึกว่าแอดมินเข้าใจความกังวล ไม่ใช่แค่แจ้งสถานะแล้วปิดเคส
เงื่อนไขที่ใช้หักคะแนน: พลาดเล็กน้อย
หัก 2 คะแนน
ตัวอย่างจากเคส:
มีการขออภัย แต่ยังไม่ได้สื่อความเข้าใจต่อความกังวลของลูกค้ามากนัก
ตัวอย่างที่เหมาะสมกว่า:
“แอดมินต้องขออภัยที่คุณลูกค้ารอนานและติดต่อพี่ไรเดอร์ไม่ได้ด้วยนะครับ แอดมินตรวจสอบและติดต่อพี่ไรเดอร์ให้แล้ว ขณะนี้อยู่บริเวณหน้าหมู่บ้านของคุณลูกค้าครับ”</t>
  </si>
  <si>
    <t>ลูกค้าติดตามคำสั่งซื้ออาหารล่าช้า / ติดต่อไรเดอร์ไม่ได้ (Delayed Food Delivery / Unable to Contact Rider)</t>
  </si>
  <si>
    <t>คุณลูกค้าแจ้งว่าออเดอร์ 260517-SH-6317 จัดส่งล่าช้าและติดต่อไรเดอร์ไม่ได้ แอดมินรับเรื่อง ตรวจสอบออเดอร์ และจากการตรวจสอบเพิ่มเติมพบว่าแอดมินมีการโทรออกสอบถามไรเดอร์เพื่อติดตามการจัดส่ง โดยไรเดอร์แจ้งว่าถึงหน้าหมู่บ้านแล้ว จากนั้นแอดมินแจ้งลูกค้าว่าไรเดอร์อยู่บริเวณหน้าหมู่บ้านแล้ว พร้อมขออภัยและปิดการสนทนา</t>
  </si>
  <si>
    <t>https://drive.google.com/open?id=1WOXn-EG_IhPs28izzyCg6V-yJcIhiAGh</t>
  </si>
  <si>
    <t>AA238575</t>
  </si>
  <si>
    <t>https://app.oho.chat/business/6805c0f16232119d2a1204b5/smartchat?room=6a02cdcff779d3c12443bd13</t>
  </si>
  <si>
    <t>แอดมินทักทาย ระบุชื่อแอดมิน และปิดการสนทนาได้ครบถ้วน สุภาพ เหมาะสมกับผู้ติดต่อที่เป็นไรเดอร์
เงื่อนไขที่ใช้หักคะแนน: ไม่พบข้อผิดพลาด</t>
  </si>
  <si>
    <t>แอดมินขอข้อมูลที่จำเป็นต่อการตรวจสอบ ได้แก่ ชื่อ, RR และเบอร์โทรศัพท์ ไม่พบการเปิดเผยข้อมูลส่วนบุคคลเกินจำเป็น
เงื่อนไขที่ใช้หักคะแนน: ไม่พบข้อผิดพลาด</t>
  </si>
  <si>
    <t>แอดมินดำเนินการตามขั้นตอนหลักได้ คือขอข้อมูล ตรวจสอบ และส่งเรื่องติดตามไปยังทีมที่เกี่ยวข้องตาม Process แต่หลังจากทีมตอบกลับข้อมูล Tracking แล้ว แอดมินไม่ได้แจ้งกลับพี่ไรเดอร์ตามที่รับเรื่องไว้ ทำให้กระบวนการติดตามผลยังไม่ครบ
เงื่อนไขที่ใช้หักคะแนน: พลาดเล็กน้อย
หัก 2 คะแนน
ตัวอย่างจากเคส:
แอดมินแจ้งว่า “หากมีความคืบหน้า ขออนุญาตติดต่อกลับอีกครั้งครับ” แต่เมื่อมีข้อมูลจัดส่งแล้ว ไม่พบการแจ้งกลับพี่ไรเดอร์
ตัวอย่างที่เหมาะสมกว่า:
“แอดมินตรวจสอบเพิ่มเติมแล้ว เสื้อของพี่ไรเดอร์จัดส่งแล้วผ่าน Flash Express หมายเลข Tracking: TH03048QK35W1H1 พี่ไรเดอร์สามารถใช้หมายเลขนี้ติดตามสถานะพัสดุได้เลยครับ”</t>
  </si>
  <si>
    <t>ช่วงแรกที่แอดมินแจ้งว่าอยู่ระหว่างดำเนินการ ยังถือว่าไม่ผิด เพราะตอนนั้นยังรอข้อมูลจากทีมที่เกี่ยวข้อง แต่หลังจากทีมแจ้งกลับมาแล้วว่าจัดส่งแล้ว พร้อมเลข Tracking แอดมินควรอัปเดตข้อมูลล่าสุดให้พี่ไรเดอร์ทราบ ดังนั้นคำตอบสุดท้ายจึงยังไม่ตรงกับข้อมูลจริงที่มีในระบบ
เงื่อนไขที่ใช้หักคะแนน: พลาดเล็กน้อย
หัก 2 คะแนน
ตัวอย่างจากเคส:
“อยู่ระหว่างดำเนินการนะครับ”
ตัวอย่างที่เหมาะสมกว่า:
“จากการติดตามกับทีมที่เกี่ยวข้อง พบว่ามีการจัดส่งเสื้อแล้ว ผ่าน Flash Express เลข Tracking: TH03048QK35W1H1 ครับ”</t>
  </si>
  <si>
    <t>แอดมินตอบประเด็นเบื้องต้นได้ แต่คำถามของพี่ไรเดอร์คืออยากรู้ว่าจะได้เสื้อประมาณวันไหน แอดมินควรแจ้งสถานะล่าสุดหรือเลข Tracking เมื่อได้รับข้อมูลแล้ว เพื่อให้ไรเดอร์นำไปติดตามต่อได้เอง การไม่แจ้ง Tracking ทำให้คำตอบยังไม่ครบตามสิ่งที่รับเรื่องไว้
เงื่อนไขที่ใช้หักคะแนน: พลาดปานกลาง
หัก 3 คะแนน
ตัวอย่างจากเคส:
มีการรับเรื่องติดตาม แต่ไม่พบการแจ้งผลกลับหลังทีมตอบข้อมูลมาแล้ว
ตัวอย่างที่เหมาะสมกว่า:
“ทีมที่เกี่ยวข้องแจ้งว่าเสื้อจัดส่งแล้วนะครับ เลขพัสดุ Flash Express คือ TH03048QK35W1H1 พี่ไรเดอร์สามารถใช้เลขนี้ติดตามสถานะการจัดส่งได้ครับ”</t>
  </si>
  <si>
    <t>แอดมินแจ้งว่าจะรับเรื่องติดตามให้ ทำให้พี่ไรเดอร์เข้าใจว่ามีการดำเนินการต่อ แต่ยังขาดการแจ้งผลลัพธ์หลังติดตามสำเร็จ เช่น ขนส่งที่ใช้และเลข Tracking
เงื่อนไขที่ใช้หักคะแนน: พลาดเล็กน้อย
หัก 1 คะแนน
ตัวอย่างจากเคส:
แจ้งเพียงว่าจะติดต่อกลับหากมีความคืบหน้า แต่ไม่แจ้งความคืบหน้าจริงที่ได้รับมา
ตัวอย่างที่เหมาะสมกว่า:
“แอดมินส่งเรื่องตรวจสอบกับทีมที่เกี่ยวข้องแล้ว และได้รับข้อมูลว่าพัสดุจัดส่งผ่าน Flash Express เลข Tracking: TH03048QK35W1H1 ครับ”</t>
  </si>
  <si>
    <t>แอดมินเข้าใจประเด็นและส่งเรื่องไปยังทีมที่ถูกต้องตาม Process ถือว่าแก้ปัญหาได้ตรงทาง แต่ยังไม่ปิดงานให้ครบ เพราะไม่ได้นำข้อมูลที่ทีมตอบกลับมาแจ้งพี่ไรเดอร์ ทำให้ไรเดอร์ยังไม่ได้คำตอบที่ใช้ติดตามพัสดุได้จริง
เงื่อนไขที่ใช้หักคะแนน: พลาดเล็กน้อย
หัก 2 คะแนน
ตัวอย่างจากเคส:
มีการส่งเคสไปยังทีม Unicorn New Robinhood และทีมตอบกลับแล้ว แต่ไม่ได้แจ้งผลกลับไรเดอร์
ตัวอย่างที่เหมาะสมกว่า:
“แอดมินติดตามกับทีมที่เกี่ยวข้องเรียบร้อยแล้ว ขณะนี้เสื้อถูกจัดส่งแล้วนะครับ เลข Tracking คือ TH03048QK35W1H1 ครับ”</t>
  </si>
  <si>
    <t>แอดมินดูแลเคสได้ดีในช่วงแรก เพราะมีการรับเรื่องและส่งเคสติดตามให้ แต่จุดที่เสียคะแนนหลักคือ เมื่อได้รับข้อมูลกลับมาแล้ว แอดมินไม่ได้แจ้งผลให้พี่ไรเดอร์ทราบตามที่แจ้งไว้ ทำให้การดูแลเคสยังไม่สมบูรณ์ และพี่ไรเดอร์ไม่ได้รับข้อมูลสำคัญสำหรับติดตามพัสดุ
เงื่อนไขที่ใช้หักคะแนน: พลาดปานกลาง
หัก 4 คะแนน
ตัวอย่างจากเคส:
แอดมินแจ้งว่า “หากมีความคืบหน้า ขออนุญาตติดต่อกลับอีกครั้งครับ” แต่ไม่พบการติดต่อกลับหลังมีเลข Tracking
ตัวอย่างที่เหมาะสมกว่า:
“อัปเดตความคืบหน้าครับ พัสดุเสื้อของพี่ไรเดอร์จัดส่งแล้วผ่าน Flash Express เลข Tracking: TH03048QK35W1H1 หากติดตามแล้วพบปัญหาเพิ่มเติม สามารถแจ้งกลับมาได้เลยครับ</t>
  </si>
  <si>
    <t>ข้อความเรียงลำดับเข้าใจง่าย ไม่ยาวเกินไป และแบ่งช่วงการขอข้อมูล ตรวจสอบ แจ้งผล และปิดเคสได้ชัดเจน
เงื่อนไขที่ใช้หักคะแนน: ไม่พบข้อผิดพลาด</t>
  </si>
  <si>
    <t>ภาษาสุภาพ กระชับ และไม่มีคำสะกดผิดที่กระทบความเข้าใจ
เงื่อนไขที่ใช้หักคะแนน: ไม่พบข้อผิดพลาด</t>
  </si>
  <si>
    <t>น้ำเสียงสุภาพ เหมาะสมกับพี่ไรเดอร์ และมีคำอวยพรช่วงปิดเคส แต่เนื่องจากเป็นเคสติดตามสถานะพัสดุ ควรเน้นความมั่นใจเรื่องการติดตามต่ออีกนิด โดยเฉพาะเมื่อรับปากว่าจะติดต่อกลับ
เงื่อนไขที่ใช้หักคะแนน: พลาดเล็กน้อย
หัก 1 คะแนน
ตัวอย่างจากเคส:
น้ำเสียงดี แต่การปิดเคสก่อนแจ้งผล Tracking ทำให้ความรู้สึกเรื่องการดูแลต่อยังไม่เต็ม
ตัวอย่างที่เหมาะสมกว่า:
“แอดมินจะติดตามสถานะให้ และหากได้รับข้อมูลจากทีมที่เกี่ยวข้องแล้วจะแจ้งเลขพัสดุให้พี่ไรเดอร์ทราบอีกครั้งนะครับ”</t>
  </si>
  <si>
    <t>ไรเดอร์ติดตามสถานะการจัดส่งเสื้อ / อุปกรณ์ (Rider Uniform / Equipment Delivery Status Follow-up)</t>
  </si>
  <si>
    <t>พี่ไรเดอร์สอบถามว่า “เสื้อได้ประมาณวันไหน” แอดมินขอข้อมูลชื่อ, RR และเบอร์โทรศัพท์ จากนั้นตรวจสอบและแจ้งว่ามีการสั่งซื้อแล้ว อยู่ระหว่างดำเนินการ พร้อมรับเรื่องติดตามเพิ่มเติมและแจ้งว่าจะติดต่อกลับหากมีความคืบหน้า</t>
  </si>
  <si>
    <t>https://drive.google.com/file/d/14CnfTsC2pD-ngg10UVOi9MBA8S7xGbPb/view?usp=drive_link</t>
  </si>
  <si>
    <t>AA238046</t>
  </si>
  <si>
    <t>https://app.oho.chat/business/6805c0f16232119d2a1204b5/smartchat?room=68c2cde7b0af04351f71ba33</t>
  </si>
  <si>
    <t>แอดมินทักทายครบ ระบุชื่อแอดมิน และมีการปิดการสนทนาอย่างสุภาพ เหมาะสมกับผู้ติดต่อที่เป็นลูกค้า
เงื่อนไขที่ใช้หักคะแนน: ไม่พบข้อผิดพลาด</t>
  </si>
  <si>
    <t>ไม่พบการเปิดเผยข้อมูลส่วนบุคคลเกินจำเป็น ข้อมูลที่ใช้ตรวจสอบเป็นข้อมูลเกี่ยวกับออเดอร์ของลูกค้าโดยตรง
เงื่อนไขที่ใช้หักคะแนน: ไม่พบข้อผิดพลาด</t>
  </si>
  <si>
    <t>แอดมินตรวจสอบสถานะออเดอร์ แจ้งว่าร้านค้าไม่รับสาย ปิดร้านค้า ดำเนินการยกเลิกงานฝั่งไรเดอร์หลังเกิน 10 นาทีจากเวลาที่ไรเดอร์รับงาน และแจ้งเวลาที่ระบบจะยกเลิกอัตโนมัติให้ลูกค้าทราบ รวมถึงมีการบันทึกใน Case Sheet แล้ว ถือว่าทำตาม Flow หลักได้ดี
จุดที่ยังไม่ครบคือพบการโทรหาร้านค้า 2 ครั้ง แต่ Process ระบุให้โทรติดต่อร้านค้า 3 ครั้งภายใน 15 นาที เพื่อยืนยันว่าร้านปิด/ติดต่อไม่ได้ให้ครบถ้วน
เงื่อนไขที่ใช้หักคะแนน: พลาดเล็กน้อย
หัก 2 คะแนน
ตัวอย่างจากเคส:
มีการโทรหาร้านค้า 2 ครั้ง แต่ Process ระบุให้โทร 3 ครั้ง
ตัวอย่างที่เหมาะสมกว่า:
“แอดมินได้พยายามติดต่อร้านค้า 3 ครั้งแล้วแต่ไม่สามารถติดต่อได้ จึงดำเนินการปิดร้านในระบบ และยกเลิกงานฝั่งไรเดอร์เพื่อให้ไรเดอร์รับงานอื่นต่อได้ ส่วนออเดอร์ของคุณลูกค้าจะถูกยกเลิกอัตโนมัติในเวลาประมาณ 14:29 น. และระบบจะคืนเงินตามช่องทางที่ชำระเข้ามาค่ะ/ครับ”</t>
  </si>
  <si>
    <t>ข้อมูลหลักที่แอดมินแจ้งถูกต้อง คือสถานะร้านค้ายังไม่กดรับออเดอร์ ร้านค้าไม่รับสาย แอดมินไม่สามารถยกเลิกฝั่งลูกค้าเองได้ในสถานะนี้ ต้องรอระบบยกเลิกอัตโนมัติเมื่อครบเวลา และแจ้งระยะเวลาคืนเงิน SCB EASY ภายใน 1 วันทำการได้ถูกต้อง
หักเล็กน้อยเพราะช่วงแรกแอดมินแจ้งว่า “ดำเนินการยกเลิกออเดอร์ในส่วนของไรเดอร์และปิดร้านเรียบร้อย” แล้วตามด้วย “หากลูกค้ายกเลิกออเดอร์ไม่ได้ ระบบจะยกเลิกอัตโนมัติ” ซึ่งลูกค้าอาจเข้าใจสับสนว่าตกลงออเดอร์ถูกยกเลิกแล้วหรือยัง
เงื่อนไขที่ใช้หักคะแนน: พลาดเล็กน้อย
หัก 1 คะแนน
ตัวอย่างที่เหมาะสมกว่า:
“ตอนนี้แอดมินยกเลิกงานฝั่งไรเดอร์และปิดร้านในระบบเรียบร้อยแล้วนะครับ แต่สถานะออเดอร์ฝั่งลูกค้าจะถูกระบบยกเลิกอัตโนมัติเมื่อครบเวลา ประมาณ 14:29 น. หลังจากนั้นระบบจะคืนเงินตามช่องทางที่ชำระเข้ามาครับ”</t>
  </si>
  <si>
    <t>แอดมินแจ้งครบหลายส่วน ได้แก่ สถานะออเดอร์ เหตุผลที่ยกเลิกเองไม่ได้ เวลาที่ระบบจะยกเลิกอัตโนมัติ ช่องทางและระยะเวลาการคืนเงิน รวมถึงแจ้งให้ติดต่อกลับได้หากไม่ได้รับเงินคืน
หักเล็กน้อยเพราะควรอธิบายให้ชัดตั้งแต่ข้อความแรกว่า “แอดมินยกเลิกให้ได้เฉพาะงานฝั่งไรเดอร์ ส่วนออเดอร์ลูกค้าต้องรอ Merchant Timeout” เพื่อให้ลูกค้าเข้าใจง่ายขึ้นและลดความไม่พอใจ
เงื่อนไขที่ใช้หักคะแนน: พลาดเล็กน้อย
หัก 1 คะแนน
ตัวอย่างที่เหมาะสมกว่า:
“แอดมินดำเนินการยกเลิกงานฝั่งไรเดอร์ให้แล้วนะครับ ส่วนออเดอร์ของคุณลูกค้าจะถูกระบบยกเลิกอัตโนมัติประมาณ 14:29 น. เนื่องจากร้านค้าไม่กดรับ/ไม่กดปฏิเสธออเดอร์ เมื่อระบบยกเลิกแล้วจะคืนเงินผ่าน SCB EASY ภายใน 1 วันทำการครับ”</t>
  </si>
  <si>
    <t>แอดมินแจ้งขั้นตอนต่อไปให้ลูกค้าทราบว่าต้องรอระบบยกเลิกอัตโนมัติ และแจ้งเวลาคืนเงินได้ชัดเจนพอสมควร แต่ข้อความยาวและมีการอธิบายซ้ำ ทำให้ลูกค้ารู้สึกว่า “ช้ามาก” และอาจยังไม่เข้าใจเหตุผลของระบบในทันที
เงื่อนไขที่ใช้หักคะแนน: พลาดเล็กน้อย
หัก 1 คะแนน
ตัวอย่างที่เหมาะสมกว่า:
“เนื่องจากร้านยังไม่กดรับหรือปฏิเสธออเดอร์ ระบบจึงต้องรอครบเวลายกเลิกอัตโนมัติครับ เวลายกเลิกประมาณ 14:29 น. หลังจากนั้นระบบจะคืนเงินผ่าน SCB EASY ภายใน 1 วันทำการครับ”</t>
  </si>
  <si>
    <t>แอดมินวิเคราะห์สถานะได้ถูกต้องว่าออเดอร์ยังรอร้านค้ากดรับ/ปฏิเสธ และร้านค้าไม่รับสาย จึงดำเนินการปิดร้าน ยกเลิกงานให้ไรเดอร์ และแจ้งเวลาที่ระบบจะยกเลิกอัตโนมัติ ถือว่าแก้ปัญหาได้ตรงตามสถานะจริงของเคส
หักเล็กน้อยเพราะการโทรหาร้านค้ายังไม่ครบ 3 ครั้งตาม Process และควรอธิบายลูกค้าแบบจับประเด็นเร็วกว่าเดิม เพราะลูกค้าร้อนใจเรื่องเงินคืนและการยกเลิก
เงื่อนไขที่ใช้หักคะแนน: พลาดเล็กน้อย
หัก 2 คะแนน
ตัวอย่างที่เหมาะสมกว่า:
“แอดมินตรวจสอบแล้ว ร้านค้ายังไม่กดรับออเดอร์และไม่สามารถติดต่อร้านได้ แอดมินจึงปิดร้านในระบบและยกเลิกงานฝั่งไรเดอร์ให้แล้วนะครับ ส่วนออเดอร์ฝั่งลูกค้าจะถูกระบบยกเลิกอัตโนมัติประมาณ 14:29 น. ครับ”</t>
  </si>
  <si>
    <t>แอดมินดูแลเคสได้ดีในภาพรวม มีการตรวจสอบ แจ้งสถานะ ดำเนินการในส่วนที่ทำได้ และแจ้งขั้นตอนต่อไปเรื่องระยะเวลายกเลิกอัตโนมัติ รวมถึงการคืนเงิน ทำให้ลูกค้าเข้าใจว่าต้องรอระบบดำเนินการต่ออย่างไร
หักเพราะเมื่อลูกค้าตอบว่า “ช้ามาก อะไร” แอดมินอธิบายเหตุผลแล้ว แต่ยังไม่ค่อยจับอารมณ์ลูกค้าเท่าที่ควร ควรย้ำความเข้าใจและบอกว่าแอดมินดำเนินการส่วนที่ทำได้ให้แล้ว ไม่ใช่ปล่อยให้ลูกค้ารอเฉย ๆ
เงื่อนไขที่ใช้หักคะแนน: พลาดเล็กน้อย
หัก 2 คะแนน
ตัวอย่างที่เหมาะสมกว่า:
“เข้าใจคุณลูกค้านะครับ และขออภัยที่ทำให้ต้องรอ แอดมินดำเนินการในส่วนที่ทำได้แล้ว คือยกเลิกงานฝั่งไรเดอร์และปิดร้านในระบบ ส่วนออเดอร์ฝั่งลูกค้าจะถูกระบบยกเลิกอัตโนมัติประมาณ 14:29 น. หลังจากนั้นระบบจะคืนเงินให้อัตโนมัติครับ”</t>
  </si>
  <si>
    <t>ข้อมูลครบ แต่ข้อความช่วงแจ้งผลค่อนข้างยาว มีหลายประเด็นรวมอยู่ในข้อความเดียว เช่น สถานะร้าน, การยกเลิกฝั่งไรเดอร์, การรอระบบ, การคืนเงิน และเงื่อนไขธนาคาร ทำให้อ่านยากเล็กน้อย
เงื่อนไขที่ใช้หักคะแนน: พลาดเล็กน้อย
หัก 1 คะแนน
ตัวอย่างที่เหมาะสมกว่า:
แยกข้อความเป็น 3 ส่วนสั้น ๆ
1.ผลตรวจสอบ: ร้านค้าไม่รับสาย/ยังไม่กดรับออเดอร์
2.สิ่งที่แอดมินทำแล้ว: ยกเลิกงานฝั่งไรเดอร์และปิดร้าน
3.Next Step: ระบบยกเลิกอัตโนมัติ 14:29 น. และคืนเงิน SCB EASY ภายใน 1 วันทำการ</t>
  </si>
  <si>
    <t>ภาษาโดยรวมสุภาพ อ่านเข้าใจ ไม่มีคำสะกดผิดที่กระทบความหมาย และใช้คำเรียก “ลูกค้า” ได้เหมาะสม
เงื่อนไขที่ใช้หักคะแนน: ไม่พบข้อผิดพลาด</t>
  </si>
  <si>
    <t>แอดมินใช้น้ำเสียงสุภาพและขออภัยหลายครั้ง เหมาะกับสถานการณ์ที่ลูกค้าไม่พอใจ แต่เมื่อลูกค้าร้องเรียนว่า “ช้ามาก อะไร” ควรเพิ่ม Empathy ให้ชัดกว่านี้ เพราะลูกค้าต้องรอทั้งอาหารและเงินคืน
เงื่อนไขที่ใช้หักคะแนน: พลาดเล็กน้อย
หัก 2 คะแนน
ตัวอย่างที่เหมาะสมกว่า:
“เข้าใจคุณลูกค้านะครับ ต้องขออภัยจริง ๆ ที่ทำให้เสียเวลาและยังไม่ได้รับอาหาร แอดมินดำเนินการส่วนที่ช่วยได้ทันทีแล้ว และขอแจ้งเวลาที่ระบบจะยกเลิกกับคืนเงินให้ชัดเจนอีกครั้งนะครับ”</t>
  </si>
  <si>
    <t>ลูกค้าขอยกเลิกออเดอร์เนื่องจากร้านปิด / ติดตามการคืนเงิน (Order Cancellation Due to Merchant Closed / Refund Inquiry)</t>
  </si>
  <si>
    <t>ลูกค้าแจ้งว่าร้านปิด ต้องการยกเลิกออเดอร์และขอคืนเงิน ออเดอร์อยู่ในสถานะที่ร้านค้ายังไม่กดรับ และมีไรเดอร์รับงานแล้ว แอดมินตรวจสอบ พบว่าร้านค้าไม่รับสาย มีการโทรหาร้านค้า 2 ครั้ง และดำเนินการยกเลิกงานฝั่งไรเดอร์หลังเกิน 10 นาทีจากเวลาที่ไรเดอร์รับงาน พร้อมแจ้งลูกค้าว่าระบบจะยกเลิกอัตโนมัติประมาณ 14:29 น. และคืนเงินผ่าน SCB EASY ภายใน 1 วันทำการ</t>
  </si>
  <si>
    <t>https://drive.google.com/open?id=1Ho8o8R9b0JGP59wEFyT2eb0iJa9g4fez</t>
  </si>
  <si>
    <t>AA239142</t>
  </si>
  <si>
    <t>แอดมินทักทายโดยระบุชื่อแอดมิน และมีการปิดสนทนาสุภาพครบถ้วน เหมาะสมกับพี่ไรเดอร์
เงื่อนไขที่ใช้หักคะแนน: ไม่พบข้อผิดพลาด</t>
  </si>
  <si>
    <t>ไม่พบการเปิดเผยข้อมูลเกินจำเป็น ข้อมูลที่ใช้เป็นข้อมูลของพี่ไรเดอร์ในเคส และเป็นการตอบตามคำถามเรื่องยอดงานของเจ้าของบัญชี
เงื่อนไขที่ใช้หักคะแนน: ไม่พบข้อผิดพลาด</t>
  </si>
  <si>
    <t>แอดมินตอบกลับและตรวจสอบได้เร็ว แต่ขั้นตอนตาม Process ยังไม่ครบ เพราะไม่ได้ขอข้อมูลอย่างใดอย่างหนึ่งก่อนตรวจสอบ เช่น ชื่อ-นามสกุล / หมายเลข RR / เบอร์โทรศัพท์ที่ลงทะเบียน 
เงื่อนไขที่ใช้หักคะแนน: พลาดเล็กน้อย
หัก 2 คะแนน
ตัวอย่างที่เหมาะสมกว่า:
“รบกวนพี่ไรเดอร์แจ้งข้อมูลอย่างใดอย่างหนึ่งเพื่อให้แอดมินตรวจสอบให้นะคะ เช่น ชื่อ-นามสกุล, หมายเลข RR หรือเบอร์โทรศัพท์ที่ลงทะเบียนค่ะ”</t>
  </si>
  <si>
    <t>คำตอบถูกต้อง แอดมินแจ้งยอดงานสำเร็จรวม 176 ออเดอร์ ซึ่งตรงกับข้อมูลที่ตรวจสอบเพิ่มเติม
เงื่อนไขที่ใช้หักคะแนน: ไม่พบข้อผิดพลาด</t>
  </si>
  <si>
    <t>แอดมินตอบคำถามหลักครบ แต่ควรระบุช่วงวันที่ของยอดงานให้ชัด เช่น “ตั้งแต่วันที่ 1–17 พฤษภาคม” เพราะคำว่า “เดือนนี้” อาจทำให้เข้าใจว่าเป็นยอดสรุปทั้งเดือนแล้ว
เงื่อนไขที่ใช้หักคะแนน: พลาดเล็กน้อย
หัก 1 คะแนน
ตัวอย่างที่เหมาะสมกว่า:
“จากการตรวจสอบรหัส RR709531 ของพี่ไรเดอร์ กันตภณ อุ่นชิณ พบว่ายอดจัดส่งสำเร็จประจำเดือนพฤษภาคม ตั้งแต่วันที่ 1–17 พ.ค. 69 รวมทั้งหมด 176 ออเดอร์ค่ะ”</t>
  </si>
  <si>
    <t>ข้อความเข้าใจง่าย แจ้งผลตรวจสอบตรงประเด็น ไม่ซับซ้อน และไม่จำเป็นต้องอธิบายขั้นตอนยาว
เงื่อนไขที่ใช้หักคะแนน: ไม่พบข้อผิดพลาด</t>
  </si>
  <si>
    <t>แอดมินเข้าใจคำถาม ตรวจสอบยอดงาน และตอบกลับตรงกับสิ่งที่พี่ไรเดอร์ต้องการทราบ
เงื่อนไขที่ใช้หักคะแนน: ไม่พบข้อผิดพลาด</t>
  </si>
  <si>
    <t>แอดมินรับเรื่อง ตรวจสอบ แจ้งผล และถามต่อว่าต้องการความช่วยเหลือเพิ่มเติมหรือไม่ ถือว่าดูแลเคสครบถ้วน
เงื่อนไขที่ใช้หักคะแนน: ไม่พบข้อผิดพลาด</t>
  </si>
  <si>
    <t>ข้อความสั้น ชัดเจน อ่านเข้าใจง่าย เหมาะกับคำถามที่ต้องการคำตอบตรง ๆ
เงื่อนไขที่ใช้หักคะแนน: ไม่พบข้อผิดพลาด</t>
  </si>
  <si>
    <t>ภาษาโดยรวมสุภาพ กระชับ ไม่มีคำผิดที่กระทบความเข้าใจ
เงื่อนไขที่ใช้หักคะแนน: ไม่พบข้อผิดพลาด</t>
  </si>
  <si>
    <t>น้ำเสียงสุภาพ เป็นมิตร เหมาะกับพี่ไรเดอร์ มีการอวยพรให้ขับขี่ปลอดภัยและได้ออเดอร์เยอะ ๆ ถือว่าเหมาะสมกับสถานการณ์
เงื่อนไขที่ใช้หักคะแนน: ไม่พบข้อผิดพลาด</t>
  </si>
  <si>
    <t>ไรเดอร์สอบถามยอดงานสะสมประจำเดือน (Rider Monthly Completed Order Count Inquiry)</t>
  </si>
  <si>
    <t>พี่ไรเดอร์สอบถามว่าเดือนนี้มียอดวิ่งงานทั้งหมดกี่ออเดอร์ และมีการแจ้งรหัส RR709531 เข้ามาเองตั้งแต่ต้น แอดมินจึงใช้ข้อมูลนี้ตรวจสอบในระบบ และแจ้งกลับว่าพี่ไรเดอร์ กันตภณ อุ่นชิณ มียอดจัดส่งสำเร็จรวม 176 ออเดอร์ จากข้อมูลที่ตรวจสอบเพิ่มเติมพบว่าเป็นยอดช่วงวันที่ 1–17 พฤษภาคม รวม 176 ออเดอร์</t>
  </si>
  <si>
    <t>https://drive.google.com/file/d/1eMXYm00y1vIO4aLgryFjzHN2_eGgYM37/view?usp=drive_link</t>
  </si>
  <si>
    <t>AA238715</t>
  </si>
  <si>
    <t>แอดมินมีการทักทาย แนะนำชื่อแอดมิน และปิดการสนทนาครบถ้วน สุภาพ เหมาะกับพี่ไรเดอร์
เงื่อนไขที่ใช้หักคะแนน: ไม่พบข้อผิดพลาด</t>
  </si>
  <si>
    <t>ไม่พบการเปิดเผยข้อมูลส่วนบุคคลเกินจำเป็น ข้อมูลที่สื่อสารเป็นข้อมูลที่เกี่ยวกับการดำเนินงานของออเดอร์ และไม่ได้แจ้งข้อมูลอ่อนไหวของลูกค้าหรือร้านค้าเกินความจำเป็น
เงื่อนไขที่ใช้หักคะแนน: ไม่พบข้อผิดพลาด</t>
  </si>
  <si>
    <t>แอดมินรับเรื่องและตรวจสอบได้เร็ว มีการโทรติดตามร้านค้าตามปัญหาที่พี่ไรเดอร์แจ้ง และช่วยให้ออเดอร์เดินต่อได้ แต่ช่วงรับเรื่องยังไม่ได้ขอข้อมูลตาม Process ให้ครบก่อน เช่น หมายเลขคำสั่งซื้อแบบเต็ม หรือรูปแคปหน้าจอรับงานเพื่อใช้ตรวจสอบให้รวดเร็วและลดความเสี่ยงในการเช็กผิดออเดอร์ โดยในเคสนี้พี่ไรเดอร์แจ้งมาเพียงเลขท้าย 8428 แอดมินควรทวนหรือยืนยันเลขออเดอร์เต็มก่อนดำเนินการ
เงื่อนไขที่ใช้หักคะแนน: พลาดเล็กน้อย
หัก 2 คะแนน
ตัวอย่างที่เหมาะสมกว่า:
“รบกวนพี่ไรเดอร์แจ้งหมายเลขคำสั่งซื้อแบบเต็ม หรือแนบรูปหน้าจอรับงานให้แอดมินตรวจสอบสักครู่นะคะ หากเป็นออเดอร์ลงท้าย 8428 แอดมินจะตรวจสอบและติดตามร้านค้าให้ค่ะ”</t>
  </si>
  <si>
    <t>ข้อมูลหลักถูกต้อง แอดมินแจ้งว่าร้านยังไม่กดรับออเดอร์ และมีการติดตามร้านค้าจริง จากข้อมูลตรวจสอบเพิ่มเติมพบว่าร้านรับสายและแจ้งว่าจำรหัสผ่านเข้าแอปไม่ได้ แอดมินจึงให้ร้านทำอาหารและให้ไรเดอร์ไปรับ ถือว่าแก้ตามสถานการณ์ได้ แต่ข้อความ “ฝากช่องทางติดต่อร้านค้า ให้ร้านแอดไลน์มานะคะ” ยังสื่อสารไม่ชัดว่าเป็นช่องทางของใคร และพี่ไรเดอร์ต้องทำอะไรต่อ
เงื่อนไขที่ใช้หักคะแนน: พลาดเล็กน้อย
หัก 1 คะแนน
ตัวอย่างที่เหมาะสมกว่า:
“แอดมินติดต่อร้านค้าได้แล้วนะคะ ร้านแจ้งว่าจำรหัสผ่านเข้าแอปไม่ได้ แต่รับทราบออเดอร์แล้วและจะจัดเตรียมอาหารให้ค่ะ รบกวนพี่ไรเดอร์เดินทางไปรับอาหารได้เลย และฝากแจ้งร้านค้าแอดไลน์ช่องทางนี้เพื่อให้แอดมินช่วยประสานเรื่องการเข้าใช้งานแอปต่อค่ะ”</t>
  </si>
  <si>
    <t>แอดมินแจ้งสถานะร้านค้าและแจ้งให้พี่ไรเดอร์ยังไม่ต้องออกเดินทางในช่วงแรก จากนั้นให้เดินทางไปรับอาหารเมื่อร้านรับทราบแล้ว ถือว่าตอบประเด็นหลักได้ แต่ยังไม่ครบในส่วนของการทวนเลขออเดอร์เต็ม และควรแจ้งให้ชัดว่าแอดมินประสานร้านแล้ว ร้านรับทราบออเดอร์แล้ว และให้ไรเดอร์ดำเนินการอย่างไรต่อแบบชัดเจน
เงื่อนไขที่ใช้หักคะแนน: พลาดเล็กน้อย
หัก 3 คะแนน
ตัวอย่างที่เหมาะสมกว่า:
“ออเดอร์ 260516-SG-8428 ขณะนี้ร้านค้ายังไม่ได้กดรับในระบบ แต่แอดมินติดต่อร้านค้าได้แล้ว ร้านรับทราบออเดอร์และจะจัดเตรียมอาหารให้ค่ะ พี่ไรเดอร์สามารถเข้าไปรับอาหารที่ร้านได้เลยนะคะ หากถึงร้านแล้วรบกวนถ่ายรูปเซลฟี่กับหน้าร้านแทนรูปอาหารค่ะ”</t>
  </si>
  <si>
    <t>ข้อความบางส่วนยังไม่เรียงลำดับดีนัก และประโยคเรื่องช่องทางติดต่อร้านค้ายังไม่ชัด
เงื่อนไขที่ใช้หักคะแนน: พลาดเล็กน้อย
หัก 1 คะแนน
ตัวอย่างที่เหมาะสมกว่า:
“สรุปขั้นตอนนะคะ 1) แอดมินติดต่อร้านค้าแล้ว 2) ร้านรับทราบออเดอร์และจะเตรียมอาหาร 3) พี่ไรเดอร์สามารถไปรับอาหารได้ 4) เมื่อถึงร้าน รบกวนถ่ายรูปเซลฟี่กับหน้าร้านแทนรูปอาหารค่ะ”</t>
  </si>
  <si>
    <t>แอดมินวิเคราะห์ปัญหาได้ถูกทาง เพราะปัญหาคือร้านยังไม่กดรับออเดอร์และไรเดอร์ไม่แน่ใจว่าเข้ารับได้หรือไม่ แอดมินมีการโทรตามร้านจริง และสุดท้ายทำให้ออเดอร์ไปต่อจนจัดส่งสำเร็จ จุดที่ควรเพิ่มคือควรแยกให้ชัดว่าปัญหาหลักคือร้านเข้าแอปไม่ได้/ยังไม่กดรับ ไม่ใช่แค่บอกให้ไรเดอร์นำช่องทางไปฝากร้านอย่างเดียว
เงื่อนไขที่ใช้หักคะแนน: พลาดเล็กน้อย
หัก 1 คะแนน
ตัวอย่างที่เหมาะสมกว่า:
“ร้านค้าแจ้งว่าจำรหัสผ่านเข้าแอปไม่ได้ จึงยังไม่ได้กดรับออเดอร์ในระบบ แอดมินประสานให้ร้านจัดเตรียมอาหารก่อน และจะให้ร้านติดต่อแอดมินเพื่อช่วยแก้ไขการเข้าใช้งานแอปต่อค่ะ”</t>
  </si>
  <si>
    <t>แอดมินดูแลเคสได้ดี มีการโทรติดตามร้านค้า ติดตามซ้ำ และให้แนวทางเพื่อให้ออเดอร์ดำเนินต่อได้ แต่การแจ้งขั้นตอนต่อไปควรชัดกว่านี้ เช่น แจ้งพี่ไรเดอร์ให้เข้าใจว่า “ตอนนี้สามารถไปที่ร้านได้แล้ว” และ “ฝากให้ร้านค้าแอดไลน์ เพื่อให้แอดมินช่วยเรื่องเข้าแอปต่อ” ไม่ควรแจ้งสั้นเกินไป เพราะอาจทำให้พี่ไรเดอร์สับสนได้
เงื่อนไขที่ใช้หักคะแนน: พลาดเล็กน้อย
หัก 2 คะแนน
ตัวอย่างที่เหมาะสมกว่า:
“แอดมินประสานร้านค้าเรียบร้อยแล้วค่ะ ร้านจะจัดเตรียมอาหารให้ พี่ไรเดอร์สามารถเดินทางไปรับอาหารได้เลย และรบกวนฝากร้านค้าแอดไลน์ตามช่องทางนี้ เพื่อให้แอดมินช่วยตรวจสอบเรื่องการเข้าใช้งานแอปต่อค่ะ”</t>
  </si>
  <si>
    <t>ข้อความโดยรวมอ่านได้ แต่บางช่วงยังไม่ชัดและขาดการจัดลำดับ เช่น “ฝากช่องทางติดต่อร้านค้า ให้ร้านแอดไลน์มานะคะ” ควรระบุให้ชัดว่าให้พี่ไรเดอร์ฝากช่องทางนี้กับร้านค้า เพื่อให้ร้านติดต่อแอดมินกลับมา
เงื่อนไขที่ใช้หักคะแนน: พลาดเล็กน้อย
หัก 1 คะแนน
ตัวอย่างที่เหมาะสมกว่า:
“รบกวนพี่ไรเดอร์ฝาก QR Code นี้ให้ร้านค้าแอดไลน์เข้ามาติดต่อแอดมิน เพื่อให้แอดมินช่วยตรวจสอบปัญหาการเข้าใช้งานแอปของร้านค้าต่อค่ะ”</t>
  </si>
  <si>
    <t>ภาษาสุภาพ แต่มีคำผิด/พิมพ์ตก เช่น “รบกดรับอาหารทันที” ควรเป็น “รบกวนกดรับอาหารทันที” และคำว่า “เซฟฟี่” ควรใช้ “เซลฟี่” ให้ถูกต้อง
เงื่อนไขที่ใช้หักคะแนน: พลาดเล็กน้อย
หัก 1 คะแนน
ตัวอย่างที่เหมาะสมกว่า:
“หากเดินทางถึงร้านแล้ว รบกวนกดรับอาหารทันที โดยถ่ายรูปเซลฟี่กับหน้าร้านแทนรูปอาหารค่ะ”</t>
  </si>
  <si>
    <t>น้ำเสียงสุภาพ ไม่กดดันพี่ไรเดอร์ และมีการแจ้งให้รอก่อนเพื่อไม่ให้ไรเดอร์เสียเวลาเดินทางโดยยังไม่ชัดว่าร้านรับออเดอร์แล้วหรือไม่ ถือว่าเหมาะสมกับสถานการณ์
เงื่อนไขที่ใช้หักคะแนน: ไม่พบข้อผิดพลาด</t>
  </si>
  <si>
    <t>ไรเดอร์แจ้งร้านค้ายังไม่กดรับออเดอร์ / ติดต่อร้านค้าไม่ได้ (Merchant Not Accepting Order / Unable to Contact Merchant)</t>
  </si>
  <si>
    <t>พี่ไรเดอร์แจ้งว่าโทรหาร้านแล้วไม่รับสาย และขอให้ช่วยเช็กว่าร้านกดรับออเดอร์หรือยัง พร้อมแจ้งเลขท้ายออเดอร์ 8428 แอดมินตรวจสอบและโทรหาร้านค้า พบว่าร้านค้ายังไม่ได้กดรับออเดอร์ โดยมีการโทรตามร้าน 2 ครั้ง ครั้งแรกแจ้งให้ร้านรับทราบ ครั้งที่สองร้านแจ้งว่าจำรหัสผ่านเข้าแอปไม่ได้ แอดมินจึงให้ร้านทำอาหาร และแจ้งให้พี่ไรเดอร์ไปรับอาหาร พร้อมส่งช่องทางให้ร้านค้าแอดไลน์ทีมแอดมิน ภาพรวมถือว่าช่วยแก้ปัญหาให้คำสั่งซื้อไปต่อได้ และออเดอร์จัดส่งสำเร็จ แต่ยังมีจุดที่ต้องปรับเรื่องการขอข้อมูลให้ครบตั้งแต่ต้น และการสื่อสารบางช่วงยังไม่ชัดพอ</t>
  </si>
  <si>
    <t>https://drive.google.com/open?id=1lHmlJdo74xSZCbgo2zFYmGDyyqwPtYIC</t>
  </si>
  <si>
    <t>AA237389</t>
  </si>
  <si>
    <t>https://app.oho.chat/business/6805c0f16232119d2a1204b5/smartchat?room=6a022bb7d56c56d631c414ec</t>
  </si>
  <si>
    <t>แอดมินมีการทักทาย แนะนำชื่อ และปิดการสนทนาครบถ้วน สุภาพ เหมาะสม
เงื่อนไขที่ใช้หักคะแนน: ไม่พบข้อผิดพลาด</t>
  </si>
  <si>
    <t>ไม่พบการเปิดเผยข้อมูลส่วนบุคคลเกินจำเป็น และเป็นการให้ข้อมูลทั่วไปเกี่ยวกับเงื่อนไขเงินประกัน จึงไม่เข้าข่ายละเมิดข้อมูลส่วนบุคคล
เงื่อนไขที่ใช้หักคะแนน: ไม่พบข้อผิดพลาด</t>
  </si>
  <si>
    <t>แอดมินตอบกลับภายในเวลาที่เหมาะสม แต่ยังไม่ได้ให้ข้อมูลตาม Process ให้ครบ โดยเฉพาะเงื่อนไขการได้รับเงินประกันคืน และไม่ได้แนะนำให้พี่ไรเดอร์ตรวจสอบสถานะการลบบัญชีหรือเงินประกันคงเหลือ หากต้องการให้แอดมินช่วยตรวจสอบเพิ่มเติม
เงื่อนไขที่ใช้หักคะแนน: พลาดปานกลาง
หัก 3 คะแนน
ตัวอย่างที่เหมาะสมกว่า:
“พี่ไรเดอร์จะได้รับเงินประกันคืน หากกดลบบัญชีด้วยตนเอง ไม่มีประวัติทุจริต และมีเงินประกันคงเหลือในระบบ โดยระบบจะโอนคืนเข้าบัญชีที่ลงทะเบียนไว้ภายใน 7 วันทำการหลังลบบัญชีสำเร็จค่ะ หากต้องการให้แอดมินตรวจสอบสถานะเพิ่มเติม รบกวนแจ้ง RR หรือเบอร์โทรศัพท์ที่ลงทะเบียนได้เลยนะคะ”</t>
  </si>
  <si>
    <t>ข้อมูลเรื่อง “คืนภายใน 7 วันทำการ” ถูกต้อง แต่คำตอบยังเหมือนแจ้งว่าได้คืนแน่นอนทุกกรณี ทั้งที่ตาม Process ต้องมีเงื่อนไข เช่น ต้องไม่มีประวัติทุจริต ต้องกดลบบัญชีเอง และต้องมีเงินประกันคงเหลือ จึงถือว่าคำตอบถูกแค่บางส่วน
เงื่อนไขที่ใช้หักคะแนน: พลาดปานกลาง
หัก 3 คะแนน
ตัวอย่างที่เหมาะสมกว่า:
“เงินประกันจะได้รับคืนภายใน 7 วันทำการหลังจากลบบัญชีสำเร็จค่ะ โดยต้องเป็นกรณีที่พี่ไรเดอร์ไม่มีประวัติทุจริต และมีเงินประกันคงเหลือในระบบนะคะ”</t>
  </si>
  <si>
    <t>แอดมินตอบเพียงระยะเวลาคืนเงิน แต่ยังไม่ครอบคลุมเงื่อนไขหลักของเงินประกัน ได้แก่ ได้คืนเมื่อพ้นสถานะไรเดอร์, ต้องกดลบบัญชีเอง, ไม่มีความผิดหรือทุจริต, คืนตามยอดเงินประกันคงเหลือ และถ้าเกินกำหนดยังไม่ได้รับเงินควรติดต่อกลับมาให้ตรวจสอบ
เงื่อนไขที่ใช้หักคะแนน: พลาดปานกลาง
หัก 5 คะแนน
ตัวอย่างที่เหมาะสมกว่า:
“เงินประกันจะได้รับคืนเมื่อพี่ไรเดอร์กดลบบัญชีด้วยตนเอง และไม่มีประวัติทุจริตหรือความผิดที่เข้าเงื่อนไขไม่คืนเงินประกันนะคะ ระบบจะโอนคืนเข้าบัญชีที่ลงทะเบียนไว้ภายใน 7 วันทำการ โดยคืนตามยอดเงินประกันที่คงเหลือในระบบค่ะ หากครบกำหนดแล้วยังไม่ได้รับเงิน สามารถติดต่อกลับมาให้แอดมินตรวจสอบได้ค่ะ”</t>
  </si>
  <si>
    <t>ข้อความสั้นและเข้าใจง่าย แต่ยังไม่ชัดว่า “ต้องทำอะไรถึงจะได้เงินคืน” และไม่มีการแยกเงื่อนไขกับระยะเวลา ทำให้พี่ไรเดอร์อาจเข้าใจว่าแค่ลบบัญชีแล้วจะได้เงินคืนทุกกรณี
เงื่อนไขที่ใช้หักคะแนน: พลาดปานกลาง
หัก 2 คะแนน
ตัวอย่างที่เหมาะสมกว่า:
“สรุปเงื่อนไขคือ 1) พี่ไรเดอร์ต้องกดลบบัญชีด้วยตนเอง 2) ไม่มีประวัติทุจริต 3) มีเงินประกันคงเหลือในระบบ หากครบเงื่อนไข ระบบจะคืนเงินภายใน 7 วันทำการค่ะ”</t>
  </si>
  <si>
    <t>แอดมินเข้าใจว่าพี่ไรเดอร์ถามเรื่องเงินประกันและตอบเรื่องระยะเวลาคืนเงินได้ แต่ยังไม่ได้วิเคราะห์ต่อว่าพี่ไรเดอร์อยู่ในสถานะไหน เช่น กดลบบัญชีแล้วหรือยัง มีเงินประกันคงเหลือหรือไม่ หรือเคยมีความผิดที่อาจกระทบสิทธิ์เงินประกันหรือไม่ ทำให้การตอบยังไม่ตรงจุดครบถ้วน
เงื่อนไขที่ใช้หักคะแนน: พลาดปานกลาง
หัก 5 คะแนน
ตัวอย่างที่เหมาะสมกว่า:
“กรณีเงินประกัน แอดมินขอแจ้งเงื่อนไขเบื้องต้นก่อนนะคะ หากพี่ไรเดอร์กดลบบัญชีเอง ไม่มีประวัติทุจริต และมีเงินประกันคงเหลือ ระบบจะคืนเงินภายใน 7 วันทำการค่ะ หากต้องการให้ตรวจสอบสถานะของบัญชี รบกวนแจ้ง RR หรือเบอร์โทรศัพท์ที่ลงทะเบียนค่ะ”</t>
  </si>
  <si>
    <t>แอดมินตอบคำถามให้แล้ว แต่ยังปิดเคสค่อนข้างเร็ว และยังไม่ได้แจ้งขั้นตอนต่อไปให้ชัดเจน เช่น หากยังไม่ได้ลบบัญชีต้องทำอย่างไร หรือหากลบบัญชีแล้วเกิน 7 วันทำการยังไม่ได้รับเงินคืน ต้องแจ้งข้อมูลอะไรกลับมาให้ตรวจสอบต่อ
เงื่อนไขที่ใช้หักคะแนน: พลาดปานกลาง
หัก 4 คะแนน
ตัวอย่างที่เหมาะสมกว่า:
“หากพี่ไรเดอร์ยังไม่ได้กดลบบัญชี สามารถเข้าแอป Robinhood Rider เพื่อกดลบบัญชีได้ด้วยตนเองนะคะ หลังจากลบสำเร็จ หากครบ 7 วันทำการแล้วยังไม่ได้รับเงิน รบกวนติดต่อกลับมาพร้อม RR หรือเบอร์โทรศัพท์ที่ลงทะเบียน เพื่อให้แอดมินตรวจสอบเพิ่มเติมค่ะ”</t>
  </si>
  <si>
    <t>ข้อความไม่ยาว อ่านง่าย แต่ควรจัดโครงสร้างให้ชัดกว่าเดิม เพราะประเด็นเงินประกันมีทั้ง “เงื่อนไขการคืนเงิน” และ “ระยะเวลาการคืนเงิน” ไม่ควรรวมสั้นเกินไปจนข้อมูลไม่ครบ
เงื่อนไขที่ใช้หักคะแนน: พลาดเล็กน้อย
หัก 1 คะแนน
ตัวอย่างที่เหมาะสมกว่า:
“ขอแจ้งเป็น 2 ส่วนนะคะ
1.เงื่อนไขการได้รับเงินประกันคืน
2.ระยะเวลาการคืนเงินหลังลบบัญชีสำเร็จ”</t>
  </si>
  <si>
    <t>ภาษาสุภาพ แต่ประโยค “ในส่วนการแจ้งลบบัญชี เงินจะคืนภายใน 7 วันทำการ” ยังไม่ค่อยเป็นธรรมชาติ ควรเขียนให้ชัดว่า “หลังจากกดลบบัญชีสำเร็จ”
เงื่อนไขที่ใช้หักคะแนน: พลาดเล็กน้อย
หัก 1 คะแนน
ตัวอย่างที่เหมาะสมกว่า:
“หลังจากพี่ไรเดอร์กดลบบัญชีสำเร็จ ระบบจะคืนเงินประกันภายใน 7 วันทำการค่ะ”</t>
  </si>
  <si>
    <t>แอดมินใช้น้ำเสียงสุภาพ แต่ยังตอบไม่ชัดพอ เพราะพี่ไรเดอร์ถามว่าจะได้เงินคืนไหม จึงควรอธิบายให้ชัดทั้งเงื่อนไข ระยะเวลาคืนเงิน และข้อมูลที่ต้องแจ้งกลับมาหากครบกำหนดแล้วยังไม่ได้รับเงิน
เงื่อนไขที่ใช้หักคะแนน: พลาดเล็กน้อย
หัก 2 คะแนน
ตัวอย่างที่เหมาะสมกว่า:
“พี่ไรเดอร์ไม่ต้องกังวลนะคะ หากบัญชีเข้าเงื่อนไขตามที่กำหนด ระบบจะคืนเงินประกันให้อัตโนมัติภายใน 7 วันทำการหลังลบบัญชีสำเร็จค่ะ”</t>
  </si>
  <si>
    <t>ไรเดอร์สอบถามการคืนเงินประกันหลังลบบัญชี (Rider Deposit Refund Inquiry)</t>
  </si>
  <si>
    <t>พี่ไรเดอร์สอบถามว่า “เงินประกันเราจะได้คืนไหมครับ” แอดมินแจ้งว่าเงินจะคืนภายใน 7 วันทำการหลังลบบัญชี ซึ่งเป็นข้อมูลที่ถูกบางส่วน แต่ยังตอบไม่ครบตาม Process เพราะควรแจ้งเงื่อนไขสำคัญด้วย เช่น ต้องกดลบบัญชีด้วยตนเอง ไม่มีประวัติทุจริต และมีเงินประกันคงเหลือในระบบ จึงจะได้รับเงินคืน</t>
  </si>
  <si>
    <t>https://drive.google.com/open?id=1MAWfMhcDW-RiXtTu2mhIeKQh2mnzfhKm</t>
  </si>
  <si>
    <t>AA239124</t>
  </si>
  <si>
    <t>https://app.oho.chat/business/6805c0f16232119d2a1204b5/smartchat?room=6833f596779776e572062f46</t>
  </si>
  <si>
    <t>แอดมินมีการทักทาย แนะนำตัว และปิดการสนทนาอย่างสุภาพครบถ้วน
เงื่อนไขที่ใช้หักคะแนน: ไม่พบข้อผิดพลาด</t>
  </si>
  <si>
    <t>ไม่มีการเปิดเผยข้อมูลส่วนบุคคลเกินความจำเป็น และไม่ได้สอบถามข้อมูลที่เกินจากบริบทของเคส
เงื่อนไขที่ใช้หักคะแนน: ไม่พบข้อผิดพลาด</t>
  </si>
  <si>
    <t>แอดมินตอบกลับรวดเร็วและให้ลิงก์สั่งซื้อถูกต้องตาม Process แต่ยังไม่ได้แจ้งรายละเอียดเพิ่มเติมที่ควรแจ้ง เช่น ขั้นตอนอัปโหลดสลิป ระยะเวลาจัดส่ง และแนวทางกรณีจำเป็นต้องใส่ชุดนอกวิ่งงานชั่วคราว
เงื่อนไขที่ใช้หักคะแนน: พลาดเล็กน้อย
หัก 2 คะแนน
ตัวอย่างที่เหมาะสมกว่า:
“พี่ไรเดอร์สามารถสั่งซื้อผ่านลิงก์นี้ได้เลยนะครับ หลังกรอกข้อมูลและแนบสลิปเรียบร้อย ทีมงานจะจัดส่งภายในประมาณ 7–14 วันทำการครับ”</t>
  </si>
  <si>
    <t>ข้อมูลช่องทางการสั่งซื้อถูกต้อง และตรงตาม Process
เงื่อนไขที่ใช้หักคะแนน: พลาดเล็กน้อย
หัก 1 คะแนน
เนื่องจากยังไม่ได้แจ้งข้อมูลสำคัญเพิ่มเติมเกี่ยวกับการจัดส่งและขั้นตอนการสั่งซื้อ</t>
  </si>
  <si>
    <t>แอดมินแจ้งเพียงลิงก์สั่งซื้อ แต่ยังไม่ครบตาม Process เพราะไม่ได้แจ้ง:
ราคาสินค้า
ต้องแนบสลิปการชำระเงิน
ระยะเวลาจัดส่ง 7–14 วันทำการ
ข้อควรระวังเรื่องการไม่สวมเสื้อไรเดอร์ระหว่างวิ่งงาน
โดยเฉพาะเมื่อพี่ไรเดอร์แจ้งเองว่า “ตอนนี้ต้องใส่ชุดนอกวิ่ง” ควรมีการแจ้งเตือนเชิงนโยบายเพิ่มเติม
เงื่อนไขที่ใช้หักคะแนน: พลาดปานกลาง
หัก 5 คะแนน
ตัวอย่างที่เหมาะสมกว่า:
“พี่ไรเดอร์สามารถสั่งซื้อเสื้อผ่านลิงก์นี้ได้เลยครับ หลังกรอกข้อมูลและแนบสลิปเรียบร้อย ทีมงานจะจัดส่งภายในประมาณ 7–14 วันทำการครับ ระหว่างนี้แนะนำให้หลีกเลี่ยงการวิ่งงานโดยไม่สวมเสื้อไรเดอร์ เพื่อป้องกันผลกระทบต่อบัญชีนะครับ”</t>
  </si>
  <si>
    <t>แอดมินส่งลิงก์ตรงและเข้าใจง่าย แต่ยังไม่อธิบายว่าต้องทำอะไรต่อหลังเปิดลิงก์ เช่น กรอกข้อมูลและแนบสลิป
เงื่อนไขที่ใช้หักคะแนน: พลาดเล็กน้อย
หัก 1 คะแนน</t>
  </si>
  <si>
    <t>แอดมินเข้าใจปัญหาและแจ้งช่องทางสั่งซื้อเสื้อให้พี่ไรเดอร์ได้แล้ว แต่ยังไม่ได้อธิบายต่อจากประเด็นที่พี่ไรเดอร์แจ้งว่าเสื้อหายและต้องใส่ชุดนอกวิ่ง ซึ่งเป็นเรื่องที่ควรแจ้งข้อควรระวังเพิ่มเติม เช่น ควรแต่งกายให้ถูกต้องตามเงื่อนไขระหว่างรับงาน หรือหากยังไม่มีเสื้อ ควรรีบดำเนินการสั่งซื้อให้เรียบร้อย
เงื่อนไขที่ใช้หักคะแนน: พลาดปานกลาง
หัก 4 คะแนน
ตัวอย่างที่เหมาะสมกว่า:
“เข้าใจเลยครับ ช่วงนี้หากจำเป็นต้องใส่ชุดนอกวิ่งงาน แนะนำให้รีบดำเนินการสั่งซื้อไว้ก่อนนะครับ เพื่อป้องกันผลกระทบจากการไม่สวมเสื้อไรเดอร์ระหว่างปฏิบัติงานครับ”</t>
  </si>
  <si>
    <t>แอดมินแจ้งแล้วว่าสามารถสอบถามเพิ่มเติมได้ แต่ยังควรบอกขั้นตอนต่อไปให้ชัดกว่านี้ เช่น หากสั่งซื้อเสื้อแล้วสามารถติดต่อกลับมาเพื่อติดตามสถานะได้ และควรเก็บหลักฐานการชำระเงินไว้ เผื่อต้องใช้ตรวจสอบภายหลัง
เงื่อนไขที่ใช้หักคะแนน: พลาดเล็กน้อย
หัก 3 คะแนน
ตัวอย่างที่เหมาะสมกว่า:
“หลังสั่งซื้อเรียบร้อย แนะนำให้เก็บสลิปไว้ด้วยนะครับ หากต้องการติดตามสถานะจัดส่ง สามารถแจ้ง RR และชื่อผู้สั่งซื้อให้แอดมินช่วยตรวจสอบเพิ่มเติมได้ครับ”</t>
  </si>
  <si>
    <t>ข้อความสั้น กระชับ อ่านง่าย และเข้าใจได้ทันที</t>
  </si>
  <si>
    <t>ใช้ภาษาสุภาพ เป็นธรรมชาติ และไม่มีคำผิดหรือข้อความกำกวม</t>
  </si>
  <si>
    <t>น้ำเสียงดี สุภาพ และพร้อมช่วยเหลือ แต่หากมีการแสดงความเข้าใจสถานการณ์ของพี่ไรเดอร์เพิ่มเติม จะช่วยให้บทสนทนาดูใส่ใจมากขึ้น
เงื่อนไขที่ใช้หักคะแนน: พลาดเล็กน้อย
หัก 1 คะแนน</t>
  </si>
  <si>
    <t>ไรเดอร์สอบถามช่องทางการสั่งซื้อเสื้อสำหรับวิ่งงาน (Rider Equipment Purchase Inquiry)</t>
  </si>
  <si>
    <t>พี่ไรเดอร์แจ้งว่าเสื้อหายและสอบถามว่าสามารถสั่งซื้อใหม่ผ่านช่องทางใดได้บ้าง แอดมินมีการส่งลิงก์สำหรับสั่งซื้อเสื้อให้ถูกต้อง แต่คำตอบยังไม่ครบตาม Process เพราะไม่ได้แจ้งรายละเอียดการสั่งซื้อ ระยะเวลาจัดส่ง รวมถึงข้อควรระวังเรื่องการไม่สวมเสื้อไรเดอร์ขณะปฏิบัติงาน</t>
  </si>
  <si>
    <t>https://drive.google.com/open?id=1IRdJyCgjIn1Usl8t5Ic-1MgLb8jDzvWu</t>
  </si>
  <si>
    <t>AA238450</t>
  </si>
  <si>
    <t>https://app.oho.chat/business/6805c0f16232119d2a1204b5/smartchat?room=6a07ff1280691639268a2e21</t>
  </si>
  <si>
    <t>แอดมินมีการทักทาย แนะนำตัว และปิดการสนทนาสุภาพครบถ้วน
เงื่อนไขที่ใช้หักคะแนน: ไม่พบข้อผิดพลาด</t>
  </si>
  <si>
    <t>แอดมินมีการขอข้อมูลร้านค้าเพื่อใช้ตรวจสอบ แต่ยังไม่ได้ขอข้อมูลยืนยันตัวตนของผู้จดทะเบียนร้านค้าตาม Process ได้แก่ ชื่อ-นามสกุล และเลขบัตรประชาชน 5 หลักสุดท้าย
เงื่อนไขที่ใช้หักคะแนน: พลาดปานกลาง
หัก 3 คะแนน
ตัวอย่างที่เหมาะสมกว่า:
“รบกวนแจ้งชื่อ-นามสกุล และเลขบัตรประชาชน 5 หลักสุดท้ายของผู้จดทะเบียนร้านค้าเพิ่มเติม เพื่อยืนยันตัวตนก่อนตรวจสอบข้อมูลครับ”</t>
  </si>
  <si>
    <t>แอดมินตรวจสอบและอธิบายรอบการโอนเงินได้ถูกต้อง รวมถึงแจ้งกรณีออเดอร์หลัง 20:00 น. จะเข้ารอบวันถัดไปตาม Process ของ SCB แต่ยังไม่ได้แนะนำช่องทางตรวจสอบ Merchant Portal หรืออีเมลรายงานยอดขายเพิ่มเติม
เงื่อนไขที่ใช้หักคะแนน: พลาดเล็กน้อย
หัก 2 คะแนน</t>
  </si>
  <si>
    <t>ข้อมูลที่แอดมินแจ้งถูกต้องตรงตาม Process โดยออเดอร์จัดส่งสำเร็จหลังเวลา 20:00 น. จึงเข้ารอบโอนวันถัดไปสำหรับธนาคาร SCB
เงื่อนไขที่ใช้หักคะแนน: ไม่พบข้อผิดพลาด</t>
  </si>
  <si>
    <t>แอดมินแจ้งรอบการโอนเงินได้ถูกต้อง แต่คำตอบยังไม่ครบ เพราะไม่ได้:
แจ้งช่องทาง Merchant Portal สำหรับตรวจสอบยอดย้อนหลัง
แนะนำตรวจสอบอีเมลรายงานยอดขาย
แจ้งแนวทางหากยังไม่ได้รับเงินหลังครบ SLA
เงื่อนไขที่ใช้หักคะแนน: พลาดปานกลาง
หัก 3 คะแนน
ตัวอย่างที่เหมาะสมกว่า:
“ร้านค้าสามารถตรวจสอบยอดย้อนหลังเพิ่มเติมได้ผ่าน Merchant Portal หรืออีเมลรายงานยอดขายนะครับ หากพ้นรอบโอนแล้วยังไม่ได้รับเงิน สามารถติดต่อกลับมาเพื่อให้แอดมินเปิดเคสตรวจสอบเพิ่มเติมได้ครับ”</t>
  </si>
  <si>
    <t>คำตอบอ่านเข้าใจง่าย แจ้งสาเหตุและรอบโอนได้ชัดเจน แต่ยังไม่ได้ระบุเวลารอบโอนของ SCB แบบละเอียด เช่น หลัง 20:01 น. เป็นต้นไป
เงื่อนไขที่ใช้หักคะแนน: พลาดเล็กน้อย
หัก 1 คะแนน</t>
  </si>
  <si>
    <t>แอดมินวิเคราะห์สาเหตุได้ตรงจุดจากเวลาออเดอร์สำเร็จ และสามารถอธิบายได้ว่าทำไมร้านค้ายังไม่ได้รับยอดเงินในรอบปัจจุบัน ถือว่าช่วยคลายข้อสงสัยได้ดี
เงื่อนไขที่ใช้หักคะแนน: พลาดเล็กน้อย
หัก 2 คะแนน
เนื่องจากยังไม่มีการเช็กต่อว่าร้านค้าได้รับเงินจริงในรอบถัดไปหรือไม่ หรือแนะนำแนวทางติดตามเพิ่มเติมหากเกิน SLA</t>
  </si>
  <si>
    <t>แอดมินแจ้งให้ร้านค้าติดต่อกลับได้หากมีปัญหาเพิ่มเติม ถือว่ามีการดูแลต่อในระดับหนึ่ง แต่ยังควรแจ้งขั้นตอนให้ชัดกว่านี้กรณีเงินยังไม่เข้าเกินรอบโอน เช่น ต้องรอกี่วัน ตรวจสอบจากช่องทางใด หรือควรส่งข้อมูลอะไรกลับมาให้แอดมินตรวจสอบต่อ
เงื่อนไขที่ใช้หักคะแนน: พลาดเล็กน้อย
หัก 2 คะแนน
ตัวอย่างที่เหมาะสมกว่า:
“หากพ้นรอบโอนวันถัดไปแล้วยังไม่ได้รับยอด ร้านค้าสามารถแจ้งกลับเข้ามาได้ทันทีนะครับ แอดมินจะช่วยเปิดเคสติดตามเพิ่มเติมให้ครับ”</t>
  </si>
  <si>
    <t>ข้อความเรียงลำดับดี อ่านง่าย และแบ่งข้อมูลชัดเจน</t>
  </si>
  <si>
    <t>ใช้ภาษาสุภาพ อ่านเข้าใจง่าย และไม่พบคำผิด</t>
  </si>
  <si>
    <t>น้ำเสียงสุภาพ เหมาะสม และสื่อสารในเชิงช่วยเหลือได้ดีตลอดบทสนทนา</t>
  </si>
  <si>
    <t>ร้านค้าสอบถามยอดเงินโอน / ค่ารอบโอน (Merchant Payout Inquiry)</t>
  </si>
  <si>
    <t>ร้านค้าแจ้งว่ายังไม่ได้รับยอดเงินโอนของออเดอร์ 260515-SG-0433 แอดมินมีการตรวจสอบสถานะออเดอร์และอธิบายรอบการโอนเงินได้ถูกต้อง โดยแจ้งว่าออเดอร์สำเร็จหลังเวลา 20:00 น. จึงเข้ารอบโอนวันถัดไปสำหรับบัญชี SCB แต่ยังขอข้อมูลยืนยันตัวตนไม่ครบตาม Process และยังไม่ได้แนะนำช่องทาง Merchant Portal หรืออีเมลสำหรับตรวจสอบยอดย้อนหลังเพิ่มเติม</t>
  </si>
  <si>
    <t>https://drive.google.com/open?id=1nScZzLv5Usjio648N-qcGtSCPHkXLCG6</t>
  </si>
  <si>
    <t>AA237005</t>
  </si>
  <si>
    <t>https://app.oho.chat/business/6805c0f16232119d2a1204b5/smartchat?room=68330f672cc1bf1b5ca9d081</t>
  </si>
  <si>
    <t>มีการทักทาย แนะนำตัว และปิดการสนทนาสุภาพครบถ้วน</t>
  </si>
  <si>
    <t>แอดมินมีการขอข้อมูลร้านค้าเพื่อใช้ตรวจสอบ ได้แก่ ชื่อร้าน เบอร์โทรศัพท์ และ Shop ID ได้ถูกต้อง แต่ยังไม่ได้ยืนยันตัวตนผู้จดทะเบียนร้านค้าตาม Process เช่น ชื่อ-นามสกุล และเลขบัตรประชาชน 5 หลักสุดท้าย
เงื่อนไขที่ใช้หักคะแนน: พลาดเล็กน้อย
หัก 2 คะแนน</t>
  </si>
  <si>
    <t>แอดมินดำเนินการตาม Process ได้ค่อนข้างครบ ทั้งการตรวจสอบ GP และอธิบายโครงสร้างค่าธรรมเนียม แต่ยังไม่ได้ตรวจสอบเพิ่มเติมว่าร้านค้าอยู่ในโปรแกรมพิเศษ เช่น “ราคาเท่าหน้าร้าน” หรือ GP Rate อื่นหรือไม่ ซึ่งอาจมีผลต่อสูตรคำนวณ
เงื่อนไขที่ใช้หักคะแนน: พลาดเล็กน้อย
หัก 1 คะแนน</t>
  </si>
  <si>
    <t>ข้อมูล GP 28%, VAT และค่าธรรมเนียมการชำระเงิน 1.98% ที่แอดมินอธิบายถือว่าถูกต้องตาม Process และสูตรคำนวณโดยรวมถูกต้อง
อย่างไรก็ตาม แอดมินสรุปว่า “ร้านจะได้รับประมาณ 68.65% ของยอดขาย” ซึ่งเป็นการประมาณแบบกลาง ๆ อาจคลาดเคลื่อนเล็กน้อยตามโครงสร้างภาษีจริงของแต่ละร้าน
เงื่อนไขที่ใช้หักคะแนน: พลาดเล็กน้อย
หัก 1 คะแนน</t>
  </si>
  <si>
    <t>แม้แอดมินจะอธิบายสูตรละเอียด แต่ยังตอบไม่ครบตามคำถามร้านค้า เพราะร้านค้าถามราคาหลายช่วง ได้แก่ 45 / 50 / 55 / 60 / 10 บาท แต่แอดมินยกตัวอย่างคำนวณเพียงราคา 55 บาทเท่านั้น
เงื่อนไขที่ใช้หักคะแนน: พลาดปานกลาง
หัก 4 คะแนน
ตัวอย่างที่เหมาะสมกว่า:
ขายหน้าร้าน 45 บาท → ตั้งประมาณ 66 บาท
ขายหน้าร้าน 50 บาท → ตั้งประมาณ 73 บาท
ขายหน้าร้าน 55 บาท → ตั้งประมาณ 81 บาท
ขายหน้าร้าน 60 บาท → ตั้งประมาณ 88 บาท
ขายหน้าร้าน 10 บาท → ตั้งประมาณ 15 บาท
จะช่วยให้ร้านค้านำไปใช้งานได้ทันทีและตอบตรงคำถามมากกว่า</t>
  </si>
  <si>
    <t>แม้ข้อมูลถูกต้อง แต่การอธิบายค่อนข้างยาวและใช้ภาษาทางเทคนิคเยอะ เช่น “กำไรขั้นต้น”, “VAT ของ GP”, “ค่าธรรมเนียมการชำระเงิน” ทำให้ร้านค้าอาจเข้าใจยาก
เงื่อนไขที่ใช้หักคะแนน: พลาดปานกลาง
หัก 2 คะแนน
ควรสรุปเป็นตารางหรือคำนวณให้เลยตามราคาที่ร้านถาม จะเข้าใจง่ายกว่า</t>
  </si>
  <si>
    <t>แอดมินเข้าใจว่าร้านค้าต้องการคำนวณราคาขายสุทธิหลังหัก GP และช่วยวิเคราะห์สูตรให้ได้ถูกทิศทาง ถือว่าช่วยแก้ปัญหาได้ดี
แต่ยังไม่ตอบในรูปแบบที่ร้านค้านำไปใช้ได้ทันที เช่น ไม่คำนวณครบทุกตัวเลขที่ถาม
เงื่อนไขที่ใช้หักคะแนน: พลาดเล็กน้อย
หัก 3 คะแนน</t>
  </si>
  <si>
    <t>แอดมินแจ้งว่าสามารถสอบถามเพิ่มเติมได้ ถือว่ามีการดูแลต่อในระดับหนึ่ง แต่ยังควรต่อยอดการช่วยเหลือให้มากขึ้น เช่น เสนอช่วยคำนวณราคาเพิ่มเติม หรือแจ้งว่าร้านค้าสามารถส่งเมนูมาให้ช่วยประเมินราคาที่ควรตั้งในแอปได้
เงื่อนไขที่ใช้หักคะแนน: พลาดเล็กน้อย
หัก 2 คะแนน</t>
  </si>
  <si>
    <t>ข้อความแบ่งเป็นขั้นตอนชัดเจน แต่รายละเอียดค่อนข้างแน่น อ่านยากเล็กน้อยสำหรับร้านค้าทั่วไป
เงื่อนไขที่ใช้หักคะแนน: พลาดเล็กน้อย
หัก 1 คะแนน</t>
  </si>
  <si>
    <t>ใช้ภาษาสุภาพ และไม่พบคำผิด</t>
  </si>
  <si>
    <t>น้ำเสียงสุภาพ พร้อมช่วยเหลือ และเหมาะสมกับการให้ข้อมูลร้านค้า</t>
  </si>
  <si>
    <t>สอบถามการคำนวณ GP / ราคาขายบนแอป (Merchant GP &amp; Pricing Inquiry)</t>
  </si>
  <si>
    <t>ร้านค้าสอบถามว่าหากต้องการขายหน้าร้านในราคาต่าง ๆ ควรตั้งราคาในแอปเท่าไร แอดมินมีการตรวจสอบข้อมูลร้านค้า และอธิบายโครงสร้าง GP, VAT และค่าธรรมเนียมการชำระเงินได้ค่อนข้างละเอียด พร้อมยกตัวอย่างสูตรคำนวณให้ร้านค้าเข้าใจแนวทางการตั้งราคาได้ อย่างไรก็ตาม คำตอบยังไม่ตอบตรงครบทุกราคาที่ร้านค้าถาม และมีบางจุดที่อธิบายซับซ้อนเกินจำเป็นสำหรับร้านค้า</t>
  </si>
  <si>
    <t>https://drive.google.com/open?id=1K5hikh9cg9ItJo4aqwXa1X-xDzNeq2aQ</t>
  </si>
  <si>
    <t>AA236969</t>
  </si>
  <si>
    <t>https://app.oho.chat/business/6805c0f16232119d2a1204b5/smartchat?room=6a03fa9942d6c1f43962a1a2</t>
  </si>
  <si>
    <t>แอดมินทักทาย แนะนำตัว และปิดการสนทนาครบถ้วน สุภาพ มีการถามก่อนปิดแชทว่าต้องการให้ช่วยเหลือเพิ่มเติมหรือไม่</t>
  </si>
  <si>
    <t>แอดมินขอข้อมูลเท่าที่จำเป็น คือหมายเลขคำสั่งซื้อหรือเบอร์โทรศัพท์ที่ใช้งานในระบบ และมีการยืนยันออเดอร์กับคุณลูกค้าก่อนแจ้งรายละเอียด ไม่พบการเปิดเผยข้อมูลส่วนบุคคลเกินความจำเป็น</t>
  </si>
  <si>
    <t>แอดมินทำตาม Flow ได้ดี มีการขอข้อมูล ตรวจสอบออเดอร์ ยืนยันรายการ และแจ้งผลการคืนเงินตามช่องทางชำระเงิน แต่จุดที่ควรแก้คือระยะเวลาคืนเงินของ K PLUS ตาม Process ต้องแจ้งว่า “ภายใน 2 วันทำการ” ไม่ใช่ “1–2 วันทำการ” เพราะอาจทำให้ลูกค้าเข้าใจระยะเวลาคืนเงินไม่ชัดเจน
เงื่อนไขที่ใช้หักคะแนน: พลาดเล็กน้อย
หัก 1 คะแนน
ตัวอย่างที่เหมาะสมกว่า:
“สำหรับช่องทาง K PLUS ระบบจะคืนเงินเข้าบัญชีธนาคารภายใน 2 วันทำการนะคะ หากเกินระยะเวลาดังกล่าวแล้วยังไม่ได้รับเงินคืน สามารถติดต่อกลับมาให้แอดมินช่วยตรวจสอบเพิ่มเติมได้ค่ะ”</t>
  </si>
  <si>
    <t>คำตอบหลักถูกต้อง เพราะตรวจสอบแล้วพบว่าออเดอร์ถูกยกเลิกโดยลูกค้า และชำระผ่าน KBANK / K PLUS จริง แต่ระยะเวลาคืนเงินที่แอดมินแจ้งว่า “1–2 วันทำการ” ยังไม่ตรงตาม Process เนื่องจาก K PLUS ต้องแจ้งว่า “ภายใน 2 วันทำการ” เพื่อให้ข้อมูลชัดเจนและตรงมาตรฐาน
เงื่อนไขที่ใช้หักคะแนน: พลาดเล็กน้อย
หัก 1 คะแนน
ตัวอย่างที่เหมาะสมกว่า:
“ออเดอร์ 260512-SE-0036 ถูกยกเลิกแล้ว และระบบจะคืนเงินกลับผ่านช่องทาง K PLUS ภายใน 2 วันทำการค่ะ”</t>
  </si>
  <si>
    <t>ตอบครบตามที่คุณลูกค้าถาม มีการแจ้งสถานะออเดอร์ สาเหตุการยกเลิก ช่องทางคืนเงิน ระยะเวลาคืนเงิน และแจ้งให้ติดต่อกลับได้หากยังไม่ได้รับเงินคืน</t>
  </si>
  <si>
    <t>โดยรวมอธิบายเข้าใจง่าย แต่ควรระบุ “วันทำการ” ให้ชัด และแจ้งให้ตรงกับช่องทาง K PLUS แบบไม่คลุมเครือ
เงื่อนไขที่ใช้หักคะแนน: พลาดเล็กน้อย
หัก 1 คะแนน
ตัวอย่างที่เหมาะสมกว่า:
“ระยะเวลานี้นับเป็นวันทำการ ไม่รวมวันเสาร์-อาทิตย์และวันหยุดนักขัตฤกษ์นะคะ”</t>
  </si>
  <si>
    <t>แอดมินตรวจสอบได้ตรงประเด็นจากเบอร์โทรศัพท์ที่ลูกค้าแจ้ง และสามารถระบุออเดอร์ที่เกี่ยวข้องได้ถูกต้อง พร้อมยืนยันกับลูกค้าก่อนแจ้งผล</t>
  </si>
  <si>
    <t>แอดมินแจ้งขั้นตอนต่อไปได้ชัดเจนแล้วว่า หากลูกค้าไม่ได้รับเงินคืนภายในเวลาที่แจ้ง สามารถติดต่อกลับมาเพื่อตรวจสอบและติดตามได้ จุดที่ควรเพิ่มอีกนิดคือควรแจ้งให้ชัดว่า หากเกินระยะเวลาตาม SLA แล้ว แอดมินจะช่วยส่งเรื่องตรวจสอบต่อให้
เงื่อนไขที่ใช้หักคะแนน: พลาดเล็กน้อย
หัก 1 คะแนน
ตัวอย่างที่เหมาะสมกว่า:
“หากเกิน 2 วันทำการแล้วยังไม่ได้รับเงินคืน แอดมินจะช่วยตรวจสอบสถานะและส่งเรื่องติดตามให้เพิ่มเติมค่ะ”</t>
  </si>
  <si>
    <t>ข้อความเรียงลำดับดี อ่านเข้าใจง่าย มีการแยกช่องทาง K PLUS ชัดเจน</t>
  </si>
  <si>
    <t>ภาษาโดยรวมสุภาพ กระชับ และไม่มีคำผิดที่กระทบความเข้าใจ</t>
  </si>
  <si>
    <t>น้ำเสียงสุภาพ ให้ความช่วยเหลือดี และเหมาะกับเคสที่ลูกค้ากังวลเรื่องเงินคืน</t>
  </si>
  <si>
    <t>ติดตามสถานะเงินคืนจากออเดอร์ยกเลิก (Refund Status Inquiry)</t>
  </si>
  <si>
    <t>ลูกค้าสอบถามว่าเมื่อวานยกเลิกออเดอร์แล้วแต่ยังไม่ได้รับเงินคืน แอดมินขอข้อมูลสำหรับตรวจสอบ ตรวจสอบพบคำสั่งซื้อ 260512-SE-0036 และยืนยันกับคุณลูกค้าก่อนแจ้งผล จากนั้นแจ้งว่าคำสั่งซื้อถูกยกเลิกโดยลูกค้า และเงินจะคืนผ่านช่องทาง K PLUS ตามระยะเวลาที่กำหนด โดยรวมตอบถูกทิศทาง สุภาพ และปิดแชทครบ แต่การแจ้ง SLA ควรชัดกว่านี้ เพราะ Process ระบุ K PLUS คืนภายใน 2 วันทำการ ไม่ควรแจ้งกว้างเป็น 1-2 วันทำการ</t>
  </si>
  <si>
    <t>https://drive.google.com/open?id=1VyZMJeOTvnO57XaL75IDgZ5rjplDIcwB</t>
  </si>
  <si>
    <t>AA238152</t>
  </si>
  <si>
    <t>https://app.oho.chat/business/6805c0f16232119d2a1204b5/smartchat?room=6a0313b4000f3c8625e338a7</t>
  </si>
  <si>
    <t>แอดมินมีการทักทาย แนะนำตัว และปิดการสนทนาครบถ้วน สุภาพ มีการแจ้งให้ร้านค้าติดต่อกลับได้หากต้องการสอบถามเพิ่มเติม</t>
  </si>
  <si>
    <t>แอดมินตรวจสอบและแจ้งสถานะร้านค้าให้ทราบ แต่ยังไม่ได้ขอยืนยันตัวตนตาม Process เช่น ชื่อ-นามสกุลผู้จดทะเบียน และเลขบัตรประชาชน 5 หลักสุดท้าย ก่อนให้ข้อมูลสถานะร้านค้า ถือว่าเป็นการข้ามขั้นตอนยืนยันตัวตน แม้ข้อมูลที่แจ้งไม่ได้เป็นข้อมูลอ่อนไหวมาก แต่ยังเป็นข้อมูลสถานะบัญชีร้านค้า
เงื่อนไขที่ใช้หักคะแนน: พลาดปานกลาง
หัก 3 คะแนน
ตัวอย่างที่เหมาะสมกว่า:
“เพื่อความปลอดภัยของข้อมูล รบกวนยืนยันชื่อ-นามสกุลผู้จดทะเบียนร้านค้า และเลขบัตรประชาชน 5 หลักสุดท้ายก่อนนะคะ จากนั้นแอดมินจะตรวจสอบสถานะการอนุมัติร้านค้าให้ค่ะ”</t>
  </si>
  <si>
    <t>แอดมินตรวจสอบสถานะร้านค้าและแจ้งผลได้ถูกต้องแล้ว แต่ขั้นตอนยังไม่ครบ เพราะไม่ได้ยืนยันตัวตนก่อนตรวจสอบ และไม่ได้อธิบายให้ชัดตั้งแต่แรกว่า โดยปกติการอนุมัติใช้เวลาภายใน 3 วันทำการ รวมถึงหากร้านค้ายังไม่ผ่านอนุมัติหรือยังเข้าใช้งานไม่ได้ ต้องดำเนินการอย่างไรต่อ แต่สำหรับเคสนี้ร้านค้าได้รับอนุมัติแล้ว จึงไม่จำเป็นต้องเปิดเคส Support Center เพิ่ม
เงื่อนไขที่ใช้หักคะแนน: พลาดเล็กน้อย
หัก 2 คะแนน
ตัวอย่างที่เหมาะสมกว่า:
“จากการตรวจสอบ Shop ID 397801 ร้านค้าได้รับการอนุมัติเรียบร้อยแล้วค่ะ สามารถเข้าสู่ระบบและเปิดรับออเดอร์ได้ตามปกติ หากยังเข้าใช้งานไม่ได้ รบกวนแจ้งหน้าจอที่พบปัญหาเพิ่มเติม เพื่อให้แอดมินตรวจสอบต่อได้ค่ะ”</t>
  </si>
  <si>
    <t>คำตอบหลักถูกต้อง เพราะจากข้อมูลที่ให้มา Shop ID 397801 ได้รับการอนุมัติแล้ว และร้านค้ายืนยันกลับว่า “อนุมัติแล้วค่ะ”</t>
  </si>
  <si>
    <t>แอดมินแจ้งได้ครบว่าร้านค้าอนุมัติแล้วและสามารถเข้าใช้งานเพื่อเปิดรับออเดอร์ได้ แต่ควรเสริมว่า หากร้านค้ายังเข้าไม่ได้ ให้ส่งภาพหน้าจอปัญหากลับมาเพื่อให้แอดมินตรวจสอบต่อ
เงื่อนไขที่ใช้หักคะแนน: พลาดเล็กน้อย
หัก 1 คะแนน
ตัวอย่างที่เหมาะสมกว่า:
“ร้านค้าได้รับการอนุมัติแล้วค่ะ สามารถเข้าสู่ระบบและเปิดรับออเดอร์ได้ตามปกติ หากลองเข้าแล้วพบข้อความแจ้งเตือนหรือยังเปิดร้านไม่ได้ รบกวนส่งภาพหน้าจอเข้ามาให้แอดมินตรวจสอบเพิ่มเติมได้เลยค่ะ”</t>
  </si>
  <si>
    <t>ข้อความแจ้งผลเข้าใจง่าย ไม่ซับซ้อน และมีขั้นตอนต่อให้ร้านค้าลองเข้าไปตรวจสอบก่อน หากยังไม่ได้ให้แจ้งแอดมินได้ทันที</t>
  </si>
  <si>
    <t>แอดมินตรวจสอบตรงกับคำถามของร้านค้า คือสถานะการอนุมัติร้านค้า และแจ้งผลได้ตรงจุดว่าร้านค้าได้รับการอนุมัติแล้ว</t>
  </si>
  <si>
    <t>แอดมินแจ้งขั้นตอนต่อไปได้ชัดเจน โดยให้ร้านค้าลองเข้าสู่ระบบเพื่อตรวจสอบก่อน และหากยังไม่สามารถเข้าสู่ระบบหรือเปิดร้านค้าได้ สามารถแจ้งแอดมินกลับมาได้ทันที ถือว่าช่วยให้ร้านค้ารู้ว่าต้องทำอย่างไรต่อ</t>
  </si>
  <si>
    <t>ข้อความเรียงลำดับดี อ่านง่าย ไม่ยาวเกินไป และแยกประเด็นชัดเจน</t>
  </si>
  <si>
    <t>โดยรวมภาษาเข้าใจง่ายและสุภาพ แต่มีคำสะกดที่ควรปรับ เช่น “ซักครู่” ควรใช้ “สักครู่” เพื่อความถูกต้องของภาษา
เงื่อนไขที่ใช้หักคะแนน: พลาดเล็กน้อย
หัก 1 คะแนน
ตัวอย่างที่เหมาะสมกว่า:
“แอดมินขออนุญาตตรวจสอบข้อมูลร้านค้าให้สักครู่นะคะ”</t>
  </si>
  <si>
    <t>น้ำเสียงสุภาพ ให้ความช่วยเหลือดี และมีการตอบรับร้านค้าเมื่อร้านค้าขอลองเข้าไปเช็คก่อน</t>
  </si>
  <si>
    <t>ร้านค้าสอบถามสถานะการอนุมัติร้านค้า (Merchant Approval Status Inquiry)</t>
  </si>
  <si>
    <t>ร้านค้าสอบถามว่าเพิ่มอีเมลผู้จัดการสาขาแล้ว แต่ทำไมยังไม่ผ่านอนุมัติ แอดมินตรวจสอบ Shop ID 397801 และแจ้งว่าร้านค้าได้รับการอนุมัติเรียบร้อยแล้ว สามารถเข้าสู่ระบบและเปิดรับออเดอร์ได้ตามปกติ โดยคำตอบหลักถูกต้องและร้านค้ายืนยันว่าอนุมัติแล้ว แต่จุดที่ขาดคือไม่ได้ยืนยันตัวตนร้านค้าก่อนตรวจสอบ/แจ้งข้อมูลสถานะ และไม่ได้แจ้งกรอบระยะเวลาหรือแนวทางกรณีร้านค้ายังเข้าใช้งานไม่ได้ให้ครบตั้งแต่แรก</t>
  </si>
  <si>
    <t>https://drive.google.com/open?id=14_nEj6i5G8slUv4OkYu_4-rudN50FG3a</t>
  </si>
  <si>
    <t>AA237954</t>
  </si>
  <si>
    <t>https://app.oho.chat/business/6805c0f16232119d2a1204b5/smartchat?room=6a06a0bd535f2360c39683f4</t>
  </si>
  <si>
    <t>แอดมินมีการทักทาย แนะนำตัว และปิดการสนทนาครบถ้วน สุภาพ เหมาะสมตามมาตรฐาน</t>
  </si>
  <si>
    <t>แอดมินขอข้อมูลร้านค้าเพื่อใช้ตรวจสอบ และมีการยืนยันตัวตนด้วยชื่อ-นามสกุล พร้อมเลขท้ายบัตรประชาชน 5 หลักก่อนแจ้งข้อมูลสถานะร้านค้า ถือว่าทำได้ถูกต้องตาม Process และไม่พบการเปิดเผยข้อมูลเกินความจำเป็น</t>
  </si>
  <si>
    <t>แอดมินดำเนินการตาม Flow หลักได้ดี มีการขอข้อมูลร้านค้า ยืนยันตัวตน ตรวจสอบสถานะ และแจ้งผลกลับร้านค้า แต่ยังควรแจ้งขั้นตอนต่อให้ชัดขึ้นอีกนิด เช่น ถ้าร้านค้าต้องการเปิดร้านเองต้องเข้าเมนูไหน หรือหากยังขึ้นสถานะซ่อนอยู่ให้ส่งภาพหน้าจอกลับมาให้ตรวจสอบต่อ
เงื่อนไขที่ใช้หักคะแนน: พลาดเล็กน้อย
หัก 1 คะแนน
ตัวอย่างที่เหมาะสมกว่า:
“จากการตรวจสอบ Shop ID 175099 สถานะร้านค้าอัปเดตแล้วค่ะ คุณร้านค้าสามารถเข้าแอป Robinhood Shop เพื่อตรวจสอบสถานะร้านและเปิดรับออเดอร์ได้เลยนะคะ หากยังขึ้นว่าซ่อนอยู่ หรือเปิดร้านไม่ได้ รบกวนส่งภาพหน้าจอมาให้แอดมินตรวจสอบเพิ่มเติมได้เลยค่ะ”</t>
  </si>
  <si>
    <t>คำตอบถูกต้องตามข้อมูลเคส เพราะหลังแอดมินตรวจสอบ ร้านค้าสามารถกลับมาเปิดใช้งานได้ และร้านค้ายืนยันว่า “ได้แล้วค่ะ ขอบคุณมากค่ะ”</t>
  </si>
  <si>
    <t>ตอบประเด็นหลักครบว่า Shop ID 175099 สามารถเปิดร้านค้าได้ตามปกติแล้ว แต่ยังควรเสริมรายละเอียดขั้นตอนให้ร้านค้าทราบชัดขึ้นว่าต้องกดเปิดร้านตรงไหน หรือควรตรวจสอบเมนู/เวลาเปิดปิดร้านเพิ่มเติมหรือไม่ เพราะร้านค้าเริ่มต้นถามว่า “จะเปิดกดตรงไหน”
เงื่อนไขที่ใช้หักคะแนน: พลาดเล็กน้อย
หัก 1 คะแนน
ตัวอย่างที่เหมาะสมกว่า:
“ตอนนี้ร้านค้าสามารถเปิดใช้งานได้ตามปกติแล้วค่ะ รบกวนคุณร้านค้าลองเข้าแอป Robinhood Shop ไปที่หน้าจัดการร้านค้า เพื่อตรวจสอบสถานะร้าน/เวลาเปิด-ปิด และเมนูที่เปิดขายอีกครั้งนะคะ หากยังไม่แสดงบนแอปหรือยังขึ้นว่าซ่อนอยู่ แจ้งแอดมินได้เลยค่ะ”</t>
  </si>
  <si>
    <t>ข้อความแจ้งผลเข้าใจง่าย แต่ยังตอบคำถามหลักได้ไม่ครบ เพราะร้านค้าถามว่า “จะเปิดกดตรงไหน” แอดมินควรอธิบายขั้นตอนการเปิดร้านให้เป็นลำดับ หรือแจ้งแนวทางตรวจสอบต่อ เช่น ต้องเข้าเมนูใด หากยังขึ้นสถานะซ่อนอยู่ให้ส่งภาพหน้าจอกลับมา เพื่อให้แอดมินตรวจสอบเพิ่มเติม
เงื่อนไขที่ใช้หักคะแนน: พลาดเล็กน้อย
หัก 1 คะแนน
ตัวอย่างที่เหมาะสมกว่า:
“หลังจากสถานะร้านค้าอัปเดตแล้ว คุณร้านค้าสามารถเข้าแอป Robinhood Shop เพื่อตรวจสอบสถานะร้านค้า และตรวจสอบเมนู/เวลาเปิด-ปิดร้านให้พร้อมขายได้เลยค่ะ”</t>
  </si>
  <si>
    <t>แอดมินเข้าใจปัญหาว่าร้านค้าต้องการกลับมาเปิดขาย และหน้าร้านขึ้นสถานะซ่อนอยู่ จึงตรวจสอบสถานะร้านค้าในระบบและแจ้งผลได้ตรงประเด็น ร้านค้าสามารถดำเนินการต่อได้จริง</t>
  </si>
  <si>
    <t>แอดมินรับเรื่อง ตรวจสอบ และแจ้งผลให้ร้านค้าทราบครบแล้ว แต่ยังควรบอกขั้นตอนต่อไปให้ชัดขึ้นอีกนิด เช่น ให้ร้านค้าลองเปิดร้าน ตรวจสอบเมนูและเวลาเปิด–ปิดร้าน หรือหากยังติดปัญหาให้ส่งภาพหน้าจอกลับมา เพื่อให้แอดมินตรวจสอบต่อ
เงื่อนไขที่ใช้หักคะแนน: พลาดเล็กน้อย
หัก 1 คะแนน
ตัวอย่างที่เหมาะสมกว่า:
“คุณร้านค้าลองเข้าใช้งานและเปิดร้านได้เลยนะคะ หากยังเปิดไม่ได้หรือยังขึ้นว่าซ่อนอยู่ รบกวนส่งภาพหน้าจอเข้ามาอีกครั้ง แอดมินจะตรวจสอบต่อให้ค่ะ”</t>
  </si>
  <si>
    <t>ข้อความเรียงลำดับดี แยกช่วงขอข้อมูล ตรวจสอบ และแจ้งผลชัดเจน อ่านเข้าใจง่าย</t>
  </si>
  <si>
    <t>โดยรวมภาษาสุภาพและเข้าใจง่าย แต่มีคำที่ควรปรับให้ถูกต้อง เช่น “ซักครู่” ควรใช้ “สักครู่” และคำว่า “อัพเดต” ควรใช้ “อัปเดต” เพื่อความถูกต้องของภาษา
เงื่อนไขที่ใช้หักคะแนน: พลาดเล็กน้อย
หัก 1 คะแนน
ตัวอย่างที่เหมาะสมกว่า:
“แอดมินขออนุญาตตรวจสอบข้อมูลร้านค้าในระบบให้สักครู่นะคะ”
“จากการตรวจสอบ Shop ID 175099 ขณะนี้สถานะร้านค้าอัปเดตแล้วค่ะ”</t>
  </si>
  <si>
    <t>น้ำเสียงสุภาพ เหมาะสมกับร้านค้า มีการขอบคุณและเปิดโอกาสให้สอบถามเพิ่มเติม ไม่พบถ้อยคำที่ทำให้ร้านค้ารู้สึกถูกตำหนิ</t>
  </si>
  <si>
    <t>ร้านค้าขอเปิดร้านค้าอีกครั้ง / ร้านค้าถูกซ่อนอยู่ (Merchant Re-activation Request / Hidden Store Status Inquiry)</t>
  </si>
  <si>
    <t>ร้านค้าติดต่อสอบถามว่าร้านปิดไปนานแล้ว ต้องการกลับมาขายเหมือนเดิม และหน้าร้านขึ้นสถานะ “ซ่อนอยู่” แอดมินขอข้อมูลร้านค้าและยืนยันตัวตนครบถ้วนก่อนตรวจสอบ จากนั้นตรวจสอบและแจ้งว่าร้านค้าอัปเดตสถานะแล้ว สามารถเปิดร้านค้าได้ตามปกติ โดยร้านค้ายืนยันว่าใช้งานได้แล้ว เคสนี้โดยรวมทำได้ดี ตรงตาม Process หลัก แต่ยังมีจุดเล็กน้อยที่ควรเพิ่ม คือควรอธิบายให้ชัดขึ้นว่าร้านค้าสามารถเปิดร้านได้เองตามขั้นตอนใด หรือถ้าเข้าไม่ได้ให้ส่งภาพหน้าจอ/แจ้งกลับมาเพื่อช่วยตรวจสอบต่อ</t>
  </si>
  <si>
    <t>https://drive.google.com/open?id=1KopBW8K7dn0VspTgoa8rn9ga7j6bNbr6</t>
  </si>
  <si>
    <t>AA239033</t>
  </si>
  <si>
    <t>https://app.oho.chat/business/6805c0f16232119d2a1204b5/smartchat?room=6a098fc8b3425a1ba605b879</t>
  </si>
  <si>
    <t>แอดมินทักทาย แนะนำตัว และปิดการสนทนาครบถ้วน ชื่อแอดมินปรากฏชัดเจนทั้งช่วงเริ่มต้นและช่วงปิดเคส น้ำเสียงสุภาพเหมาะส</t>
  </si>
  <si>
    <t>แอดมินขอชื่อร้านค้า เบอร์โทรศัพท์ และ Shop ID เพื่อใช้ตรวจสอบ แต่เคสนี้มีการแจ้งข้อมูลค่าธรรมเนียม/ส่วนลดดีดีพลัสของร้านค้า ซึ่งเป็นข้อมูลเฉพาะของร้าน ควรยืนยันตัวตนเจ้าของกิจการเพิ่มเติมด้วยชื่อ-นามสกุล และเลขท้ายบัตรประชาชน 5 หลักก่อนแจ้งรายละเอียดในระบบ
เงื่อนไขที่ใช้หักคะแนน: พลาดระดับกลาง
หัก 2 คะแนน
ตัวอย่างที่เหมาะสมกว่า:
“เพื่อความปลอดภัยของข้อมูล แอดมินรบกวนขอชื่อ-นามสกุลเจ้าของกิจการ และเลขท้ายบัตรประชาชน 5 หลัก เพื่อยืนยันข้อมูลก่อนตรวจสอบรายละเอียดส่วนลดดีดีพลัสของร้านค้านะคะ”</t>
  </si>
  <si>
    <t>แอดมินตอบกลับเร็ว ขอข้อมูลเพื่อตรวจสอบ และแจ้งผลภายในเวลาที่เหมาะสม แต่ Flow ยังไม่ครบในส่วนการยืนยันตัวตนก่อนแจ้งข้อมูลเฉพาะร้านค้า
เงื่อนไขที่ใช้หักคะแนน: พลาดเล็กน้อย
หัก 1 คะแนน
ตัวอย่างที่เหมาะสมกว่า:
“แอดมินขอข้อมูลร้านค้าและยืนยันตัวตนก่อนนะคะ จากนั้นจะตรวจสอบสถานะ GP/ส่วนลดดีดีพลัสในระบบให้ค่ะ”</t>
  </si>
  <si>
    <t>คำตอบถูกต้องตามข้อมูลในระบบ ร้านค้า Shop ID 397905 มีสถานะ DD Plus Active อยู่ที่ 30% และมี Processing Fee 1.85% ซึ่งเมื่อรวม VAT แล้วทำให้ยอดหักรวมประมาณ 33.44% ตามที่ร้านค้าสอบถาม</t>
  </si>
  <si>
    <t>แอดมินตอบประเด็นหลักครบว่า GP อยู่ที่ 30% และปัจจุบันไม่มีโปรแกรม GP 0% แล้ว พร้อมส่งภาพประกอบ แต่ควรอธิบายแยกให้ชัดขึ้นว่ายอดที่ร้านเห็นว่าโดนหัก 33.44% ไม่ใช่ GP อย่างเดียว แต่รวม VAT ของ GP และค่าธรรมเนียมการชำระเงินด้วย
เงื่อนไขที่ใช้หักคะแนน: พลาดเล็กน้อย
หัก 1 คะแนน
ตัวอย่างที่เหมาะสมกว่า:
“ยอดที่ร้านเห็นว่าถูกหักประมาณ 33.44% จะมาจาก GP 30% + VAT 7% ของค่า GP และค่าธรรมเนียมการชำระเงินค่ะ”</t>
  </si>
  <si>
    <t>แอดมินมีการส่งภาพอธิบายการคำนวณประกอบ ทำให้ร้านค้าเห็นที่มาของยอดหักได้ชัดเจน และคำอธิบายโดยรวมเข้าใจง่าย</t>
  </si>
  <si>
    <t>แอดมินจับประเด็นได้ถูกว่าร้านค้าสงสัยเรื่อง GP 0% และยอดหัก 33.44% จึงตรวจสอบสถานะ GP ของร้านค้าในระบบและตอบกลับตรงจุด</t>
  </si>
  <si>
    <t>แอดมินรับเรื่อง ตรวจสอบ และแจ้งผลได้ชัดเจน พร้อมเปิดโอกาสให้ร้านค้าสอบถามเพิ่มเติม แต่ยังควรเสริมขั้นตอนต่อไป เช่น แนะนำให้ร้านค้าตรวจสอบรายละเอียดรายได้หรือค่าธรรมเนียมใน Merchant Portal หรือแจ้งกลับมาหากต้องการให้ตรวจสอบออเดอร์ใดเพิ่มเติม
เงื่อนไขที่ใช้หักคะแนน: พลาดเล็กน้อย
หัก 1 คะแนน
ตัวอย่างที่เหมาะสมกว่า:
“คุณร้านค้าสามารถตรวจสอบรายละเอียดการหักค่าธรรมเนียมของแต่ละออเดอร์ได้จากรายงานใน Merchant Portal หรือหากต้องการให้แอดมินตรวจสอบออเดอร์ใดเพิ่มเติม แจ้งหมายเลขออเดอร์เข้ามาได้เลยนะคะ”</t>
  </si>
  <si>
    <t>ข้อความเรียงลำดับดี เริ่มจากขอข้อมูล ตรวจสอบ แจ้งผล และส่งภาพประกอบ อ่านเข้าใจง่าย ไม่ยาวจนเกินไป</t>
  </si>
  <si>
    <t>ภาษาสุภาพ กระชับ และไม่มีคำผิดสำคัญในข้อความของแอดมิน</t>
  </si>
  <si>
    <t>น้ำเสียงสุภาพ มีการขออภัยในความไม่สะดวก และสื่อสารกับร้านค้าอย่างเหมาะสม ไม่ทำให้ร้านค้ารู้สึกถูกตำหนิ</t>
  </si>
  <si>
    <t>ร้านค้าสอบถามส่วนลดดีดีพลัส / GP 0% (DD Plus / GP 0% Inquiry)</t>
  </si>
  <si>
    <t>ร้านค้าสอบถามว่าทำไมสมัครแล้วเห็นว่า GP 0% แต่เมื่อมีออเดอร์กลับถูกหักประมาณ 33.44% แอดมินขอข้อมูลร้านค้าเพื่อตรวจสอบ และแจ้งผลได้ตรงกับข้อมูลในระบบว่าร้านค้าอยู่ในส่วนลดดีดีพลัส 30% พร้อมส่งภาพอธิบายการคำนวณประกอบ ถือว่าคำตอบถูกต้องและช่วยให้ร้านค้าเข้าใจที่มาของยอดหักได้ดี จุดที่ยังขาดคือไม่ได้ยืนยันตัวตนเจ้าของกิจการก่อนแจ้งข้อมูลค่าธรรมเนียมของร้านค้า และยังควรอธิบายให้ครบว่า 33.44% มาจาก GP 30% + VAT ของ GP + ค่าธรรมเนียมการชำระเงิน</t>
  </si>
  <si>
    <t>https://drive.google.com/open?id=1yf7g81bsEnBCvAdYavtWgl48yOUaT4om</t>
  </si>
  <si>
    <t>AA238759</t>
  </si>
  <si>
    <t>แอดมินมีการทักทาย แนะนำตัว และปิดท้ายด้วยข้อความสุภาพ แต่การปิดเคสยังค่อนข้างเร็ว ทั้งที่พี่ไรเดอร์ย้ำให้แจ้งกลับผลตรวจสอบ จึงควรปิดด้วยการย้ำว่าจะติดตามและแจ้งผลกลับให้ชัดเจนกว่านี้
ตัวอย่างที่เหมาะสมกว่า:
“แอดมินรับเรื่องตรวจสอบให้นะคะ หากมีผลดำเนินการหรือความคืบหน้า จะแจ้งให้พี่ไรเดอร์ทราบอีกครั้งค่ะ”</t>
  </si>
  <si>
    <t>ไม่พบการเปิดเผยข้อมูลส่วนบุคคลเกินความจำเป็น และไม่ได้แจ้งข้อมูลของลูกค้า ร้านค้า หรือบุคคลอื่นให้พี่ไรเดอร์ทราบในแชท</t>
  </si>
  <si>
    <t>แอดมินตอบรับเร็วมาก แต่ขั้นตอนยังไม่ครบ เพราะกรณีพี่ไรเดอร์แจ้งว่าไม่ได้รับโบนัสงานไกลหรือค่าตอบแทนไม่ถูกต้อง ควรตรวจสอบข้อมูลที่เกี่ยวข้องก่อน เช่น Order ID ภาพแผนที่ ระยะทาง และรายรับที่ระบบแสดง จากนั้นหากพบว่ายอดมีส่วนต่างจึงควรเปิดเคสส่งตรวจสอบต่อ แต่ในเคสนี้แอดมินแจ้งเพียงว่าจะส่งเรื่องตรวจสอบ และยังไม่พบการเปิดเคสหรือแจ้งเลขอ้างอิงให้พี่ไรเดอร์ทราบ
ตัวอย่างที่เหมาะสมกว่า:
“แอดมินตรวจสอบเบื้องต้นจากออเดอร์ 260516-SG-8673 แล้ว ระบบแสดงรายรับสุทธิ 47 บาท แบ่งเป็นค่ารอบ 42 บาท และอินเซนทีฟ 5 บาทค่ะ เดี๋ยวแอดมินจะส่งเรื่องตรวจสอบระยะทาง/โบนัสรับงานไกลเพิ่มเติมให้ และจะแจ้งผลกลับอีกครั้งนะคะ”</t>
  </si>
  <si>
    <t>คำตอบของแอดมินไม่ได้ผิด เพราะมีการรับเรื่องไว้ตรวจสอบแล้ว แต่ยังให้ข้อมูลได้ไม่พอสำหรับเคสนี้ เนื่องจากในระบบมีข้อมูลเบื้องต้นอยู่แล้วว่าอินเซนทีฟแสดง 5 บาท และระยะทางรวมในระบบ 1 กม. ขณะที่พี่ไรเดอร์แจ้งว่าระยะทางจริง 13 กม. แอดมินจึงควรแจ้งข้อมูลที่ตรวจสอบพบก่อน แล้วค่อยบอกว่าจะส่งเรื่องตรวจสอบส่วนต่างต่อ ไม่ใช่ตอบกว้าง ๆ เพียงว่าจะส่งเรื่องตรวจสอบเท่านั้น
ตัวอย่างที่เหมาะสมกว่า:
“จากข้อมูลในระบบ ออเดอร์นี้แสดงค่ารอบ 42 บาท และอินเซนทีฟ 5 บาทค่ะ ส่วนกรณีที่พี่ไรเดอร์แจ้งว่าระยะทางจริง 13 กม. แอดมินจะส่งเรื่องให้ทีมที่เกี่ยวข้องตรวจสอบส่วนต่างให้นะคะ”</t>
  </si>
  <si>
    <t>คำตอบยังขาดหลายส่วนสำคัญ ได้แก่ ไม่แจ้งผลตรวจสอบเบื้องต้น ไม่แจ้งว่าต้องใช้หลักฐานอะไรเพิ่มเติม ไม่แจ้งระยะเวลาดำเนินการ และไม่แจ้งว่าจะติดตามผ่านช่องทางใด/เมื่อใด ทั้งที่พี่ไรเดอร์ขอให้แจ้งผลกลับ
ตัวอย่างที่เหมาะสมกว่า:
“รบกวนพี่ไรเดอร์ยืนยันเลขออเดอร์และส่งภาพแผนที่ที่เห็นระยะทางรวมอีกครั้งนะคะ แอดมินจะนำข้อมูลไปส่งตรวจสอบโบนัสรับงานไกล หากตรวจสอบแล้วพบว่ามีส่วนต่าง จะดำเนินการประสานงานให้ และจะแจ้งผลกลับให้ทราบค่ะ”</t>
  </si>
  <si>
    <t>แอดมินแจ้งว่าจะส่งเรื่องตรวจสอบแล้ว แต่ยังอธิบายขั้นตอนต่อไปไม่ชัด เพราะไม่ได้บอกพี่ไรเดอร์ว่าหลังจากนี้จะตรวจสอบเรื่องใด ใช้หลักฐานอะไรประกอบการพิจารณา และจะแจ้งผลกลับอย่างไร ทำให้พี่ไรเดอร์ยังไม่เข้าใจกระบวนการหลังจากส่งเรื่องตรวจสอบ
ตัวอย่างที่เหมาะสมกว่า:
“แอดมินจะนำ Order ID, รูปแผนที่ และข้อมูลรายรับในระบบส่งให้ทีมที่เกี่ยวข้องตรวจสอบโบนัสรับงานไกลนะคะ หากมีผลเพิ่มเติมจะแจ้งกลับให้พี่ไรเดอร์ทราบค่ะ”</t>
  </si>
  <si>
    <t>แอดมินเข้าใจว่าเป็นปัญหาเรื่องโบนัส/ค่าตอบแทน และรับเรื่องไว้ แต่ยังไม่วิเคราะห์จากข้อมูลที่มีในระบบให้ครบ เช่น รายรับสุทธิ 47 บาท ค่ารอบ 42 บาท อินเซนทีฟ 5 บาท และระยะทางรวมที่ระบบแสดง 1 กม. เทียบกับหลักฐานที่พี่ไรเดอร์แจ้ง 13 กม. จึงยังแก้ปัญหาได้ไม่สุด
ตัวอย่างที่เหมาะสมกว่า:
“จากข้อมูลที่ตรวจสอบ ระบบคำนวณระยะทางรวมไว้ 1 กม. และจ่ายอินเซนทีฟ 5 บาท แต่จากภาพที่พี่ไรเดอร์ส่งเข้ามาพบว่ามีระยะทางที่แจ้งประมาณ 13 กม. แอดมินจะส่งเรื่องให้ทีมตรวจสอบส่วนต่างให้นะคะ”</t>
  </si>
  <si>
    <t>แอดมินแจ้งว่าจะส่งเรื่องตรวจสอบแล้ว แต่ยังไม่พบการเปิดเคสหรือหลักฐานว่าส่งเรื่องต่อจริง รวมถึงไม่ได้แจ้งเลขอ้างอิงหรือระยะเวลาติดตามให้พี่ไรเดอร์ทราบ ทั้งที่พี่ไรเดอร์ขอให้แจ้งผลกลับ จึงทำให้การดูแลเคสยังไม่ชัดเจนและไม่ต่อเนื่องพอ
ตัวอย่างที่เหมาะสมกว่า:
“แอดมินรับเรื่องและส่งตรวจสอบโบนัสรับงานไกลของออเดอร์ 260516-SG-8673 ให้แล้วนะคะ หากทีมที่เกี่ยวข้องแจ้งผลกลับมา แอดมินจะแจ้งให้พี่ไรเดอร์ทราบอีกครั้งค่ะ”</t>
  </si>
  <si>
    <t>ข้อความสั้น อ่านง่าย แต่ยังสั้นเกินไปสำหรับเคสที่ต้องมีการตรวจสอบและติดตามผล ทำให้พี่ไรเดอร์ยังไม่เห็นภาพว่าดำเนินการอะไรให้แล้ว
ตัวอย่างที่เหมาะสมกว่า:
“แอดมินรับเรื่องตรวจสอบให้แล้วนะคะ โดยจะตรวจสอบจาก Order ID, ภาพแผนที่ และรายรับในระบบ หากมีผลเพิ่มเติมจะแจ้งกลับให้พี่ไรเดอร์ทราบค่ะ”</t>
  </si>
  <si>
    <t>ภาษาสุภาพ กระชับ และไม่พบคำผิดสำคัญในข้อความของแอดมิน</t>
  </si>
  <si>
    <t>น้ำเสียงสุภาพ แต่ยังขาดความเข้าใจความกังวลของพี่ไรเดอร์ เพราะพี่ไรเดอร์รู้สึกว่าได้ค่าตอบแทนไม่ถูกต้องและขอให้แจ้งผลกลับ ควรแสดงความเข้าใจและยืนยันการติดตามให้ชัดกว่านี้
ตัวอย่างที่เหมาะสมกว่า:
“เข้าใจพี่ไรเดอร์นะคะ เดี๋ยวแอดมินจะช่วยตรวจสอบส่วนต่างให้ละเอียด และหากมีความคืบหน้าจะแจ้งให้ทราบค่ะ”</t>
  </si>
  <si>
    <t>ไรเดอร์ขอตรวจสอบโบนัสรับงานไกล / ค่าตอบแทนพิเศษ (Long-Distance Bonus / Special Incentive Inquiry)</t>
  </si>
  <si>
    <t>พี่ไรเดอร์แจ้งว่ารับงานไกลประมาณ 13 กม. แต่ได้รับอินเซนทีฟเพียง 5 บาท พร้อมส่งภาพหน้าจอและ Location เพื่อให้ตรวจสอบ แอดมินรับเรื่องและแจ้งว่าจะส่งตรวจสอบให้ แต่ยังไม่ได้แจ้งผลเบื้องต้นจากระบบว่าออเดอร์นี้ระบบแสดงรายรับอย่างไร ระยะทางที่ระบบคิดเท่าไร และยังไม่พบการเปิดเคสหรือส่งเรื่องประสานงานตามที่แจ้งไว้ จึงทำให้การช่วยเหลือยังไม่ครบตาม Process</t>
  </si>
  <si>
    <t>https://drive.google.com/open?id=1PWvuOdjbVT7tVoVHp7sins6Npx60tQxC</t>
  </si>
  <si>
    <t>AA236070</t>
  </si>
  <si>
    <t>https://app.oho.chat/business/6805c0f16232119d2a1204b5/smartchat?room=6841309bc8188d913e4d8d75</t>
  </si>
  <si>
    <t>แอดมินทักทาย แนะนำตัว และปิดท้ายสุภาพครบถ้วน มีการขอบคุณและอวยพรให้พี่ไรเดอร์ขับขี่ปลอดภัย เหมาะสมกับประเภทผู้ติดต่อ</t>
  </si>
  <si>
    <t>ไม่พบการเปิดเผยข้อมูลส่วนบุคคลเกินความจำเป็น ข้อมูลที่ใช้สนทนาเกี่ยวข้องกับการตรวจสอบออเดอร์และการประสานร้านค้าเท่านั้น</t>
  </si>
  <si>
    <t>แอดมินดำเนินการตาม Flow หลักได้ดี มีการตรวจสอบ ติดต่อร้านค้า และแจ้งผลกลับพี่ไรเดอร์จนร้านกดรับออเดอร์ได้ แต่ยังไม่พบการบันทึกเคสในระบบ ทั้งที่เป็นเคสปัญหาก่อนจัดส่ง/ร้านค้ากดรับออเดอร์ไม่ได้ จึงควรมีการบันทึกรายละเอียดไว้เพื่อใช้อ้างอิงภายหลัง
ตัวอย่างที่เหมาะสมกว่า:
“แอดมินประสานร้านค้าเรียบร้อยแล้วนะคะ ร้านค้าเจอออเดอร์และกำลังดำเนินการกดรับให้ค่ะ แอดมินจะบันทึกเรื่องไว้ในระบบเพื่ออ้างอิงกรณีเกิดปัญหาซ้ำอีกครั้งนะคะ”</t>
  </si>
  <si>
    <t>ข้อมูลที่แอดมินแจ้งถูกต้องตามสถานการณ์จริง โดยตรวจสอบแล้วร้านค้ากดรับออเดอร์ได้ และพี่ไรเดอร์ยืนยันว่า “ได้แล้วครับ” ถือว่าคำตอบช่วยให้ไรเดอร์ทำงานต่อได้จริง แต่ควรระบุขั้นตอนต่อให้ละเอียดขึ้นเล็กน้อย
ตัวอย่างที่เหมาะสมกว่า:
“จากการตรวจสอบ ร้านค้ากดรับออเดอร์เรียบร้อยแล้วนะคะ พี่ไรเดอร์สามารถกดถึงร้าน รอรับอาหาร และดำเนินการจัดส่งตามขั้นตอนปกติได้เลยค่ะ”</t>
  </si>
  <si>
    <t>แอดมินตอบครอบคลุมปัญหาหลัก คือร้านค้ากดรับออเดอร์ไม่ได้ และสามารถประสานให้ร้านค้าดำเนินการต่อได้ แต่ยังขาดการย้ำขั้นตอนที่พี่ไรเดอร์ต้องทำหลังร้านกดรับ เช่น กดถึงร้าน รอรับอาหาร และตรวจสอบรายการอาหารก่อนจัดส่ง
ตัวอย่างที่เหมาะสมกว่า:
“ตอนนี้ร้านค้ากดรับออเดอร์เรียบร้อยแล้วนะคะ พี่ไรเดอร์สามารถกดถึงร้าน รอรับอาหาร ตรวจสอบรายการอาหาร และจัดส่งให้ลูกค้าตามขั้นตอนปกติได้เลยค่ะ”</t>
  </si>
  <si>
    <t>ขั้นตอนโดยรวมเข้าใจได้ แอดมินแจ้งว่าประสานร้านค้าแล้วและให้เข้าไปรออาหารได้ แต่ยังไม่ได้อธิบายลำดับต่อให้ชัดเจนพอสำหรับพี่ไรเดอร์
ตัวอย่างที่เหมาะสมกว่า:
“ร้านค้ารับทราบและกดรับออเดอร์แล้วค่ะ พี่ไรเดอร์กดถึงร้าน จากนั้นรอรับอาหารและจัดส่งได้ตามปกตินะคะ”</t>
  </si>
  <si>
    <t>แอดมินแก้ปัญหาได้ตรงจุด เพราะปัญหาหลักคือร้านค้ากดรับออเดอร์ไม่ได้ แอดมินเลือกติดต่อร้านค้าและติดตามจนร้านเห็นออเดอร์ ทำให้ออเดอร์เดินต่อได้จริง จุดที่ยังขาดคือควรตรวจสอบ/แจ้งสถานะในระบบให้ชัดเจนขึ้น และบันทึกเคสไว้
ตัวอย่างที่เหมาะสมกว่า:
“แอดมินตรวจสอบแล้วออเดอร์ยังรอร้านค้ากดรับ จึงประสานร้านค้าให้ตรวจสอบในระบบ ตอนนี้ร้านเห็นออเดอร์และกดรับเรียบร้อยแล้วค่ะ”</t>
  </si>
  <si>
    <t>แอดมินมี Ownership ดี มีการรับเรื่อง ติดต่อร้านค้า และแจ้งผลกลับพี่ไรเดอร์ต่อเนื่อง แต่ Next Step ยังควรชัดกว่านี้ เช่น บอกให้กดถึงร้าน/รอรับอาหาร และแจ้งว่าจะบันทึกเคสไว้ หากเกิดปัญหาเดิมซ้ำจะได้ตรวจสอบต่อได้ง่าย
ตัวอย่างที่เหมาะสมกว่า:
“แอดมินประสานร้านค้าและตรวจสอบสถานะให้แล้วนะคะ ตอนนี้ร้านกดรับออเดอร์เรียบร้อย พี่ไรเดอร์สามารถกดถึงร้านและรอรับอาหารได้เลยค่ะ หากยังพบปัญหาเดิมแจ้งแอดมินได้ทันทีนะคะ”</t>
  </si>
  <si>
    <t>ข้อความอ่านง่าย กระชับ ไม่ยาวเกินไป และตอบตามสถานการณ์ได้เหมาะสม</t>
  </si>
  <si>
    <t>ภาษาสุภาพและเข้าใจง่าย แต่มีจุดสะกด/พิมพ์ตกเล็กน้อย ข้อความแอดมินโดยรวมไม่มีคำผิดรุนแรง แต่ประโยค “ร้านค้าเข้าใหม่” ควรเขียนให้ชัดกว่าเป็น “ร้านค้าเข้าแอปใหม่”
ตัวอย่างที่เหมาะสมกว่า:
“ร้านค้าเข้าแอปใหม่และเห็นออเดอร์แล้วนะคะ”</t>
  </si>
  <si>
    <t>น้ำเสียงสุภาพ ใจเย็น และช่วยประสานงานให้พี่ไรเดอร์ได้ดี เหมาะกับสถานการณ์ที่ไรเดอร์กำลังติดปัญหาหน้างาน แต่ควรเพิ่มความมั่นใจให้พี่ไรเดอร์มากขึ้นด้วยการแจ้งขั้นตอนถัดไปแบบชัดเจน
ตัวอย่างที่เหมาะสมกว่า:
“ไม่ต้องกังวลนะคะ แอดมินประสานร้านค้าให้แล้ว ตอนนี้ร้านกดรับเรียบร้อย พี่ไรเดอร์สามารถรอรับอาหารและจัดส่งต่อได้เลยค่ะ”</t>
  </si>
  <si>
    <t>ร้านค้ากดรับออเดอร์ไม่ได้ / ปัญหาก่อนจัดส่ง (Merchant Cannot Accept Order / Pre-delivery Issue)</t>
  </si>
  <si>
    <t>พี่ไรเดอร์แจ้งว่าร้านค้ากดรับออเดอร์ไม่ได้ แอดมินรับเรื่อง ตรวจสอบ และมีการติดต่อร้านค้าเพื่อประสานให้ร้านกดรับออเดอร์ โดยร้านค้าแจ้งว่าเจอออเดอร์แล้วและจะกดรับ/ทำอาหารให้ จากนั้นแอดมินแจ้งพี่ไรเดอร์ให้เข้าไปรอรับอาหารได้ และออเดอร์สามารถดำเนินต่อจนจัดส่งสำเร็จ ถือว่าแก้ปัญหาได้ตรงจุด แต่ยังขาดการบันทึกเคสในระบบ และควรแจ้งขั้นตอนให้พี่ไรเดอร์ชัดขึ้นอีกนิด เช่น ให้กดถึงร้าน/รอรับอาหาร/ถ่ายรูปตามขั้นตอน เพื่อป้องกันปัญหาออเดอร์ค้างหรือ Timeout</t>
  </si>
  <si>
    <t>https://drive.google.com/open?id=1_ZXGCIs9fhlEYuiauxNrxBdbk-nSrH1p</t>
  </si>
  <si>
    <t>AA238173</t>
  </si>
  <si>
    <t>https://app.oho.chat/business/6805c0f16232119d2a1204b5/smartchat?room=691597c37a947a6ea18ae1a7</t>
  </si>
  <si>
    <t>แอดมินมีการทักทายและแนะนำตัวสุภาพ แต่ไม่พบข้อความปิดเคสแบบครบถ้วน เช่น ขอบคุณที่ใช้บริการ หรือแจ้งให้ติดต่อกลับได้หากพบปัญหาเพิ่มเติม จึงยังไม่เต็มในหัวข้อนี้
ตัวอย่างที่เหมาะสมกว่า:
“หากไม่มีข้อมูลเพิ่มเติม แอดมินขออนุญาตจบการสนทนานะคะ หากพี่ไรเดอร์พบปัญหาเพิ่มเติมสามารถติดต่อเข้ามาได้อีกครั้งค่ะ ขอบคุณที่ใช้บริการ Robinhood ขับขี่ปลอดภัยนะคะ”</t>
  </si>
  <si>
    <t>ไม่พบการเปิดเผยข้อมูลส่วนบุคคลเกินความจำเป็น ข้อมูลที่ใช้ในการสนทนาเกี่ยวข้องกับออเดอร์และการประสานร้านค้าเท่านั้น</t>
  </si>
  <si>
    <t>แอดมินตรวจสอบออเดอร์และติดต่อร้านค้าได้ถูกต้องตามสถานการณ์ ร้านค้ารับทราบและออเดอร์สามารถดำเนินต่อได้ แต่ยังไม่พบการบันทึกเคสในระบบ ทั้งที่เป็นเคสปัญหาก่อนจัดส่ง/ร้านค้าติดต่อไม่ได้ จึงควรมีการบันทึกไว้เพื่อใช้ติดตามหรืออ้างอิงภายหลัง
ตัวอย่างที่เหมาะสมกว่า:
“แอดมินติดต่อร้านค้าเรียบร้อยแล้ว ร้านค้ารับทราบออเดอร์และจะจัดเตรียมอาหารให้ค่ะ แอดมินจะบันทึกเรื่องไว้ในระบบเพื่อใช้อ้างอิงกรณีเกิดปัญหาซ้ำอีกครั้งนะคะ”</t>
  </si>
  <si>
    <t>คำตอบของแอดมินถูกต้องตามสถานการณ์จริง มีการแจ้งว่าร้านค้ากดรับออเดอร์แล้ว และจากข้อมูลหลังบ้านออเดอร์ดำเนินต่อจนจัดส่งสำเร็จ แต่คำตอบยังสั้นไปเล็กน้อย ยังไม่ได้แจ้งพี่ไรเดอร์ว่าต้องทำอะไรต่อให้ชัดเจน
ตัวอย่างที่เหมาะสมกว่า:
“ร้านค้ารับทราบออเดอร์และกดรับเรียบร้อยแล้วค่ะ พี่ไรเดอร์สามารถเข้าไปรอรับอาหาร และจัดส่งตามขั้นตอนปกติได้เลยนะคะ”</t>
  </si>
  <si>
    <t>แอดมินตอบปัญหาหลักได้ค่อนข้างครบ โดยช่วยติดต่อร้านค้าและแจ้งผลกลับให้พี่ไรเดอร์ทราบแล้ว แต่ยังควรแจ้งขั้นตอนต่อไปให้ชัดขึ้น เช่น ให้พี่ไรเดอร์กดถึงร้าน รับอาหาร และจัดส่งตามปกติ รวมถึงควรย้ำว่าหากร้านค้ายังไม่ทำอาหาร หรือรอนานผิดปกติ สามารถติดต่อกลับมาให้แอดมินช่วยตรวจสอบต่อได้ทันที
ตัวอย่างที่เหมาะสมกว่า:
“ตอนนี้ร้านค้ารับทราบและจะทำอาหารให้นะคะ พี่ไรเดอร์สามารถเข้าไปรอรับอาหารได้เลยค่ะ หากร้านค้ายังไม่ดำเนินการหรือพบปัญหาเพิ่มเติม แจ้งแอดมินเข้ามาได้ทันทีนะคะ”</t>
  </si>
  <si>
    <t>แอดมินแจ้งผลตรวจสอบได้เข้าใจ แต่ยังไม่ได้เรียงขั้นตอนถัดไปให้พี่ไรเดอร์ชัดเจนพอ โดยเฉพาะในเคสที่ตอนแรกพี่ไรเดอร์ขอยกเลิกงาน ควรยืนยันให้ชัดว่าไม่ต้องยกเลิกแล้ว เพราะร้านค้ารับทราบและทำอาหารให้แล้ว
ตัวอย่างที่เหมาะสมกว่า:
“กรณีนี้ยังไม่ต้องยกเลิกงานนะคะ แอดมินติดต่อร้านค้าเรียบร้อยแล้ว ร้านค้ารับทราบออเดอร์และจะทำอาหารให้ พี่ไรเดอร์สามารถรอรับอาหารและจัดส่งต่อได้เลยค่ะ”</t>
  </si>
  <si>
    <t>แอดมินเลือกวิธีแก้ได้ตรงจุด เพราะปัญหาคือร้านค้าไม่รับสาย/ยังไม่กดรับออเดอร์ จึงโทรประสานร้านค้า และทำให้ออเดอร์เดินต่อได้จริง อย่างไรก็ตาม ควรแจ้งผลให้ครบกว่านี้ และควรบันทึกเคสหลังมีการประสานร้านค้า
ตัวอย่างที่เหมาะสมกว่า:
“แอดมินติดต่อร้านค้าให้แล้วนะคะ ร้านค้ารับทราบว่ามีออเดอร์เข้าและจะเริ่มทำอาหารให้ พี่ไรเดอร์สามารถรอรับอาหารเพื่อจัดส่งต่อได้เลยค่ะ”</t>
  </si>
  <si>
    <t>แอดมินมีความรับผิดชอบต่อเคส มีการตรวจสอบและติดต่อร้านค้าให้จนแก้ปัญหาได้ แต่ Next Step ยังไม่ชัดพอ เพราะพี่ไรเดอร์แจ้งขอยกเลิกงาน แอดมินควรอธิบายให้ชัดว่าไม่ต้องยกเลิกแล้ว เนื่องจากร้านค้ารับทราบและจะทำอาหารให้ พร้อมแจ้งให้ทำขั้นตอนต่อไป
ตัวอย่างที่เหมาะสมกว่า:
“แอดมินติดต่อร้านค้าเรียบร้อยแล้วนะคะ ร้านค้ารับทราบออเดอร์และจะทำอาหารให้ กรณีนี้พี่ไรเดอร์ไม่ต้องยกเลิกงานแล้ว สามารถรอรับอาหารและจัดส่งต่อได้ตามปกติค่ะ”</t>
  </si>
  <si>
    <t>ข้อความของแอดมินอ่านง่าย กระชับ และไม่สับสน เหมาะกับการสื่อสารในแชท</t>
  </si>
  <si>
    <t>ภาษาของแอดมินสุภาพ อ่านเข้าใจง่าย ไม่พบคำผิดที่กระทบต่อความเข้าใจในสาระสำคัญ</t>
  </si>
  <si>
    <t>น้ำเสียงสุภาพและเหมาะสม แต่ในสถานการณ์ที่พี่ไรเดอร์กำลังเจอปัญหาหน้างานและขอยกเลิกงาน แอดมินควรให้ความมั่นใจมากกว่านี้ เช่น แจ้งว่าประสานร้านค้าเรียบร้อยแล้ว และพี่ไรเดอร์สามารถดำเนินการต่อได้เลย
ตัวอย่างที่เหมาะสมกว่า:
“แอดมินประสานร้านค้าให้เรียบร้อยแล้วนะคะ ไม่ต้องกังวลค่ะ ร้านค้ารับทราบออเดอร์แล้ว พี่ไรเดอร์สามารถรอรับอาหารและจัดส่งต่อได้เลยค่ะ”</t>
  </si>
  <si>
    <t>ร้านค้าติดต่อไม่ได้ / ร้านค้ากดรับออเดอร์ไม่ได้ (Merchant Unreachable / Merchant Cannot Accept Order)</t>
  </si>
  <si>
    <t>พี่ไรเดอร์แจ้งว่าโทรหาร้านค้าเพื่อยืนยันออเดอร์แล้วร้านไม่รับสาย และขอยกเลิกงาน แอดมินรับเรื่อง ตรวจสอบออเดอร์ และมีการโทรติดต่อร้านค้าให้ โดยร้านค้ารับสายแอดมิน รับทราบออเดอร์ และจะทำอาหารให้ไรเดอร์จัดส่งต่อ สุดท้ายออเดอร์เดินต่อและจัดส่งสำเร็จ ถือว่าแก้ปัญหาเฉพาะหน้าได้ตรงจุด แต่ยังมีจุดที่ควรปรับ คือแอดมินควรแจ้ง Next Step ให้พี่ไรเดอร์ชัดกว่านี้ว่าให้เข้าไปรอรับอาหาร/กดรับอาหารและจัดส่งตามขั้นตอน และควรมีการบันทึกเคสไว้ เพราะเป็นปัญหาก่อนจัดส่งที่มีการประสานร้านค้า</t>
  </si>
  <si>
    <t>https://drive.google.com/open?id=1Bj5Qq3sp6tJOfZ5dzptg1vEHq3VYXSRa</t>
  </si>
  <si>
    <t>AA238320</t>
  </si>
  <si>
    <t>https://app.oho.chat/business/6805c0f16232119d2a1204b5/smartchat?room=696df2dde107ec49a0e9bcf6</t>
  </si>
  <si>
    <t>แอดมินมีการทักทาย แนะนำตัว และปิดการสนทนาครบถ้วน สุภาพเหมาะสม มีการถามเพิ่มเติมก่อนจบเคส และมีคำขอบคุณพร้อมปิดท้ายตามมาตรฐาน</t>
  </si>
  <si>
    <t>เคสนี้เกี่ยวข้องกับบัญชีรับเงินและยอดเงินคงค้างของไรเดอร์ ซึ่งเป็นข้อมูลสำคัญ แต่แอดมินไม่ได้ขอให้พี่ไรเดอร์ยืนยันตัวตนก่อนแจ้งว่าบัญชีในระบบเปลี่ยนแล้ว และไม่ได้ขอหลักฐานที่เกี่ยวข้อง เช่น รูปยืนยันตัวตนหรือหน้าสมุดบัญชีตามขั้นตอน ทำให้ยังมีความเสี่ยงด้านความปลอดภัยของข้อมูล
ตัวอย่างที่เหมาะสมกว่า:
“เพื่อความปลอดภัยของข้อมูล รบกวนพี่ไรเดอร์ยืนยันตัวตนก่อนนะคะ โดยส่งรูปตนเองคู่กับบัตรประชาชนให้เห็นใบหน้าและข้อมูลบนบัตรชัดเจน หลังจากยืนยันแล้ว แอดมินจะตรวจสอบสถานะบัญชีรับเงินและยอดค้างให้ค่ะ”</t>
  </si>
  <si>
    <t>แอดมินตรวจสอบและแจ้งว่าบัญชีเปลี่ยนในระบบแล้ว แต่ยังไม่ครบตาม Process เพราะไม่ได้ยืนยันตัวตนก่อนตรวจสอบข้อมูลบัญชีรับเงิน และไม่ได้ชี้แจงขั้นตอนติดตามยอดเงินคงค้างอย่างชัดเจน หากยอด 163 บาทเป็นยอดที่โอนไม่สำเร็จจากบัญชีเดิม ควรแจ้งว่าจะตรวจสอบสถานะการโอน และหากพบว่าค้างจากบัญชีเดิมจะส่งเรื่องให้ทีมที่เกี่ยวข้องดำเนินการ ไม่ใช่ให้รอหลัง 22.00 น. อย่างเดียว
ตัวอย่างที่เหมาะสมกว่า:
“ปัจจุบันบัญชีรับเงินในระบบอัปเดตเรียบร้อยแล้วนะคะ ส่วนยอดค้าง 163 บาท แอดมินจะตรวจสอบสถานะการโอนให้ค่ะ หากพบว่ายอดยังค้างจากบัญชีเดิม แอดมินจะส่งเรื่องให้ทีมที่เกี่ยวข้องดำเนินการโอนเข้าบัญชีที่อัปเดตใหม่ค่ะ”</t>
  </si>
  <si>
    <t>คำตอบเรื่องให้ปัดแอปและเข้าใหม่หลังระบบอัปเดตบัญชีถือว่าใช้ได้ แต่คำตอบเรื่องเงิน 163 บาทยังไม่แม่นพอ เพราะยังไม่ได้ตรวจสอบหรืออธิบายว่าเงินดังกล่าวอยู่ในสถานะรอโอนปกติ หรือเป็นยอดค้างจากบัญชีที่เคยผิดพลาด จึงยังตอบไม่ครบตามสถานการณ์
ตัวอย่างที่เหมาะสมกว่า:
“ยอด 163 บาท แอดมินขอตรวจสอบสถานะการโอนในระบบก่อนนะคะ หากเป็นยอดรอโอนตามรอบ ระบบจะโอนภายในรอบวันนี้ แต่หากเป็นยอดที่โอนไม่สำเร็จจากบัญชีเดิม แอดมินจะส่งเรื่องให้ทีมการเงินตรวจสอบและโอนเข้าบัญชีใหม่ให้ค่ะ”</t>
  </si>
  <si>
    <t>แอดมินตอบว่าบัญชีเปลี่ยนแล้ว และแจ้งให้ตรวจสอบหลัง 22.00 น. แต่ยังขาดข้อมูลสำคัญ เช่น การยืนยันตัวตน, การตรวจสอบสถานะยอดค้าง, เงื่อนไขรอบโอนเงิน และแนวทางหากยอดไม่เข้าจากบัญชีเดิมที่ผิด ทำให้คำตอบยังไม่ครอบคลุมความกังวลหลักของพี่ไรเดอร์
ตัวอย่างที่เหมาะสมกว่า:
“บัญชีรับเงินในระบบอัปเดตเรียบร้อยแล้วค่ะ แนะนำให้ปัดแอปและเข้าสู่ระบบใหม่เพื่อตรวจสอบอีกครั้ง ส่วนยอด 163 บาท หากเป็นยอดรอบโอนวันนี้จะเข้าไม่เกิน 22.00 น. แต่หากหลังเวลาดังกล่าวยังไม่เข้า แอดมินจะรับเรื่องตรวจสอบยอดค้างและส่งต่อให้ทีมที่เกี่ยวข้องดำเนินการค่ะ”</t>
  </si>
  <si>
    <t>แอดมินแจ้งขั้นตอนให้ปัดแอปและเข้าใหม่ได้ชัดเจน แต่ยังไม่ได้อธิบายขั้นตอนต่อสำหรับยอดเงินคงค้างให้ชัด เช่น หากเงินไม่เข้าต้องตรวจสอบอะไร หรือจะดำเนินการอะไรให้พี่ไรเดอร์
ตัวอย่างที่เหมาะสมกว่า:
“หลังจากเข้าแอปใหม่แล้ว รบกวนตรวจสอบเลขบัญชีอีกครั้งนะคะ หากยอด 163 บาทยังไม่เข้าหลัง 22.00 น. แอดมินจะตรวจสอบประวัติการโอน และส่งเรื่องติดตามยอดค้างให้ค่ะ”</t>
  </si>
  <si>
    <t>แอดมินเข้าใจว่าปัญหาหลักคือบัญชีรับเงิน และตรวจสอบจนแจ้งว่าบัญชีเปลี่ยนแล้วได้ แต่ยังแก้ปัญหาไม่สุด เพราะพี่ไรเดอร์กังวลเรื่องรายได้และเงินอาจเข้าบัญชีอื่น แอดมินควรแสดงให้เห็นว่ามีการตรวจสอบยอดค้างและสถานะการโอนแล้ว ไม่ควรตอบเพียงให้รอดูหลัง 22.00 น.
ตัวอย่างที่เหมาะสมกว่า:
“แอดมินตรวจสอบแล้วบัญชีใหม่อัปเดตในระบบเรียบร้อยค่ะ สำหรับยอด 163 บาท แอดมินจะตรวจสอบประวัติการโอนให้อีกครั้ง เพื่อยืนยันว่าเงินจะไม่ถูกโอนเข้าบัญชีเดิมหรือบัญชีที่ไม่ถูกต้องนะคะ”</t>
  </si>
  <si>
    <t>แอดมินรับเรื่องและตรวจสอบให้ แต่ Ownership ยังไม่เต็ม เพราะเมื่อพี่ไรเดอร์ถามเรื่องยอดเงิน แอดมินให้รอตรวจหลัง 22.00 น. โดยไม่ได้รับเรื่องติดตามล่วงหน้า หรือแจ้งว่าหากไม่เข้าแล้วแอดมินจะช่วยดำเนินการอะไรต่อ
ตัวอย่างที่เหมาะสมกว่า:
“หากหลัง 22.00 น. ยอดยังไม่เข้า รบกวนติดต่อกลับมาได้เลยนะคะ แอดมินจะตรวจสอบประวัติการโอนและส่งเรื่องติดตามยอดค้างให้ทีมที่เกี่ยวข้องดำเนินการต่อค่ะ”</t>
  </si>
  <si>
    <t>ข้อความของแอดมินอ่านง่าย ไม่ยาวเกินไป และเรียงลำดับการตอบค่อนข้างชัดเจน</t>
  </si>
  <si>
    <t>ภาษาสุภาพ กระชับ และไม่พบคำผิดที่กระทบต่อความเข้าใจ</t>
  </si>
  <si>
    <t>น้ำเสียงสุภาพ แต่สถานการณ์นี้พี่ไรเดอร์กังวลเรื่องรายได้และบัญชีเงินเข้า แอดมินควรแสดงความเข้าใจและให้ความมั่นใจกว่านี้ เพราะเป็นเรื่องกระทบรายได้โดยตรง
ตัวอย่างที่เหมาะสมกว่า:
“แอดมินเข้าใจความกังวลของพี่ไรเดอร์นะคะ เรื่องบัญชีรับเงินและยอดค้างเป็นข้อมูลสำคัญ แอดมินจะตรวจสอบให้ชัดเจน เพื่อให้มั่นใจว่ายอดเงินจะเข้าบัญชีที่ถูกต้องค่ะ”</t>
  </si>
  <si>
    <t>เปลี่ยนแปลงข้อมูลบัญชีรับเงิน / ติดตามยอดเงินคงค้าง (Bank Account Change / Pending Payout Follow-up)</t>
  </si>
  <si>
    <t>พี่ไรเดอร์สอบถามเรื่องบัญชีรับเงินที่ถูกเปลี่ยน และกังวลว่ายอดเงินจะเข้าบัญชีอื่น แอดมินตรวจสอบและแจ้งว่าบัญชีในระบบเปลี่ยนเรียบร้อยแล้ว พร้อมแนะนำให้ปัดแอปและเข้าใหม่ ถือว่าตอบปัญหาหลักได้บางส่วน แต่เคสนี้เกี่ยวกับข้อมูลการเงินและบัญชีรับเงิน ซึ่งเป็นข้อมูลสำคัญ แอดมินควรมีการยืนยันตัวตนก่อนให้ข้อมูล/ยืนยันการเปลี่ยนบัญชี และควรตรวจสอบหรือชี้แจงยอดค้าง 163 บาทให้ชัดกว่านี้ ไม่ใช่เพียงแจ้งให้รอหลัง 22.00 น. แล้วค่อยติดต่อกลับ</t>
  </si>
  <si>
    <t>https://drive.google.com/open?id=1_Iiahie94hrm02JFl3WJtHFmpdqvDbLs</t>
  </si>
  <si>
    <t>AA238593</t>
  </si>
  <si>
    <t>https://app.oho.chat/business/6805c0f16232119d2a1204b5/smartchat?room=6a083fa872489489453aec42</t>
  </si>
  <si>
    <t>แอดมินทักทาย แนะนำตัว และปิดการสนทนาได้ครบถ้วน สุภาพเหมาะสม มีการถามเพิ่มเติมก่อนจบเคส และมีคำขอบคุณปิดท้ายตามมาตรฐาน</t>
  </si>
  <si>
    <t>เคสนี้เป็นการสอบถามข้อมูลทั่วไปเรื่องการสมัครร้านค้าใหม่ ยังไม่ได้มีการเปิดเผยหรือขอข้อมูลส่วนบุคคลของร้านค้า จึงไม่พบความเสี่ยงด้าน PDPA และไม่มีการให้ข้อมูลที่ขัดกับนโยบาย</t>
  </si>
  <si>
    <t>แอดมินตอบได้ตามแนวทางหลัก คือให้สมัครผ่านแอป Robinhood Shop และส่งภาพขั้นตอนให้ร้านค้าดู แต่ยังไม่ครบตาม Process เพราะควรแจ้งข้อมูลสำคัญประกอบการสมัครเพิ่มเติม เช่น เงื่อนไขอายุผู้สมัคร ช่องทางสำหรับนิติบุคคล ระยะเวลาตรวจสอบ 3 วันทำการ และเงื่อนไขเบื้องต้นของร้านสมัครใหม่
ตัวอย่างที่เหมาะสมกว่า:
“คุณร้านค้าสามารถสมัครผ่านแอป Robinhood Shop ได้ค่ะ โดยเลือกประเภทการสมัครเป็นบุคคลธรรมดาหรือนิติบุคคลตามรูปแบบร้านค้า หากส่งข้อมูลและเอกสารครบถ้วน ระบบจะใช้เวลาตรวจสอบประมาณ 3 วันทำการค่ะ”</t>
  </si>
  <si>
    <t>ข้อมูลที่แอดมินแจ้งว่าให้สมัครผ่านแอป Robinhood Shop และเลือกประเภทบุคคลธรรมดาหรือนิติบุคคลถือว่าถูกต้อง รวมถึงมีการแจ้งระยะเวลาตอบกลับ 2-3 วันทำการ ซึ่งใกล้เคียงกับ Process แต่ยังควรปรับเป็น “ภายใน 3 วันทำการ” เพื่อให้ตรงตามข้อมูลมาตรฐานมากขึ้น
ตัวอย่างที่เหมาะสมกว่า:
“หลังจากลงทะเบียนและอัปโหลดเอกสารครบถ้วนแล้ว ระบบจะใช้เวลาตรวจสอบและแจ้งผลภายในประมาณ 3 วันทำการค่ะ”</t>
  </si>
  <si>
    <t>แอดมินมีการส่งภาพขั้นตอนการสมัครประกอบหลายภาพ ทำให้ร้านค้าสามารถดูและทำตามได้ง่าย ถือว่าใช้ Reference ได้เหมาะสมกับคำถาม</t>
  </si>
  <si>
    <t>แอดมินเข้าใจคำถามหลักของร้านค้าว่าต้องการสมัครเปิดร้านใหม่ และตอบตรงประเด็นด้วยช่องทางสมัครพร้อมภาพประกอบ แต่ยังไม่ได้ต่อยอดข้อมูลให้ครบเพื่อช่วยให้ร้านค้าตัดสินใจได้ชัด เช่น ถามประเภทร้านเบื้องต้น หรือแจ้งเงื่อนไขที่ควรรู้ก่อนเริ่มสมัคร
ตัวอย่างที่เหมาะสมกว่า:
“ร้านค้าสามารถเริ่มสมัครผ่านแอป Robinhood Shop ได้เลยค่ะ โดยเลือกประเภทให้ตรงกับร้านค้า หากเป็นบุคคลธรรมดาให้เตรียมข้อมูลส่วนตัวและบัญชีธนาคาร ส่วนกรณีนิติบุคคลให้เตรียมเอกสารบริษัทและบัญชีในนามบริษัทค่ะ”</t>
  </si>
  <si>
    <t>แอดมินมีการบอกช่องทางสมัคร ส่งภาพขั้นตอน และสอบถามเพิ่มเติมแล้วว่าต้องการให้ช่วยเหลือเรื่องใดอีกหรือไม่ ถือว่ามีการแนะนำต่อพอสมควร แต่ยังควรแจ้งให้ชัดขึ้นว่า หากร้านค้าติดปัญหาที่ขั้นตอนไหน สามารถส่งภาพหน้าจอหรือแจ้งรายละเอียดปัญหากลับมา เพื่อให้แอดมินช่วยตรวจสอบต่อได้
ตัวอย่างที่เหมาะสมกว่า:
“ร้านค้าสามารถลองดำเนินการตามขั้นตอนในภาพได้เลยนะคะ หากติดขั้นตอนใด หรือระบบแจ้งเตือนข้อความใด สามารถส่งภาพหน้าจอเข้ามาให้แอดมินช่วยตรวจสอบได้ค่ะ”</t>
  </si>
  <si>
    <t>ข้อความอ่านง่าย แบ่งข้อมูลเป็นข้อ ทำให้เข้าใจช่องทางสมัครและประเภทการลงทะเบียนได้ชัดเจน</t>
  </si>
  <si>
    <t>ภาษาสุภาพและเข้าใจง่าย แต่มีคำที่ควรปรับเล็กน้อย เช่น “แอปพลิเคชั่น” ควรใช้ “แอปพลิเคชัน” และ “อีเมล์” ควรใช้ “อีเมล” ให้ถูกต้องตามรูปแบบภาษาไทย
ตัวอย่างที่เหมาะสมกว่า:
“สามารถสมัครได้ทางแอปพลิเคชัน Robinhood Shop และหลังจากลงทะเบียนเรียบร้อยแล้ว จะได้รับอีเมลยืนยันภายใน 3 วันทำการค่ะ”</t>
  </si>
  <si>
    <t>น้ำเสียงสุภาพ เป็นมิตร และเหมาะกับร้านค้าที่สนใจสมัครใหม่ มีการให้ข้อมูลเชิงแนะนำ ไม่แข็งหรือห้วนเกินไป</t>
  </si>
  <si>
    <t>ร้านค้าสอบถามการสมัครเปิดร้านค้าใหม่ (New Merchant Registration Inquiry)</t>
  </si>
  <si>
    <t>ร้านค้าสอบถามว่าต้องการเปิดร้านกับ Robinhood ต้องทำอย่างไร แอดมินให้ข้อมูลช่องทางสมัครผ่านแอป Robinhood Shop แยกประเภทบุคคลธรรมดา/นิติบุคคล แจ้งระยะเวลารออีเมลยืนยัน และส่งภาพขั้นตอนประกอบ ถือว่าตอบตรงคำถามและมี Reference ช่วยให้ร้านค้าทำตามได้ง่าย อย่างไรก็ตาม คำตอบยังไม่ครบตาม Process เพราะไม่ได้แจ้งเงื่อนไขสำคัญบางส่วน เช่น อายุผู้สมัคร, ช่องทางสมัคร/อีเมลสำหรับนิติบุคคล, พื้นที่ให้บริการ, GP สำหรับร้านสมัครใหม่ และข้อกำหนดเรื่องราคาอาหารในแอป</t>
  </si>
  <si>
    <t>https://drive.google.com/open?id=1Mte2dH3lCpT3VdGosKPueFSzRQCFKL_A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</si>
</sst>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"/>
    <numFmt numFmtId="165" formatCode="dd/mm/yyyy"/>
    <numFmt numFmtId="166" formatCode="hh:mm"/>
    <numFmt numFmtId="167" formatCode="0.0"/>
  </numFmts>
  <fonts count="6">
    <font>
      <sz val="11"/>
      <color theme="1"/>
      <name val="Calibri"/>
      <family val="2"/>
      <charset val="1"/>
    </font>
    <font>
      <b/>
      <sz val="18"/>
      <color theme="1"/>
      <name val="Cambria"/>
      <family val="1"/>
      <charset val="1"/>
    </font>
    <font>
      <i/>
      <sz val="11"/>
      <color theme="1"/>
      <name val="Cambria"/>
      <family val="1"/>
      <charset val="1"/>
    </font>
    <font>
      <b/>
      <sz val="11"/>
      <color theme="1"/>
      <name val="Cambria"/>
      <family val="1"/>
      <charset val="1"/>
    </font>
    <font>
      <sz val="11"/>
      <color theme="1"/>
      <name val="Lohit Devanagari"/>
      <family val="2"/>
      <charset val="1"/>
    </font>
    <font>
      <u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73F5F"/>
        <bgColor rgb="FF333333"/>
      </patternFill>
    </fill>
    <fill>
      <patternFill patternType="solid">
        <fgColor rgb="FFFFF4CF"/>
        <bgColor rgb="FFFFF2CC"/>
      </patternFill>
    </fill>
    <fill>
      <patternFill patternType="solid">
        <fgColor rgb="FFDDF5F5"/>
        <bgColor rgb="FFD9EEF2"/>
      </patternFill>
    </fill>
    <fill>
      <patternFill patternType="solid">
        <fgColor rgb="FFEEE7FF"/>
        <bgColor rgb="FFE7E6E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vertical="top"/>
    </xf>
    <xf numFmtId="0" fontId="2" fillId="3" borderId="0" xfId="0" applyFont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indent="1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indent="1"/>
    </xf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left" wrapText="1" indent="1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5" fillId="0" borderId="0" xfId="1"/>
    <xf numFmtId="0" fontId="0" fillId="6" borderId="1" xfId="0" applyFill="1" applyBorder="1" applyAlignment="1">
      <alignment horizontal="center"/>
    </xf>
    <xf numFmtId="0" fontId="0" fillId="7" borderId="0" xfId="0" applyFill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urpleventuresth-my.sharepoint.com/personal/songpon_robinhood_co_th/Documents/Report%20QA/ROWDATA/QA_Score_Dashboard_byDao_V8.xlsx" TargetMode="External"/><Relationship Id="rId1" Type="http://schemas.openxmlformats.org/officeDocument/2006/relationships/externalLinkPath" Target="QA_Score_Dashboard_byDao_V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s"/>
      <sheetName val="Agent_Master"/>
      <sheetName val="Grade_Guide"/>
      <sheetName val="Raw_Data"/>
      <sheetName val="Effective_Data"/>
      <sheetName val="Appeal_Data"/>
      <sheetName val="Control_Panel"/>
      <sheetName val="Case_Detail"/>
      <sheetName val="Case_Detail_Appeal"/>
      <sheetName val="Weekly_Dashboard"/>
      <sheetName val="Weekly_QA_by_Agent"/>
      <sheetName val="Monthly_Dashboard"/>
      <sheetName val="Monthly_Team_Summary"/>
      <sheetName val="Yearly_Team_Summary"/>
      <sheetName val="Yearly_By_Agent"/>
    </sheetNames>
    <sheetDataSet>
      <sheetData sheetId="0">
        <row r="2">
          <cell r="A2" t="str">
            <v>Anucha Makundin</v>
          </cell>
          <cell r="L2" t="str">
            <v>REV1</v>
          </cell>
          <cell r="M2" t="str">
            <v>Pending Appeal</v>
          </cell>
          <cell r="N2" t="str">
            <v>Original</v>
          </cell>
          <cell r="O2" t="str">
            <v>AA205172</v>
          </cell>
        </row>
        <row r="3">
          <cell r="A3" t="str">
            <v>Arisa aiemrit</v>
          </cell>
          <cell r="L3" t="str">
            <v>REV2</v>
          </cell>
          <cell r="M3" t="str">
            <v>Under Review</v>
          </cell>
          <cell r="N3" t="str">
            <v>Pending Appeal</v>
          </cell>
          <cell r="O3" t="str">
            <v>AA205259</v>
          </cell>
        </row>
        <row r="4">
          <cell r="A4" t="str">
            <v>Chatkonnaphat Bhusomya</v>
          </cell>
          <cell r="L4" t="str">
            <v>REV3</v>
          </cell>
          <cell r="M4" t="str">
            <v>Approved</v>
          </cell>
          <cell r="N4" t="str">
            <v>Under Review</v>
          </cell>
          <cell r="O4" t="str">
            <v>AA205342</v>
          </cell>
        </row>
        <row r="5">
          <cell r="A5" t="str">
            <v>Jariyawadee Taboodda</v>
          </cell>
          <cell r="L5" t="str">
            <v>REV4</v>
          </cell>
          <cell r="M5" t="str">
            <v>Rejected</v>
          </cell>
          <cell r="N5" t="str">
            <v>Revised</v>
          </cell>
          <cell r="O5" t="str">
            <v>AA205349</v>
          </cell>
        </row>
        <row r="6">
          <cell r="A6" t="str">
            <v>Jureeporn Piddum</v>
          </cell>
          <cell r="L6" t="str">
            <v>REV5</v>
          </cell>
          <cell r="M6" t="str">
            <v>Revised</v>
          </cell>
          <cell r="N6" t="str">
            <v>No Change</v>
          </cell>
          <cell r="O6" t="str">
            <v>AA205513</v>
          </cell>
        </row>
        <row r="7">
          <cell r="A7" t="str">
            <v>Krivut Vongkampan</v>
          </cell>
          <cell r="L7" t="str">
            <v>REV6</v>
          </cell>
          <cell r="M7" t="str">
            <v>No Change</v>
          </cell>
          <cell r="N7" t="str">
            <v>Approved</v>
          </cell>
          <cell r="O7" t="str">
            <v>AA205545</v>
          </cell>
        </row>
        <row r="8">
          <cell r="A8" t="str">
            <v>Natcha Chai-in</v>
          </cell>
          <cell r="L8" t="str">
            <v>REV7</v>
          </cell>
          <cell r="N8" t="str">
            <v>Rejected</v>
          </cell>
          <cell r="O8" t="str">
            <v>AA205590</v>
          </cell>
        </row>
        <row r="9">
          <cell r="A9" t="str">
            <v>Nattapol Suprom</v>
          </cell>
          <cell r="L9" t="str">
            <v>REV8</v>
          </cell>
          <cell r="O9" t="str">
            <v>AA205600</v>
          </cell>
        </row>
        <row r="10">
          <cell r="A10" t="str">
            <v>Sunijtra Siritip</v>
          </cell>
          <cell r="L10" t="str">
            <v>REV9</v>
          </cell>
          <cell r="O10" t="str">
            <v>AA205631</v>
          </cell>
        </row>
        <row r="11">
          <cell r="A11" t="str">
            <v>Supakrit Promkhamnoi</v>
          </cell>
          <cell r="L11" t="str">
            <v>REV10</v>
          </cell>
          <cell r="O11" t="str">
            <v>AA205654</v>
          </cell>
        </row>
        <row r="12">
          <cell r="A12" t="str">
            <v>Suphitcha Keawliam</v>
          </cell>
          <cell r="O12" t="str">
            <v>AA205725</v>
          </cell>
        </row>
        <row r="13">
          <cell r="A13" t="str">
            <v>Wachiraporn chailittichai</v>
          </cell>
          <cell r="O13" t="str">
            <v>AA205784</v>
          </cell>
        </row>
        <row r="14">
          <cell r="A14" t="str">
            <v>Wassana Phothong</v>
          </cell>
          <cell r="O14" t="str">
            <v>AA205899</v>
          </cell>
        </row>
        <row r="15">
          <cell r="O15" t="str">
            <v>AA205914</v>
          </cell>
        </row>
        <row r="16">
          <cell r="O16" t="str">
            <v>AA205937</v>
          </cell>
        </row>
        <row r="17">
          <cell r="O17" t="str">
            <v>AA205939</v>
          </cell>
        </row>
        <row r="18">
          <cell r="O18" t="str">
            <v>AA205947</v>
          </cell>
        </row>
        <row r="19">
          <cell r="O19" t="str">
            <v>AA205983</v>
          </cell>
        </row>
        <row r="20">
          <cell r="O20" t="str">
            <v>AA205991</v>
          </cell>
        </row>
        <row r="21">
          <cell r="O21" t="str">
            <v>AA206312</v>
          </cell>
        </row>
        <row r="22">
          <cell r="O22" t="str">
            <v>AA206357</v>
          </cell>
        </row>
        <row r="23">
          <cell r="O23" t="str">
            <v>AA206422</v>
          </cell>
        </row>
        <row r="24">
          <cell r="O24" t="str">
            <v>AA206425</v>
          </cell>
        </row>
        <row r="25">
          <cell r="O25" t="str">
            <v>AA206427</v>
          </cell>
        </row>
        <row r="26">
          <cell r="O26" t="str">
            <v>AA206448</v>
          </cell>
        </row>
        <row r="27">
          <cell r="O27" t="str">
            <v>AA206542</v>
          </cell>
        </row>
        <row r="28">
          <cell r="O28" t="str">
            <v>AA206570</v>
          </cell>
        </row>
        <row r="29">
          <cell r="O29" t="str">
            <v>AA206869</v>
          </cell>
        </row>
        <row r="30">
          <cell r="O30" t="str">
            <v>AA206880</v>
          </cell>
        </row>
        <row r="31">
          <cell r="O31" t="str">
            <v>AA206886</v>
          </cell>
        </row>
        <row r="32">
          <cell r="O32" t="str">
            <v>AA206927</v>
          </cell>
        </row>
        <row r="33">
          <cell r="O33" t="str">
            <v>AA206949</v>
          </cell>
        </row>
        <row r="34">
          <cell r="O34" t="str">
            <v>AA206994</v>
          </cell>
        </row>
        <row r="35">
          <cell r="O35" t="str">
            <v>AA207015</v>
          </cell>
        </row>
        <row r="36">
          <cell r="O36" t="str">
            <v>AA207029</v>
          </cell>
        </row>
        <row r="37">
          <cell r="O37" t="str">
            <v>AA207069</v>
          </cell>
        </row>
        <row r="38">
          <cell r="O38" t="str">
            <v>AA207358</v>
          </cell>
        </row>
        <row r="39">
          <cell r="O39" t="str">
            <v>AA207375</v>
          </cell>
        </row>
        <row r="40">
          <cell r="O40" t="str">
            <v>AA207397</v>
          </cell>
        </row>
        <row r="41">
          <cell r="O41" t="str">
            <v>AA207533</v>
          </cell>
        </row>
        <row r="42">
          <cell r="O42" t="str">
            <v>AA207538</v>
          </cell>
        </row>
        <row r="43">
          <cell r="O43" t="str">
            <v>AA207547</v>
          </cell>
        </row>
        <row r="44">
          <cell r="O44" t="str">
            <v>AA207750</v>
          </cell>
        </row>
        <row r="45">
          <cell r="O45" t="str">
            <v>AA207869</v>
          </cell>
        </row>
        <row r="46">
          <cell r="O46" t="str">
            <v>AA207896</v>
          </cell>
        </row>
        <row r="47">
          <cell r="O47" t="str">
            <v>AA207925</v>
          </cell>
        </row>
        <row r="48">
          <cell r="O48" t="str">
            <v>AA207954</v>
          </cell>
        </row>
        <row r="49">
          <cell r="O49" t="str">
            <v>AA207998</v>
          </cell>
        </row>
        <row r="50">
          <cell r="O50" t="str">
            <v>AA208025</v>
          </cell>
        </row>
        <row r="51">
          <cell r="O51" t="str">
            <v>AA208091</v>
          </cell>
        </row>
        <row r="52">
          <cell r="O52" t="str">
            <v>AA208405</v>
          </cell>
        </row>
        <row r="53">
          <cell r="O53" t="str">
            <v>AA208444</v>
          </cell>
        </row>
        <row r="54">
          <cell r="O54" t="str">
            <v>AA208454</v>
          </cell>
        </row>
        <row r="55">
          <cell r="O55" t="str">
            <v>AA208479</v>
          </cell>
        </row>
        <row r="56">
          <cell r="O56" t="str">
            <v>AA208550</v>
          </cell>
        </row>
        <row r="57">
          <cell r="O57" t="str">
            <v>AA208553</v>
          </cell>
        </row>
        <row r="58">
          <cell r="O58" t="str">
            <v>AA208623</v>
          </cell>
        </row>
        <row r="59">
          <cell r="O59" t="str">
            <v>AA208746</v>
          </cell>
        </row>
        <row r="60">
          <cell r="O60" t="str">
            <v>AA208896</v>
          </cell>
        </row>
        <row r="61">
          <cell r="O61" t="str">
            <v>AA208955</v>
          </cell>
        </row>
        <row r="62">
          <cell r="O62" t="str">
            <v>AA209002</v>
          </cell>
        </row>
        <row r="63">
          <cell r="O63" t="str">
            <v>AA209064</v>
          </cell>
        </row>
        <row r="64">
          <cell r="O64" t="str">
            <v>AA209311</v>
          </cell>
        </row>
        <row r="65">
          <cell r="O65" t="str">
            <v>AA209426</v>
          </cell>
        </row>
        <row r="66">
          <cell r="O66" t="str">
            <v>AA209621</v>
          </cell>
        </row>
        <row r="67">
          <cell r="O67" t="str">
            <v>AA209704</v>
          </cell>
        </row>
        <row r="68">
          <cell r="O68" t="str">
            <v>AA209736</v>
          </cell>
        </row>
        <row r="69">
          <cell r="O69" t="str">
            <v>AA209772</v>
          </cell>
        </row>
        <row r="70">
          <cell r="O70" t="str">
            <v>AA209967</v>
          </cell>
        </row>
        <row r="71">
          <cell r="O71" t="str">
            <v>AA210175</v>
          </cell>
        </row>
        <row r="72">
          <cell r="O72" t="str">
            <v>AA210324</v>
          </cell>
        </row>
        <row r="73">
          <cell r="O73" t="str">
            <v>AA210433</v>
          </cell>
        </row>
        <row r="74">
          <cell r="O74" t="str">
            <v>AA210908</v>
          </cell>
        </row>
        <row r="75">
          <cell r="O75" t="str">
            <v>AA210992</v>
          </cell>
        </row>
        <row r="76">
          <cell r="O76" t="str">
            <v>AA211128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4CnfTsC2pD-ngg10UVOi9MBA8S7xGbPb/view?usp=drive_link" TargetMode="External"/><Relationship Id="rId2" Type="http://schemas.openxmlformats.org/officeDocument/2006/relationships/hyperlink" Target="https://drive.google.com/file/d/1_GE-HrlztID5XqElB6YfYsizEmnkuTnd/view?usp=drive_link" TargetMode="External"/><Relationship Id="rId1" Type="http://schemas.openxmlformats.org/officeDocument/2006/relationships/hyperlink" Target="https://drive.google.com/file/d/1tDy3-HZ00aJ6lAvEn4GExbTtL9oVx9ZC/view?usp=drive_link" TargetMode="External"/><Relationship Id="rId4" Type="http://schemas.openxmlformats.org/officeDocument/2006/relationships/hyperlink" Target="https://drive.google.com/file/d/1eMXYm00y1vIO4aLgryFjzHN2_eGgYM37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9955-42B3-4A5E-B0FA-D5C77456AFEF}">
  <sheetPr>
    <pageSetUpPr fitToPage="1"/>
  </sheetPr>
  <dimension ref="A1:BF802"/>
  <sheetViews>
    <sheetView tabSelected="1" topLeftCell="A4" zoomScale="70" zoomScaleNormal="70" workbookViewId="0">
      <pane ySplit="1" topLeftCell="A5" activePane="bottomLeft" state="frozen"/>
      <selection activeCell="A4" sqref="A4"/>
      <selection pane="bottomLeft" activeCell="C18" sqref="C18"/>
    </sheetView>
  </sheetViews>
  <sheetFormatPr defaultColWidth="8.6328125" defaultRowHeight="15" customHeight="1"/>
  <cols>
    <col min="1" max="1" width="22" customWidth="1"/>
    <col min="2" max="2" width="28" customWidth="1"/>
    <col min="3" max="3" width="12" customWidth="1"/>
    <col min="4" max="5" width="11" customWidth="1"/>
    <col min="6" max="6" width="13" customWidth="1"/>
    <col min="7" max="7" width="28" customWidth="1"/>
    <col min="8" max="8" width="10" customWidth="1"/>
    <col min="9" max="9" width="28" style="6" customWidth="1"/>
    <col min="10" max="10" width="10" customWidth="1"/>
    <col min="11" max="11" width="28" style="6" customWidth="1"/>
    <col min="12" max="12" width="10" customWidth="1"/>
    <col min="13" max="13" width="28" style="6" customWidth="1"/>
    <col min="14" max="14" width="10" customWidth="1"/>
    <col min="15" max="15" width="28" style="6" customWidth="1"/>
    <col min="16" max="16" width="10" customWidth="1"/>
    <col min="17" max="17" width="28" style="7" customWidth="1"/>
    <col min="18" max="18" width="10" customWidth="1"/>
    <col min="19" max="19" width="28" style="7" customWidth="1"/>
    <col min="20" max="20" width="10" customWidth="1"/>
    <col min="21" max="21" width="28" style="6" customWidth="1"/>
    <col min="22" max="22" width="10" customWidth="1"/>
    <col min="23" max="23" width="28" style="6" customWidth="1"/>
    <col min="24" max="24" width="10" customWidth="1"/>
    <col min="25" max="25" width="28" style="6" customWidth="1"/>
    <col min="26" max="26" width="10" customWidth="1"/>
    <col min="27" max="27" width="28" style="6" customWidth="1"/>
    <col min="28" max="28" width="10" customWidth="1"/>
    <col min="29" max="29" width="28" style="6" customWidth="1"/>
    <col min="30" max="30" width="10" customWidth="1"/>
    <col min="31" max="31" width="28" style="6" customWidth="1"/>
    <col min="32" max="32" width="10" customWidth="1"/>
    <col min="33" max="33" width="28" style="6" customWidth="1"/>
    <col min="34" max="34" width="10" customWidth="1"/>
    <col min="35" max="35" width="28" style="6" customWidth="1"/>
    <col min="36" max="36" width="10" customWidth="1"/>
    <col min="37" max="37" width="28" style="6" customWidth="1"/>
    <col min="38" max="38" width="10" customWidth="1"/>
    <col min="39" max="39" width="28" style="6" customWidth="1"/>
    <col min="40" max="40" width="10" customWidth="1"/>
    <col min="41" max="41" width="28" style="6" customWidth="1"/>
    <col min="42" max="42" width="12" customWidth="1"/>
    <col min="43" max="43" width="118.08984375" style="6" customWidth="1"/>
    <col min="44" max="44" width="21.36328125" customWidth="1"/>
    <col min="45" max="46" width="12" customWidth="1"/>
    <col min="47" max="47" width="18" customWidth="1"/>
    <col min="48" max="49" width="12" customWidth="1"/>
    <col min="50" max="50" width="24" customWidth="1"/>
    <col min="51" max="52" width="14" customWidth="1"/>
    <col min="53" max="53" width="24" customWidth="1"/>
    <col min="54" max="54" width="25.453125" customWidth="1"/>
    <col min="55" max="55" width="14" customWidth="1"/>
  </cols>
  <sheetData>
    <row r="1" spans="1:58" ht="25.5" hidden="1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2"/>
      <c r="K1" s="3"/>
      <c r="L1" s="2"/>
      <c r="M1" s="3"/>
      <c r="N1" s="2"/>
      <c r="O1" s="3"/>
      <c r="P1" s="2"/>
      <c r="Q1" s="4"/>
      <c r="R1" s="2"/>
      <c r="S1" s="4"/>
      <c r="T1" s="2"/>
      <c r="U1" s="3"/>
      <c r="V1" s="2"/>
      <c r="W1" s="3"/>
      <c r="X1" s="2"/>
      <c r="Y1" s="3"/>
      <c r="Z1" s="2"/>
      <c r="AA1" s="3"/>
      <c r="AB1" s="2"/>
      <c r="AC1" s="3"/>
      <c r="AD1" s="2"/>
      <c r="AE1" s="3"/>
      <c r="AF1" s="2"/>
      <c r="AG1" s="3"/>
      <c r="AH1" s="2"/>
      <c r="AI1" s="3"/>
      <c r="AJ1" s="2"/>
      <c r="AK1" s="3"/>
      <c r="AL1" s="2"/>
      <c r="AM1" s="3"/>
      <c r="AN1" s="2"/>
      <c r="AO1" s="3"/>
      <c r="AP1" s="2"/>
      <c r="AQ1" s="3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5" hidden="1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2"/>
      <c r="K2" s="3"/>
      <c r="L2" s="2"/>
      <c r="M2" s="3"/>
      <c r="N2" s="2"/>
      <c r="O2" s="3"/>
      <c r="P2" s="2"/>
      <c r="Q2" s="4"/>
      <c r="R2" s="2"/>
      <c r="S2" s="4"/>
      <c r="T2" s="2"/>
      <c r="U2" s="3"/>
      <c r="V2" s="2"/>
      <c r="W2" s="3"/>
      <c r="X2" s="2"/>
      <c r="Y2" s="3"/>
      <c r="Z2" s="2"/>
      <c r="AA2" s="3"/>
      <c r="AB2" s="2"/>
      <c r="AC2" s="3"/>
      <c r="AD2" s="2"/>
      <c r="AE2" s="3"/>
      <c r="AF2" s="2"/>
      <c r="AG2" s="3"/>
      <c r="AH2" s="2"/>
      <c r="AI2" s="3"/>
      <c r="AJ2" s="2"/>
      <c r="AK2" s="3"/>
      <c r="AL2" s="2"/>
      <c r="AM2" s="3"/>
      <c r="AN2" s="2"/>
      <c r="AO2" s="3"/>
      <c r="AP2" s="2"/>
      <c r="AQ2" s="3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5" hidden="1" customHeight="1"/>
    <row r="4" spans="1:58" s="11" customFormat="1" ht="15" customHeight="1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8" t="s">
        <v>16</v>
      </c>
      <c r="P4" s="8" t="s">
        <v>17</v>
      </c>
      <c r="Q4" s="9" t="s">
        <v>18</v>
      </c>
      <c r="R4" s="8" t="s">
        <v>19</v>
      </c>
      <c r="S4" s="9" t="s">
        <v>20</v>
      </c>
      <c r="T4" s="8" t="s">
        <v>21</v>
      </c>
      <c r="U4" s="8" t="s">
        <v>22</v>
      </c>
      <c r="V4" s="8" t="s">
        <v>23</v>
      </c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 t="s">
        <v>30</v>
      </c>
      <c r="AD4" s="8" t="s">
        <v>31</v>
      </c>
      <c r="AE4" s="8" t="s">
        <v>32</v>
      </c>
      <c r="AF4" s="8" t="s">
        <v>33</v>
      </c>
      <c r="AG4" s="8" t="s">
        <v>34</v>
      </c>
      <c r="AH4" s="8" t="s">
        <v>35</v>
      </c>
      <c r="AI4" s="8" t="s">
        <v>36</v>
      </c>
      <c r="AJ4" s="8" t="s">
        <v>37</v>
      </c>
      <c r="AK4" s="8" t="s">
        <v>38</v>
      </c>
      <c r="AL4" s="8" t="s">
        <v>39</v>
      </c>
      <c r="AM4" s="8" t="s">
        <v>40</v>
      </c>
      <c r="AN4" s="8" t="s">
        <v>41</v>
      </c>
      <c r="AO4" s="8" t="s">
        <v>42</v>
      </c>
      <c r="AP4" s="8" t="s">
        <v>43</v>
      </c>
      <c r="AQ4" s="8" t="s">
        <v>44</v>
      </c>
      <c r="AR4" s="8" t="s">
        <v>45</v>
      </c>
      <c r="AS4" s="10" t="s">
        <v>45</v>
      </c>
      <c r="AT4" s="10" t="s">
        <v>46</v>
      </c>
      <c r="AU4" s="10" t="s">
        <v>47</v>
      </c>
      <c r="AV4" s="10" t="s">
        <v>48</v>
      </c>
      <c r="AW4" s="10" t="s">
        <v>49</v>
      </c>
      <c r="AX4" s="10" t="s">
        <v>50</v>
      </c>
      <c r="AY4" s="10" t="s">
        <v>51</v>
      </c>
      <c r="AZ4" s="10" t="s">
        <v>52</v>
      </c>
      <c r="BA4" s="10" t="s">
        <v>53</v>
      </c>
      <c r="BB4" s="10" t="s">
        <v>54</v>
      </c>
      <c r="BC4" s="11" t="s">
        <v>55</v>
      </c>
      <c r="BD4" s="8" t="s">
        <v>56</v>
      </c>
      <c r="BE4" s="8" t="s">
        <v>57</v>
      </c>
      <c r="BF4" s="8" t="s">
        <v>58</v>
      </c>
    </row>
    <row r="5" spans="1:58" ht="15" customHeight="1">
      <c r="A5" s="12">
        <v>46160.427702870365</v>
      </c>
      <c r="B5" s="13" t="s">
        <v>72</v>
      </c>
      <c r="C5" s="14">
        <v>46153</v>
      </c>
      <c r="D5" s="15">
        <v>0.51388888889050577</v>
      </c>
      <c r="E5" s="15">
        <v>0.52013888888905058</v>
      </c>
      <c r="F5" s="16" t="s">
        <v>78</v>
      </c>
      <c r="G5" s="17" t="s">
        <v>79</v>
      </c>
      <c r="H5" s="16">
        <v>10</v>
      </c>
      <c r="I5" s="21" t="s">
        <v>80</v>
      </c>
      <c r="J5" s="16">
        <v>10</v>
      </c>
      <c r="K5" s="18" t="s">
        <v>81</v>
      </c>
      <c r="L5" s="16">
        <v>10</v>
      </c>
      <c r="M5" s="21" t="s">
        <v>82</v>
      </c>
      <c r="N5" s="16">
        <v>10</v>
      </c>
      <c r="O5" s="21" t="s">
        <v>83</v>
      </c>
      <c r="P5" s="16">
        <v>8</v>
      </c>
      <c r="Q5" s="22" t="s">
        <v>84</v>
      </c>
      <c r="R5" s="16">
        <v>5</v>
      </c>
      <c r="S5" s="22" t="s">
        <v>85</v>
      </c>
      <c r="T5" s="16"/>
      <c r="U5" s="18"/>
      <c r="V5" s="16">
        <v>15</v>
      </c>
      <c r="W5" s="21" t="s">
        <v>86</v>
      </c>
      <c r="X5" s="16">
        <v>8</v>
      </c>
      <c r="Y5" s="21" t="s">
        <v>87</v>
      </c>
      <c r="Z5" s="16"/>
      <c r="AA5" s="18"/>
      <c r="AB5" s="16">
        <v>5</v>
      </c>
      <c r="AC5" s="18" t="s">
        <v>75</v>
      </c>
      <c r="AD5" s="16">
        <v>5</v>
      </c>
      <c r="AE5" s="18" t="s">
        <v>76</v>
      </c>
      <c r="AF5" s="16">
        <v>10</v>
      </c>
      <c r="AG5" s="18" t="s">
        <v>88</v>
      </c>
      <c r="AH5" s="16"/>
      <c r="AI5" s="18"/>
      <c r="AJ5" s="16"/>
      <c r="AK5" s="18"/>
      <c r="AL5" s="16"/>
      <c r="AM5" s="18"/>
      <c r="AN5" s="16"/>
      <c r="AO5" s="18"/>
      <c r="AP5" s="16" t="s">
        <v>60</v>
      </c>
      <c r="AQ5" s="18" t="s">
        <v>89</v>
      </c>
      <c r="AR5" s="16"/>
      <c r="AS5" s="19">
        <f>SUM(H5,J5,L5,N5,P5,R5,T5,V5,X5,Z5,AB5,AD5,AF5,AH5,AJ5,AL5,AN5)</f>
        <v>96</v>
      </c>
      <c r="AT5" s="14">
        <f>IF(C5="","",DATE(YEAR(C5),MONTH(C5),1))</f>
        <v>46143</v>
      </c>
      <c r="AU5" s="16" t="str">
        <f>IF(AT5="","",TEXT(AT5,"mmmm yyyy"))</f>
        <v>May 2026</v>
      </c>
      <c r="AV5" s="14">
        <f>IF(C5="","",C5-WEEKDAY(C5,2)+1)</f>
        <v>46153</v>
      </c>
      <c r="AW5" s="14">
        <f>IF(AV5="","",AV5+6)</f>
        <v>46159</v>
      </c>
      <c r="AX5" s="16" t="str">
        <f>IF(AV5="","",TEXT(AV5,"dd/mm/yyyy")&amp;" - "&amp;TEXT(AW5,"dd/mm/yyyy"))</f>
        <v>11/05/2026 - 17/05/2026</v>
      </c>
      <c r="AY5" s="16">
        <f>IF(B5="","",COUNTIFS($B$5:B5,B5,$AT$5:AT5,AT5))</f>
        <v>1</v>
      </c>
      <c r="AZ5" s="16">
        <f>IF(B5="","",COUNTIFS($B$5:B5,B5,$AV$5:AV5,AV5))</f>
        <v>1</v>
      </c>
      <c r="BA5" s="16" t="str">
        <f>IF(B5="","",TEXT(AY5,"00")&amp;"|"&amp;B5&amp;"|"&amp;TEXT(AT5,"yyyymmdd"))</f>
        <v>01|Anucha Makundin|20260501</v>
      </c>
      <c r="BB5" s="16" t="str">
        <f>IF(B5="","",TEXT(AZ5,"00")&amp;"|"&amp;B5&amp;"|"&amp;TEXT(AV5,"yyyymmdd"))</f>
        <v>01|Anucha Makundin|20260511</v>
      </c>
      <c r="BC5" s="16">
        <f>IF(OR(AQ5="YES",AQ5="Yes",AQ5="Y",AQ5=1),1,0)</f>
        <v>0</v>
      </c>
      <c r="BD5" s="23" t="s">
        <v>90</v>
      </c>
      <c r="BE5" t="s">
        <v>91</v>
      </c>
      <c r="BF5" s="26" t="s">
        <v>74</v>
      </c>
    </row>
    <row r="6" spans="1:58" ht="15" customHeight="1">
      <c r="A6" s="12">
        <v>46160.59504443287</v>
      </c>
      <c r="B6" s="13" t="s">
        <v>59</v>
      </c>
      <c r="C6" s="14">
        <v>46153</v>
      </c>
      <c r="D6" s="15">
        <v>0.54236111111094942</v>
      </c>
      <c r="E6" s="15">
        <v>0.5506944444423425</v>
      </c>
      <c r="F6" s="16" t="s">
        <v>123</v>
      </c>
      <c r="G6" s="17" t="s">
        <v>124</v>
      </c>
      <c r="H6" s="16">
        <v>10</v>
      </c>
      <c r="I6" s="21" t="s">
        <v>125</v>
      </c>
      <c r="J6" s="16">
        <v>5</v>
      </c>
      <c r="K6" s="18" t="s">
        <v>126</v>
      </c>
      <c r="L6" s="16">
        <v>5</v>
      </c>
      <c r="M6" s="21" t="s">
        <v>127</v>
      </c>
      <c r="N6" s="16">
        <v>7</v>
      </c>
      <c r="O6" s="21" t="s">
        <v>128</v>
      </c>
      <c r="P6" s="16">
        <v>6</v>
      </c>
      <c r="Q6" s="22" t="s">
        <v>129</v>
      </c>
      <c r="R6" s="16">
        <v>3</v>
      </c>
      <c r="S6" s="22" t="s">
        <v>130</v>
      </c>
      <c r="T6" s="16"/>
      <c r="U6" s="18"/>
      <c r="V6" s="16">
        <v>9</v>
      </c>
      <c r="W6" s="21" t="s">
        <v>131</v>
      </c>
      <c r="X6" s="16">
        <v>6</v>
      </c>
      <c r="Y6" s="21" t="s">
        <v>132</v>
      </c>
      <c r="Z6" s="16"/>
      <c r="AA6" s="18"/>
      <c r="AB6" s="16">
        <v>4</v>
      </c>
      <c r="AC6" s="18" t="s">
        <v>133</v>
      </c>
      <c r="AD6" s="16">
        <v>5</v>
      </c>
      <c r="AE6" s="18" t="s">
        <v>134</v>
      </c>
      <c r="AF6" s="16">
        <v>9</v>
      </c>
      <c r="AG6" s="18" t="s">
        <v>135</v>
      </c>
      <c r="AH6" s="16"/>
      <c r="AI6" s="18"/>
      <c r="AJ6" s="16"/>
      <c r="AK6" s="18"/>
      <c r="AL6" s="16"/>
      <c r="AM6" s="18"/>
      <c r="AN6" s="16"/>
      <c r="AO6" s="18"/>
      <c r="AP6" s="16" t="s">
        <v>60</v>
      </c>
      <c r="AQ6" s="18" t="s">
        <v>136</v>
      </c>
      <c r="AR6" s="16"/>
      <c r="AS6" s="19">
        <f>SUM(H6,J6,L6,N6,P6,R6,T6,V6,X6,Z6,AB6,AD6,AF6,AH6,AJ6,AL6,AN6)</f>
        <v>69</v>
      </c>
      <c r="AT6" s="14">
        <f>IF(C6="","",DATE(YEAR(C6),MONTH(C6),1))</f>
        <v>46143</v>
      </c>
      <c r="AU6" s="16" t="str">
        <f>IF(AT6="","",TEXT(AT6,"mmmm yyyy"))</f>
        <v>May 2026</v>
      </c>
      <c r="AV6" s="14">
        <f>IF(C6="","",C6-WEEKDAY(C6,2)+1)</f>
        <v>46153</v>
      </c>
      <c r="AW6" s="14">
        <f>IF(AV6="","",AV6+6)</f>
        <v>46159</v>
      </c>
      <c r="AX6" s="16" t="str">
        <f>IF(AV6="","",TEXT(AV6,"dd/mm/yyyy")&amp;" - "&amp;TEXT(AW6,"dd/mm/yyyy"))</f>
        <v>11/05/2026 - 17/05/2026</v>
      </c>
      <c r="AY6" s="16">
        <f>IF(B6="","",COUNTIFS($B$5:B6,B6,$AT$5:AT6,AT6))</f>
        <v>1</v>
      </c>
      <c r="AZ6" s="16">
        <f>IF(B6="","",COUNTIFS($B$5:B6,B6,$AV$5:AV6,AV6))</f>
        <v>1</v>
      </c>
      <c r="BA6" s="16" t="str">
        <f>IF(B6="","",TEXT(AY6,"00")&amp;"|"&amp;B6&amp;"|"&amp;TEXT(AT6,"yyyymmdd"))</f>
        <v>01|Chatkonnaphat Bhusomya|20260501</v>
      </c>
      <c r="BB6" s="16" t="str">
        <f>IF(B6="","",TEXT(AZ6,"00")&amp;"|"&amp;B6&amp;"|"&amp;TEXT(AV6,"yyyymmdd"))</f>
        <v>01|Chatkonnaphat Bhusomya|20260511</v>
      </c>
      <c r="BC6" s="16">
        <f>IF(OR(AQ6="YES",AQ6="Yes",AQ6="Y",AQ6=1),1,0)</f>
        <v>0</v>
      </c>
      <c r="BD6" s="23" t="s">
        <v>137</v>
      </c>
      <c r="BE6" t="s">
        <v>138</v>
      </c>
      <c r="BF6" s="26" t="s">
        <v>74</v>
      </c>
    </row>
    <row r="7" spans="1:58" ht="15" customHeight="1">
      <c r="A7" s="12">
        <v>46160.608911574076</v>
      </c>
      <c r="B7" s="13" t="s">
        <v>59</v>
      </c>
      <c r="C7" s="14">
        <v>46153</v>
      </c>
      <c r="D7" s="15">
        <v>0.7381944444423425</v>
      </c>
      <c r="E7" s="15">
        <v>0.74027777777519077</v>
      </c>
      <c r="F7" s="16" t="s">
        <v>139</v>
      </c>
      <c r="G7" s="17" t="s">
        <v>140</v>
      </c>
      <c r="H7" s="16">
        <v>10</v>
      </c>
      <c r="I7" s="21" t="s">
        <v>141</v>
      </c>
      <c r="J7" s="16">
        <v>10</v>
      </c>
      <c r="K7" s="18" t="s">
        <v>142</v>
      </c>
      <c r="L7" s="16">
        <v>9</v>
      </c>
      <c r="M7" s="21" t="s">
        <v>143</v>
      </c>
      <c r="N7" s="16">
        <v>9</v>
      </c>
      <c r="O7" s="21" t="s">
        <v>144</v>
      </c>
      <c r="P7" s="16">
        <v>7</v>
      </c>
      <c r="Q7" s="22" t="s">
        <v>145</v>
      </c>
      <c r="R7" s="16">
        <v>3</v>
      </c>
      <c r="S7" s="22" t="s">
        <v>146</v>
      </c>
      <c r="T7" s="16"/>
      <c r="U7" s="18"/>
      <c r="V7" s="16">
        <v>12</v>
      </c>
      <c r="W7" s="21" t="s">
        <v>147</v>
      </c>
      <c r="X7" s="16">
        <v>7</v>
      </c>
      <c r="Y7" s="21" t="s">
        <v>148</v>
      </c>
      <c r="Z7" s="16"/>
      <c r="AA7" s="18"/>
      <c r="AB7" s="16">
        <v>5</v>
      </c>
      <c r="AC7" s="18" t="s">
        <v>149</v>
      </c>
      <c r="AD7" s="16">
        <v>5</v>
      </c>
      <c r="AE7" s="18" t="s">
        <v>150</v>
      </c>
      <c r="AF7" s="16">
        <v>10</v>
      </c>
      <c r="AG7" s="18" t="s">
        <v>151</v>
      </c>
      <c r="AH7" s="16"/>
      <c r="AI7" s="18"/>
      <c r="AJ7" s="16"/>
      <c r="AK7" s="18"/>
      <c r="AL7" s="16"/>
      <c r="AM7" s="18"/>
      <c r="AN7" s="16"/>
      <c r="AO7" s="18"/>
      <c r="AP7" s="16" t="s">
        <v>60</v>
      </c>
      <c r="AQ7" s="18" t="s">
        <v>152</v>
      </c>
      <c r="AR7" s="16"/>
      <c r="AS7" s="19">
        <f>SUM(H7,J7,L7,N7,P7,R7,T7,V7,X7,Z7,AB7,AD7,AF7,AH7,AJ7,AL7,AN7)</f>
        <v>87</v>
      </c>
      <c r="AT7" s="14">
        <f>IF(C7="","",DATE(YEAR(C7),MONTH(C7),1))</f>
        <v>46143</v>
      </c>
      <c r="AU7" s="16" t="str">
        <f>IF(AT7="","",TEXT(AT7,"mmmm yyyy"))</f>
        <v>May 2026</v>
      </c>
      <c r="AV7" s="14">
        <f>IF(C7="","",C7-WEEKDAY(C7,2)+1)</f>
        <v>46153</v>
      </c>
      <c r="AW7" s="14">
        <f>IF(AV7="","",AV7+6)</f>
        <v>46159</v>
      </c>
      <c r="AX7" s="16" t="str">
        <f>IF(AV7="","",TEXT(AV7,"dd/mm/yyyy")&amp;" - "&amp;TEXT(AW7,"dd/mm/yyyy"))</f>
        <v>11/05/2026 - 17/05/2026</v>
      </c>
      <c r="AY7" s="16">
        <f>IF(B7="","",COUNTIFS($B$5:B7,B7,$AT$5:AT7,AT7))</f>
        <v>2</v>
      </c>
      <c r="AZ7" s="16">
        <f>IF(B7="","",COUNTIFS($B$5:B7,B7,$AV$5:AV7,AV7))</f>
        <v>2</v>
      </c>
      <c r="BA7" s="16" t="str">
        <f>IF(B7="","",TEXT(AY7,"00")&amp;"|"&amp;B7&amp;"|"&amp;TEXT(AT7,"yyyymmdd"))</f>
        <v>02|Chatkonnaphat Bhusomya|20260501</v>
      </c>
      <c r="BB7" s="16" t="str">
        <f>IF(B7="","",TEXT(AZ7,"00")&amp;"|"&amp;B7&amp;"|"&amp;TEXT(AV7,"yyyymmdd"))</f>
        <v>02|Chatkonnaphat Bhusomya|20260511</v>
      </c>
      <c r="BC7" s="16">
        <f>IF(OR(AQ7="YES",AQ7="Yes",AQ7="Y",AQ7=1),1,0)</f>
        <v>0</v>
      </c>
      <c r="BD7" s="23" t="s">
        <v>153</v>
      </c>
      <c r="BE7" t="s">
        <v>154</v>
      </c>
      <c r="BF7" s="26" t="s">
        <v>74</v>
      </c>
    </row>
    <row r="8" spans="1:58" ht="15" customHeight="1">
      <c r="A8" s="12">
        <v>46161.558883240737</v>
      </c>
      <c r="B8" s="13" t="s">
        <v>71</v>
      </c>
      <c r="C8" s="14">
        <v>46153</v>
      </c>
      <c r="D8" s="15">
        <v>0.49513888888759539</v>
      </c>
      <c r="E8" s="15">
        <v>0.507638888884685</v>
      </c>
      <c r="F8" s="16" t="s">
        <v>298</v>
      </c>
      <c r="G8" s="17" t="s">
        <v>299</v>
      </c>
      <c r="H8" s="16">
        <v>10</v>
      </c>
      <c r="I8" s="21" t="s">
        <v>300</v>
      </c>
      <c r="J8" s="16">
        <v>10</v>
      </c>
      <c r="K8" s="18" t="s">
        <v>301</v>
      </c>
      <c r="L8" s="16">
        <v>8</v>
      </c>
      <c r="M8" s="21" t="s">
        <v>302</v>
      </c>
      <c r="N8" s="16">
        <v>10</v>
      </c>
      <c r="O8" s="21" t="s">
        <v>303</v>
      </c>
      <c r="P8" s="16">
        <v>9</v>
      </c>
      <c r="Q8" s="22" t="s">
        <v>304</v>
      </c>
      <c r="R8" s="16">
        <v>5</v>
      </c>
      <c r="S8" s="22" t="s">
        <v>305</v>
      </c>
      <c r="T8" s="16"/>
      <c r="U8" s="18"/>
      <c r="V8" s="16">
        <v>15</v>
      </c>
      <c r="W8" s="21" t="s">
        <v>306</v>
      </c>
      <c r="X8" s="16">
        <v>10</v>
      </c>
      <c r="Y8" s="21" t="s">
        <v>307</v>
      </c>
      <c r="Z8" s="16"/>
      <c r="AA8" s="18"/>
      <c r="AB8" s="16">
        <v>5</v>
      </c>
      <c r="AC8" s="18" t="s">
        <v>308</v>
      </c>
      <c r="AD8" s="16">
        <v>5</v>
      </c>
      <c r="AE8" s="18" t="s">
        <v>309</v>
      </c>
      <c r="AF8" s="16">
        <v>10</v>
      </c>
      <c r="AG8" s="18" t="s">
        <v>310</v>
      </c>
      <c r="AH8" s="16"/>
      <c r="AI8" s="18"/>
      <c r="AJ8" s="16"/>
      <c r="AK8" s="18"/>
      <c r="AL8" s="16"/>
      <c r="AM8" s="18"/>
      <c r="AN8" s="16"/>
      <c r="AO8" s="18"/>
      <c r="AP8" s="16" t="s">
        <v>60</v>
      </c>
      <c r="AQ8" s="18" t="s">
        <v>311</v>
      </c>
      <c r="AR8" s="16"/>
      <c r="AS8" s="19">
        <f>SUM(H8,J8,L8,N8,P8,R8,T8,V8,X8,Z8,AB8,AD8,AF8,AH8,AJ8,AL8,AN8)</f>
        <v>97</v>
      </c>
      <c r="AT8" s="14">
        <f>IF(C8="","",DATE(YEAR(C8),MONTH(C8),1))</f>
        <v>46143</v>
      </c>
      <c r="AU8" s="16" t="str">
        <f>IF(AT8="","",TEXT(AT8,"mmmm yyyy"))</f>
        <v>May 2026</v>
      </c>
      <c r="AV8" s="14">
        <f>IF(C8="","",C8-WEEKDAY(C8,2)+1)</f>
        <v>46153</v>
      </c>
      <c r="AW8" s="14">
        <f>IF(AV8="","",AV8+6)</f>
        <v>46159</v>
      </c>
      <c r="AX8" s="16" t="str">
        <f>IF(AV8="","",TEXT(AV8,"dd/mm/yyyy")&amp;" - "&amp;TEXT(AW8,"dd/mm/yyyy"))</f>
        <v>11/05/2026 - 17/05/2026</v>
      </c>
      <c r="AY8" s="16">
        <f>IF(B8="","",COUNTIFS($B$5:B8,B8,$AT$5:AT8,AT8))</f>
        <v>1</v>
      </c>
      <c r="AZ8" s="16">
        <f>IF(B8="","",COUNTIFS($B$5:B8,B8,$AV$5:AV8,AV8))</f>
        <v>1</v>
      </c>
      <c r="BA8" s="16" t="str">
        <f>IF(B8="","",TEXT(AY8,"00")&amp;"|"&amp;B8&amp;"|"&amp;TEXT(AT8,"yyyymmdd"))</f>
        <v>01|Krivut Vongkampan|20260501</v>
      </c>
      <c r="BB8" s="16" t="str">
        <f>IF(B8="","",TEXT(AZ8,"00")&amp;"|"&amp;B8&amp;"|"&amp;TEXT(AV8,"yyyymmdd"))</f>
        <v>01|Krivut Vongkampan|20260511</v>
      </c>
      <c r="BC8" s="16">
        <f>IF(OR(AQ8="YES",AQ8="Yes",AQ8="Y",AQ8=1),1,0)</f>
        <v>0</v>
      </c>
      <c r="BD8" s="23" t="s">
        <v>312</v>
      </c>
      <c r="BE8" t="s">
        <v>313</v>
      </c>
      <c r="BF8" s="26" t="s">
        <v>74</v>
      </c>
    </row>
    <row r="9" spans="1:58" ht="15" customHeight="1">
      <c r="A9" s="12">
        <v>46162.575434814818</v>
      </c>
      <c r="B9" s="13" t="s">
        <v>64</v>
      </c>
      <c r="C9" s="14">
        <v>46153</v>
      </c>
      <c r="D9" s="15">
        <v>0.6444444444423425</v>
      </c>
      <c r="E9" s="15">
        <v>0.64930555555474712</v>
      </c>
      <c r="F9" s="16" t="s">
        <v>583</v>
      </c>
      <c r="G9" s="17" t="s">
        <v>584</v>
      </c>
      <c r="H9" s="16">
        <v>10</v>
      </c>
      <c r="I9" s="21" t="s">
        <v>585</v>
      </c>
      <c r="J9" s="16">
        <v>10</v>
      </c>
      <c r="K9" s="18" t="s">
        <v>586</v>
      </c>
      <c r="L9" s="16">
        <v>8</v>
      </c>
      <c r="M9" s="21" t="s">
        <v>587</v>
      </c>
      <c r="N9" s="16">
        <v>9</v>
      </c>
      <c r="O9" s="21" t="s">
        <v>588</v>
      </c>
      <c r="P9" s="16">
        <v>8</v>
      </c>
      <c r="Q9" s="22" t="s">
        <v>589</v>
      </c>
      <c r="R9" s="16">
        <v>4</v>
      </c>
      <c r="S9" s="22" t="s">
        <v>590</v>
      </c>
      <c r="T9" s="16"/>
      <c r="U9" s="18"/>
      <c r="V9" s="16">
        <v>13</v>
      </c>
      <c r="W9" s="21" t="s">
        <v>591</v>
      </c>
      <c r="X9" s="16">
        <v>8</v>
      </c>
      <c r="Y9" s="21" t="s">
        <v>592</v>
      </c>
      <c r="Z9" s="16"/>
      <c r="AA9" s="18"/>
      <c r="AB9" s="16">
        <v>4</v>
      </c>
      <c r="AC9" s="18" t="s">
        <v>593</v>
      </c>
      <c r="AD9" s="16">
        <v>4</v>
      </c>
      <c r="AE9" s="18" t="s">
        <v>594</v>
      </c>
      <c r="AF9" s="16">
        <v>9</v>
      </c>
      <c r="AG9" s="18" t="s">
        <v>595</v>
      </c>
      <c r="AH9" s="16"/>
      <c r="AI9" s="18"/>
      <c r="AJ9" s="16"/>
      <c r="AK9" s="18"/>
      <c r="AL9" s="16"/>
      <c r="AM9" s="18"/>
      <c r="AN9" s="16"/>
      <c r="AO9" s="18"/>
      <c r="AP9" s="16" t="s">
        <v>60</v>
      </c>
      <c r="AQ9" s="18" t="s">
        <v>596</v>
      </c>
      <c r="AR9" s="16"/>
      <c r="AS9" s="19">
        <f>SUM(H9,J9,L9,N9,P9,R9,T9,V9,X9,Z9,AB9,AD9,AF9,AH9,AJ9,AL9,AN9)</f>
        <v>87</v>
      </c>
      <c r="AT9" s="14">
        <f>IF(C9="","",DATE(YEAR(C9),MONTH(C9),1))</f>
        <v>46143</v>
      </c>
      <c r="AU9" s="16" t="str">
        <f>IF(AT9="","",TEXT(AT9,"mmmm yyyy"))</f>
        <v>May 2026</v>
      </c>
      <c r="AV9" s="14">
        <f>IF(C9="","",C9-WEEKDAY(C9,2)+1)</f>
        <v>46153</v>
      </c>
      <c r="AW9" s="14">
        <f>IF(AV9="","",AV9+6)</f>
        <v>46159</v>
      </c>
      <c r="AX9" s="16" t="str">
        <f>IF(AV9="","",TEXT(AV9,"dd/mm/yyyy")&amp;" - "&amp;TEXT(AW9,"dd/mm/yyyy"))</f>
        <v>11/05/2026 - 17/05/2026</v>
      </c>
      <c r="AY9" s="16">
        <f>IF(B9="","",COUNTIFS($B$5:B9,B9,$AT$5:AT9,AT9))</f>
        <v>1</v>
      </c>
      <c r="AZ9" s="16">
        <f>IF(B9="","",COUNTIFS($B$5:B9,B9,$AV$5:AV9,AV9))</f>
        <v>1</v>
      </c>
      <c r="BA9" s="25" t="str">
        <f>IF(B9="","",TEXT(AY9,"00")&amp;"|"&amp;B9&amp;"|"&amp;TEXT(AT9,"yyyymmdd"))</f>
        <v>01|Wachiraporn chailittichai|20260501</v>
      </c>
      <c r="BB9" s="16" t="str">
        <f>IF(B9="","",TEXT(AZ9,"00")&amp;"|"&amp;B9&amp;"|"&amp;TEXT(AV9,"yyyymmdd"))</f>
        <v>01|Wachiraporn chailittichai|20260511</v>
      </c>
      <c r="BC9" s="16">
        <f>IF(OR(AQ9="YES",AQ9="Yes",AQ9="Y",AQ9=1),1,0)</f>
        <v>0</v>
      </c>
      <c r="BD9" s="23" t="s">
        <v>597</v>
      </c>
      <c r="BE9" t="s">
        <v>598</v>
      </c>
      <c r="BF9" s="26" t="s">
        <v>74</v>
      </c>
    </row>
    <row r="10" spans="1:58" ht="15" customHeight="1">
      <c r="A10" s="12">
        <v>46161.520382534727</v>
      </c>
      <c r="B10" s="13" t="s">
        <v>71</v>
      </c>
      <c r="C10" s="14">
        <v>46155</v>
      </c>
      <c r="D10" s="15">
        <v>0.64930555555474712</v>
      </c>
      <c r="E10" s="15">
        <v>0.66041666666569654</v>
      </c>
      <c r="F10" s="16" t="s">
        <v>282</v>
      </c>
      <c r="G10" s="17" t="s">
        <v>283</v>
      </c>
      <c r="H10" s="16">
        <v>10</v>
      </c>
      <c r="I10" s="21" t="s">
        <v>284</v>
      </c>
      <c r="J10" s="16">
        <v>8</v>
      </c>
      <c r="K10" s="18" t="s">
        <v>285</v>
      </c>
      <c r="L10" s="16">
        <v>8</v>
      </c>
      <c r="M10" s="21" t="s">
        <v>286</v>
      </c>
      <c r="N10" s="16">
        <v>8</v>
      </c>
      <c r="O10" s="21" t="s">
        <v>287</v>
      </c>
      <c r="P10" s="16">
        <v>8</v>
      </c>
      <c r="Q10" s="22" t="s">
        <v>288</v>
      </c>
      <c r="R10" s="16">
        <v>4</v>
      </c>
      <c r="S10" s="22" t="s">
        <v>289</v>
      </c>
      <c r="T10" s="16"/>
      <c r="U10" s="18"/>
      <c r="V10" s="16">
        <v>13</v>
      </c>
      <c r="W10" s="21" t="s">
        <v>290</v>
      </c>
      <c r="X10" s="16">
        <v>8</v>
      </c>
      <c r="Y10" s="21" t="s">
        <v>291</v>
      </c>
      <c r="Z10" s="16"/>
      <c r="AA10" s="18"/>
      <c r="AB10" s="16">
        <v>4</v>
      </c>
      <c r="AC10" s="18" t="s">
        <v>292</v>
      </c>
      <c r="AD10" s="16">
        <v>4</v>
      </c>
      <c r="AE10" s="18" t="s">
        <v>293</v>
      </c>
      <c r="AF10" s="16">
        <v>9</v>
      </c>
      <c r="AG10" s="18" t="s">
        <v>294</v>
      </c>
      <c r="AH10" s="16"/>
      <c r="AI10" s="18"/>
      <c r="AJ10" s="16"/>
      <c r="AK10" s="18"/>
      <c r="AL10" s="16"/>
      <c r="AM10" s="18"/>
      <c r="AN10" s="16"/>
      <c r="AO10" s="18"/>
      <c r="AP10" s="16" t="s">
        <v>60</v>
      </c>
      <c r="AQ10" s="18" t="s">
        <v>295</v>
      </c>
      <c r="AR10" s="16"/>
      <c r="AS10" s="19">
        <f>SUM(H10,J10,L10,N10,P10,R10,T10,V10,X10,Z10,AB10,AD10,AF10,AH10,AJ10,AL10,AN10)</f>
        <v>84</v>
      </c>
      <c r="AT10" s="14">
        <f>IF(C10="","",DATE(YEAR(C10),MONTH(C10),1))</f>
        <v>46143</v>
      </c>
      <c r="AU10" s="16" t="str">
        <f>IF(AT10="","",TEXT(AT10,"mmmm yyyy"))</f>
        <v>May 2026</v>
      </c>
      <c r="AV10" s="14">
        <f>IF(C10="","",C10-WEEKDAY(C10,2)+1)</f>
        <v>46153</v>
      </c>
      <c r="AW10" s="14">
        <f>IF(AV10="","",AV10+6)</f>
        <v>46159</v>
      </c>
      <c r="AX10" s="16" t="str">
        <f>IF(AV10="","",TEXT(AV10,"dd/mm/yyyy")&amp;" - "&amp;TEXT(AW10,"dd/mm/yyyy"))</f>
        <v>11/05/2026 - 17/05/2026</v>
      </c>
      <c r="AY10" s="16">
        <f>IF(B10="","",COUNTIFS($B$5:B10,B10,$AT$5:AT10,AT10))</f>
        <v>2</v>
      </c>
      <c r="AZ10" s="16">
        <f>IF(B10="","",COUNTIFS($B$5:B10,B10,$AV$5:AV10,AV10))</f>
        <v>2</v>
      </c>
      <c r="BA10" s="16" t="str">
        <f>IF(B10="","",TEXT(AY10,"00")&amp;"|"&amp;B10&amp;"|"&amp;TEXT(AT10,"yyyymmdd"))</f>
        <v>02|Krivut Vongkampan|20260501</v>
      </c>
      <c r="BB10" s="16" t="str">
        <f>IF(B10="","",TEXT(AZ10,"00")&amp;"|"&amp;B10&amp;"|"&amp;TEXT(AV10,"yyyymmdd"))</f>
        <v>02|Krivut Vongkampan|20260511</v>
      </c>
      <c r="BC10" s="16">
        <f>IF(OR(AQ10="YES",AQ10="Yes",AQ10="Y",AQ10=1),1,0)</f>
        <v>0</v>
      </c>
      <c r="BD10" s="23" t="s">
        <v>296</v>
      </c>
      <c r="BE10" t="s">
        <v>297</v>
      </c>
      <c r="BF10" s="26" t="s">
        <v>74</v>
      </c>
    </row>
    <row r="11" spans="1:58" ht="15" customHeight="1">
      <c r="A11" s="12">
        <v>46161.748973553244</v>
      </c>
      <c r="B11" s="13" t="s">
        <v>68</v>
      </c>
      <c r="C11" s="14">
        <v>46155</v>
      </c>
      <c r="D11" s="15">
        <v>0.88819444444379769</v>
      </c>
      <c r="E11" s="15">
        <v>0.89375000000291038</v>
      </c>
      <c r="F11" s="16" t="s">
        <v>440</v>
      </c>
      <c r="G11" s="17" t="s">
        <v>441</v>
      </c>
      <c r="H11" s="16">
        <v>10</v>
      </c>
      <c r="I11" s="21" t="s">
        <v>442</v>
      </c>
      <c r="J11" s="16">
        <v>10</v>
      </c>
      <c r="K11" s="18" t="s">
        <v>443</v>
      </c>
      <c r="L11" s="16">
        <v>7</v>
      </c>
      <c r="M11" s="21" t="s">
        <v>444</v>
      </c>
      <c r="N11" s="16">
        <v>7</v>
      </c>
      <c r="O11" s="21" t="s">
        <v>445</v>
      </c>
      <c r="P11" s="16">
        <v>5</v>
      </c>
      <c r="Q11" s="22" t="s">
        <v>446</v>
      </c>
      <c r="R11" s="16">
        <v>3</v>
      </c>
      <c r="S11" s="22" t="s">
        <v>447</v>
      </c>
      <c r="T11" s="16"/>
      <c r="U11" s="18"/>
      <c r="V11" s="16">
        <v>10</v>
      </c>
      <c r="W11" s="21" t="s">
        <v>448</v>
      </c>
      <c r="X11" s="16">
        <v>6</v>
      </c>
      <c r="Y11" s="21" t="s">
        <v>449</v>
      </c>
      <c r="Z11" s="16"/>
      <c r="AA11" s="18"/>
      <c r="AB11" s="16">
        <v>4</v>
      </c>
      <c r="AC11" s="18" t="s">
        <v>450</v>
      </c>
      <c r="AD11" s="16">
        <v>4</v>
      </c>
      <c r="AE11" s="18" t="s">
        <v>451</v>
      </c>
      <c r="AF11" s="16">
        <v>8</v>
      </c>
      <c r="AG11" s="18" t="s">
        <v>452</v>
      </c>
      <c r="AH11" s="16"/>
      <c r="AI11" s="18"/>
      <c r="AJ11" s="16"/>
      <c r="AK11" s="18"/>
      <c r="AL11" s="16"/>
      <c r="AM11" s="18"/>
      <c r="AN11" s="16"/>
      <c r="AO11" s="18"/>
      <c r="AP11" s="16" t="s">
        <v>60</v>
      </c>
      <c r="AQ11" s="18" t="s">
        <v>453</v>
      </c>
      <c r="AR11" s="16"/>
      <c r="AS11" s="19">
        <f>SUM(H11,J11,L11,N11,P11,R11,T11,V11,X11,Z11,AB11,AD11,AF11,AH11,AJ11,AL11,AN11)</f>
        <v>74</v>
      </c>
      <c r="AT11" s="14">
        <f>IF(C11="","",DATE(YEAR(C11),MONTH(C11),1))</f>
        <v>46143</v>
      </c>
      <c r="AU11" s="16" t="str">
        <f>IF(AT11="","",TEXT(AT11,"mmmm yyyy"))</f>
        <v>May 2026</v>
      </c>
      <c r="AV11" s="14">
        <f>IF(C11="","",C11-WEEKDAY(C11,2)+1)</f>
        <v>46153</v>
      </c>
      <c r="AW11" s="14">
        <f>IF(AV11="","",AV11+6)</f>
        <v>46159</v>
      </c>
      <c r="AX11" s="16" t="str">
        <f>IF(AV11="","",TEXT(AV11,"dd/mm/yyyy")&amp;" - "&amp;TEXT(AW11,"dd/mm/yyyy"))</f>
        <v>11/05/2026 - 17/05/2026</v>
      </c>
      <c r="AY11" s="16">
        <f>IF(B11="","",COUNTIFS($B$5:B11,B11,$AT$5:AT11,AT11))</f>
        <v>1</v>
      </c>
      <c r="AZ11" s="16">
        <f>IF(B11="","",COUNTIFS($B$5:B11,B11,$AV$5:AV11,AV11))</f>
        <v>1</v>
      </c>
      <c r="BA11" s="25" t="str">
        <f>IF(B11="","",TEXT(AY11,"00")&amp;"|"&amp;B11&amp;"|"&amp;TEXT(AT11,"yyyymmdd"))</f>
        <v>01|Sunijtra Siritip|20260501</v>
      </c>
      <c r="BB11" s="16" t="str">
        <f>IF(B11="","",TEXT(AZ11,"00")&amp;"|"&amp;B11&amp;"|"&amp;TEXT(AV11,"yyyymmdd"))</f>
        <v>01|Sunijtra Siritip|20260511</v>
      </c>
      <c r="BC11" s="16">
        <f>IF(OR(AQ11="YES",AQ11="Yes",AQ11="Y",AQ11=1),1,0)</f>
        <v>0</v>
      </c>
      <c r="BD11" s="23" t="s">
        <v>454</v>
      </c>
      <c r="BE11" t="s">
        <v>455</v>
      </c>
      <c r="BF11" s="26" t="s">
        <v>74</v>
      </c>
    </row>
    <row r="12" spans="1:58" ht="15" customHeight="1">
      <c r="A12" s="12">
        <v>46162.483794016203</v>
      </c>
      <c r="B12" s="13" t="s">
        <v>65</v>
      </c>
      <c r="C12" s="14">
        <v>46155</v>
      </c>
      <c r="D12" s="15">
        <v>0.50138888889341615</v>
      </c>
      <c r="E12" s="15">
        <v>0.51805555555620231</v>
      </c>
      <c r="F12" s="16" t="s">
        <v>488</v>
      </c>
      <c r="G12" s="17" t="s">
        <v>489</v>
      </c>
      <c r="H12" s="16">
        <v>10</v>
      </c>
      <c r="I12" s="21" t="s">
        <v>490</v>
      </c>
      <c r="J12" s="16">
        <v>8</v>
      </c>
      <c r="K12" s="18" t="s">
        <v>491</v>
      </c>
      <c r="L12" s="16">
        <v>9</v>
      </c>
      <c r="M12" s="21" t="s">
        <v>492</v>
      </c>
      <c r="N12" s="16">
        <v>9</v>
      </c>
      <c r="O12" s="21" t="s">
        <v>493</v>
      </c>
      <c r="P12" s="16">
        <v>6</v>
      </c>
      <c r="Q12" s="22" t="s">
        <v>494</v>
      </c>
      <c r="R12" s="16">
        <v>3</v>
      </c>
      <c r="S12" s="22" t="s">
        <v>495</v>
      </c>
      <c r="T12" s="16"/>
      <c r="U12" s="18"/>
      <c r="V12" s="16">
        <v>12</v>
      </c>
      <c r="W12" s="21" t="s">
        <v>496</v>
      </c>
      <c r="X12" s="16">
        <v>8</v>
      </c>
      <c r="Y12" s="21" t="s">
        <v>497</v>
      </c>
      <c r="Z12" s="16"/>
      <c r="AA12" s="18"/>
      <c r="AB12" s="16">
        <v>4</v>
      </c>
      <c r="AC12" s="18" t="s">
        <v>498</v>
      </c>
      <c r="AD12" s="16">
        <v>5</v>
      </c>
      <c r="AE12" s="18" t="s">
        <v>499</v>
      </c>
      <c r="AF12" s="16">
        <v>10</v>
      </c>
      <c r="AG12" s="18" t="s">
        <v>500</v>
      </c>
      <c r="AH12" s="16"/>
      <c r="AI12" s="18"/>
      <c r="AJ12" s="16"/>
      <c r="AK12" s="18"/>
      <c r="AL12" s="16"/>
      <c r="AM12" s="18"/>
      <c r="AN12" s="16"/>
      <c r="AO12" s="18"/>
      <c r="AP12" s="16" t="s">
        <v>60</v>
      </c>
      <c r="AQ12" s="18" t="s">
        <v>501</v>
      </c>
      <c r="AR12" s="16"/>
      <c r="AS12" s="19">
        <f>SUM(H12,J12,L12,N12,P12,R12,T12,V12,X12,Z12,AB12,AD12,AF12,AH12,AJ12,AL12,AN12)</f>
        <v>84</v>
      </c>
      <c r="AT12" s="14">
        <f>IF(C12="","",DATE(YEAR(C12),MONTH(C12),1))</f>
        <v>46143</v>
      </c>
      <c r="AU12" s="16" t="str">
        <f>IF(AT12="","",TEXT(AT12,"mmmm yyyy"))</f>
        <v>May 2026</v>
      </c>
      <c r="AV12" s="14">
        <f>IF(C12="","",C12-WEEKDAY(C12,2)+1)</f>
        <v>46153</v>
      </c>
      <c r="AW12" s="14">
        <f>IF(AV12="","",AV12+6)</f>
        <v>46159</v>
      </c>
      <c r="AX12" s="16" t="str">
        <f>IF(AV12="","",TEXT(AV12,"dd/mm/yyyy")&amp;" - "&amp;TEXT(AW12,"dd/mm/yyyy"))</f>
        <v>11/05/2026 - 17/05/2026</v>
      </c>
      <c r="AY12" s="16">
        <f>IF(B12="","",COUNTIFS($B$5:B12,B12,$AT$5:AT12,AT12))</f>
        <v>1</v>
      </c>
      <c r="AZ12" s="16">
        <f>IF(B12="","",COUNTIFS($B$5:B12,B12,$AV$5:AV12,AV12))</f>
        <v>1</v>
      </c>
      <c r="BA12" s="25" t="str">
        <f>IF(B12="","",TEXT(AY12,"00")&amp;"|"&amp;B12&amp;"|"&amp;TEXT(AT12,"yyyymmdd"))</f>
        <v>01|Supakrit Promkhamnoi|20260501</v>
      </c>
      <c r="BB12" s="16" t="str">
        <f>IF(B12="","",TEXT(AZ12,"00")&amp;"|"&amp;B12&amp;"|"&amp;TEXT(AV12,"yyyymmdd"))</f>
        <v>01|Supakrit Promkhamnoi|20260511</v>
      </c>
      <c r="BC12" s="16">
        <f>IF(OR(AQ12="YES",AQ12="Yes",AQ12="Y",AQ12=1),1,0)</f>
        <v>0</v>
      </c>
      <c r="BD12" s="23" t="s">
        <v>502</v>
      </c>
      <c r="BE12" t="s">
        <v>503</v>
      </c>
      <c r="BF12" s="26" t="s">
        <v>74</v>
      </c>
    </row>
    <row r="13" spans="1:58" ht="15" customHeight="1">
      <c r="A13" s="12">
        <v>46162.496043680556</v>
      </c>
      <c r="B13" s="13" t="s">
        <v>66</v>
      </c>
      <c r="C13" s="14">
        <v>46155</v>
      </c>
      <c r="D13" s="15">
        <v>0.46805555555329192</v>
      </c>
      <c r="E13" s="15">
        <v>0.48124999999708962</v>
      </c>
      <c r="F13" s="16" t="s">
        <v>504</v>
      </c>
      <c r="G13" s="17" t="s">
        <v>505</v>
      </c>
      <c r="H13" s="16">
        <v>10</v>
      </c>
      <c r="I13" s="21" t="s">
        <v>506</v>
      </c>
      <c r="J13" s="16">
        <v>10</v>
      </c>
      <c r="K13" s="18" t="s">
        <v>507</v>
      </c>
      <c r="L13" s="16">
        <v>9</v>
      </c>
      <c r="M13" s="21" t="s">
        <v>508</v>
      </c>
      <c r="N13" s="16">
        <v>9</v>
      </c>
      <c r="O13" s="21" t="s">
        <v>509</v>
      </c>
      <c r="P13" s="16">
        <v>10</v>
      </c>
      <c r="Q13" s="22" t="s">
        <v>510</v>
      </c>
      <c r="R13" s="16">
        <v>4</v>
      </c>
      <c r="S13" s="22" t="s">
        <v>511</v>
      </c>
      <c r="T13" s="16"/>
      <c r="U13" s="18"/>
      <c r="V13" s="16">
        <v>15</v>
      </c>
      <c r="W13" s="21" t="s">
        <v>512</v>
      </c>
      <c r="X13" s="16">
        <v>9</v>
      </c>
      <c r="Y13" s="21" t="s">
        <v>513</v>
      </c>
      <c r="Z13" s="16"/>
      <c r="AA13" s="18"/>
      <c r="AB13" s="16">
        <v>5</v>
      </c>
      <c r="AC13" s="18" t="s">
        <v>514</v>
      </c>
      <c r="AD13" s="16">
        <v>5</v>
      </c>
      <c r="AE13" s="18" t="s">
        <v>515</v>
      </c>
      <c r="AF13" s="16">
        <v>10</v>
      </c>
      <c r="AG13" s="18" t="s">
        <v>516</v>
      </c>
      <c r="AH13" s="16"/>
      <c r="AI13" s="18"/>
      <c r="AJ13" s="16"/>
      <c r="AK13" s="18"/>
      <c r="AL13" s="16"/>
      <c r="AM13" s="18"/>
      <c r="AN13" s="16"/>
      <c r="AO13" s="18"/>
      <c r="AP13" s="16" t="s">
        <v>60</v>
      </c>
      <c r="AQ13" s="18" t="s">
        <v>517</v>
      </c>
      <c r="AR13" s="16"/>
      <c r="AS13" s="19">
        <f>SUM(H13,J13,L13,N13,P13,R13,T13,V13,X13,Z13,AB13,AD13,AF13,AH13,AJ13,AL13,AN13)</f>
        <v>96</v>
      </c>
      <c r="AT13" s="14">
        <f>IF(C13="","",DATE(YEAR(C13),MONTH(C13),1))</f>
        <v>46143</v>
      </c>
      <c r="AU13" s="16" t="str">
        <f>IF(AT13="","",TEXT(AT13,"mmmm yyyy"))</f>
        <v>May 2026</v>
      </c>
      <c r="AV13" s="14">
        <f>IF(C13="","",C13-WEEKDAY(C13,2)+1)</f>
        <v>46153</v>
      </c>
      <c r="AW13" s="14">
        <f>IF(AV13="","",AV13+6)</f>
        <v>46159</v>
      </c>
      <c r="AX13" s="16" t="str">
        <f>IF(AV13="","",TEXT(AV13,"dd/mm/yyyy")&amp;" - "&amp;TEXT(AW13,"dd/mm/yyyy"))</f>
        <v>11/05/2026 - 17/05/2026</v>
      </c>
      <c r="AY13" s="16">
        <f>IF(B13="","",COUNTIFS($B$5:B13,B13,$AT$5:AT13,AT13))</f>
        <v>1</v>
      </c>
      <c r="AZ13" s="16">
        <f>IF(B13="","",COUNTIFS($B$5:B13,B13,$AV$5:AV13,AV13))</f>
        <v>1</v>
      </c>
      <c r="BA13" s="25" t="str">
        <f>IF(B13="","",TEXT(AY13,"00")&amp;"|"&amp;B13&amp;"|"&amp;TEXT(AT13,"yyyymmdd"))</f>
        <v>01|Suphitcha Keawliam|20260501</v>
      </c>
      <c r="BB13" s="16" t="str">
        <f>IF(B13="","",TEXT(AZ13,"00")&amp;"|"&amp;B13&amp;"|"&amp;TEXT(AV13,"yyyymmdd"))</f>
        <v>01|Suphitcha Keawliam|20260511</v>
      </c>
      <c r="BC13" s="16">
        <f>IF(OR(AQ13="YES",AQ13="Yes",AQ13="Y",AQ13=1),1,0)</f>
        <v>0</v>
      </c>
      <c r="BD13" s="23" t="s">
        <v>518</v>
      </c>
      <c r="BE13" t="s">
        <v>519</v>
      </c>
      <c r="BF13" s="26" t="s">
        <v>74</v>
      </c>
    </row>
    <row r="14" spans="1:58" ht="15" customHeight="1">
      <c r="A14" s="12">
        <v>46160.490885208332</v>
      </c>
      <c r="B14" s="13" t="s">
        <v>72</v>
      </c>
      <c r="C14" s="14">
        <v>46156</v>
      </c>
      <c r="D14" s="15">
        <v>0.62569444444670808</v>
      </c>
      <c r="E14" s="15">
        <v>0.632638888884685</v>
      </c>
      <c r="F14" s="16" t="s">
        <v>92</v>
      </c>
      <c r="G14" s="17" t="s">
        <v>93</v>
      </c>
      <c r="H14" s="16">
        <v>8</v>
      </c>
      <c r="I14" s="21" t="s">
        <v>94</v>
      </c>
      <c r="J14" s="16">
        <v>10</v>
      </c>
      <c r="K14" s="18" t="s">
        <v>95</v>
      </c>
      <c r="L14" s="16">
        <v>8</v>
      </c>
      <c r="M14" s="21" t="s">
        <v>96</v>
      </c>
      <c r="N14" s="16">
        <v>6</v>
      </c>
      <c r="O14" s="21" t="s">
        <v>97</v>
      </c>
      <c r="P14" s="16">
        <v>6</v>
      </c>
      <c r="Q14" s="22" t="s">
        <v>98</v>
      </c>
      <c r="R14" s="16">
        <v>2</v>
      </c>
      <c r="S14" s="22" t="s">
        <v>99</v>
      </c>
      <c r="T14" s="16"/>
      <c r="U14" s="18"/>
      <c r="V14" s="16">
        <v>10</v>
      </c>
      <c r="W14" s="21" t="s">
        <v>100</v>
      </c>
      <c r="X14" s="16">
        <v>6</v>
      </c>
      <c r="Y14" s="21" t="s">
        <v>101</v>
      </c>
      <c r="Z14" s="16"/>
      <c r="AA14" s="18"/>
      <c r="AB14" s="16">
        <v>4</v>
      </c>
      <c r="AC14" s="18" t="s">
        <v>102</v>
      </c>
      <c r="AD14" s="16">
        <v>4</v>
      </c>
      <c r="AE14" s="18" t="s">
        <v>103</v>
      </c>
      <c r="AF14" s="16">
        <v>10</v>
      </c>
      <c r="AG14" s="18" t="s">
        <v>104</v>
      </c>
      <c r="AH14" s="16"/>
      <c r="AI14" s="18"/>
      <c r="AJ14" s="16"/>
      <c r="AK14" s="18"/>
      <c r="AL14" s="16"/>
      <c r="AM14" s="18"/>
      <c r="AN14" s="16"/>
      <c r="AO14" s="18"/>
      <c r="AP14" s="16" t="s">
        <v>60</v>
      </c>
      <c r="AQ14" s="18" t="s">
        <v>105</v>
      </c>
      <c r="AR14" s="16"/>
      <c r="AS14" s="19">
        <f>SUM(H14,J14,L14,N14,P14,R14,T14,V14,X14,Z14,AB14,AD14,AF14,AH14,AJ14,AL14,AN14)</f>
        <v>74</v>
      </c>
      <c r="AT14" s="14">
        <f>IF(C14="","",DATE(YEAR(C14),MONTH(C14),1))</f>
        <v>46143</v>
      </c>
      <c r="AU14" s="16" t="str">
        <f>IF(AT14="","",TEXT(AT14,"mmmm yyyy"))</f>
        <v>May 2026</v>
      </c>
      <c r="AV14" s="14">
        <f>IF(C14="","",C14-WEEKDAY(C14,2)+1)</f>
        <v>46153</v>
      </c>
      <c r="AW14" s="14">
        <f>IF(AV14="","",AV14+6)</f>
        <v>46159</v>
      </c>
      <c r="AX14" s="16" t="str">
        <f>IF(AV14="","",TEXT(AV14,"dd/mm/yyyy")&amp;" - "&amp;TEXT(AW14,"dd/mm/yyyy"))</f>
        <v>11/05/2026 - 17/05/2026</v>
      </c>
      <c r="AY14" s="16">
        <f>IF(B14="","",COUNTIFS($B$5:B14,B14,$AT$5:AT14,AT14))</f>
        <v>2</v>
      </c>
      <c r="AZ14" s="16">
        <f>IF(B14="","",COUNTIFS($B$5:B14,B14,$AV$5:AV14,AV14))</f>
        <v>2</v>
      </c>
      <c r="BA14" s="16" t="str">
        <f>IF(B14="","",TEXT(AY14,"00")&amp;"|"&amp;B14&amp;"|"&amp;TEXT(AT14,"yyyymmdd"))</f>
        <v>02|Anucha Makundin|20260501</v>
      </c>
      <c r="BB14" s="16" t="str">
        <f>IF(B14="","",TEXT(AZ14,"00")&amp;"|"&amp;B14&amp;"|"&amp;TEXT(AV14,"yyyymmdd"))</f>
        <v>02|Anucha Makundin|20260511</v>
      </c>
      <c r="BC14" s="16">
        <f>IF(OR(AQ14="YES",AQ14="Yes",AQ14="Y",AQ14=1),1,0)</f>
        <v>0</v>
      </c>
      <c r="BD14" s="23" t="s">
        <v>106</v>
      </c>
      <c r="BE14" t="s">
        <v>107</v>
      </c>
      <c r="BF14" s="26" t="s">
        <v>74</v>
      </c>
    </row>
    <row r="15" spans="1:58" ht="15" customHeight="1">
      <c r="A15" s="12">
        <v>46160.548996562502</v>
      </c>
      <c r="B15" s="13" t="s">
        <v>72</v>
      </c>
      <c r="C15" s="14">
        <v>46156</v>
      </c>
      <c r="D15" s="15">
        <v>0.59652777777955635</v>
      </c>
      <c r="E15" s="15">
        <v>0.60069444444525288</v>
      </c>
      <c r="F15" s="16" t="s">
        <v>108</v>
      </c>
      <c r="G15" s="17" t="s">
        <v>109</v>
      </c>
      <c r="H15" s="16">
        <v>8</v>
      </c>
      <c r="I15" s="21" t="s">
        <v>110</v>
      </c>
      <c r="J15" s="16">
        <v>10</v>
      </c>
      <c r="K15" s="18" t="s">
        <v>77</v>
      </c>
      <c r="L15" s="16">
        <v>8</v>
      </c>
      <c r="M15" s="21" t="s">
        <v>111</v>
      </c>
      <c r="N15" s="16">
        <v>7</v>
      </c>
      <c r="O15" s="21" t="s">
        <v>112</v>
      </c>
      <c r="P15" s="16">
        <v>7</v>
      </c>
      <c r="Q15" s="22" t="s">
        <v>113</v>
      </c>
      <c r="R15" s="16">
        <v>3</v>
      </c>
      <c r="S15" s="22" t="s">
        <v>114</v>
      </c>
      <c r="T15" s="16"/>
      <c r="U15" s="18"/>
      <c r="V15" s="16">
        <v>12</v>
      </c>
      <c r="W15" s="21" t="s">
        <v>115</v>
      </c>
      <c r="X15" s="16">
        <v>7</v>
      </c>
      <c r="Y15" s="21" t="s">
        <v>116</v>
      </c>
      <c r="Z15" s="16"/>
      <c r="AA15" s="18"/>
      <c r="AB15" s="16">
        <v>5</v>
      </c>
      <c r="AC15" s="18" t="s">
        <v>117</v>
      </c>
      <c r="AD15" s="16">
        <v>5</v>
      </c>
      <c r="AE15" s="18" t="s">
        <v>118</v>
      </c>
      <c r="AF15" s="16">
        <v>10</v>
      </c>
      <c r="AG15" s="18" t="s">
        <v>119</v>
      </c>
      <c r="AH15" s="16"/>
      <c r="AI15" s="18"/>
      <c r="AJ15" s="16"/>
      <c r="AK15" s="18"/>
      <c r="AL15" s="16"/>
      <c r="AM15" s="18"/>
      <c r="AN15" s="16"/>
      <c r="AO15" s="18"/>
      <c r="AP15" s="16" t="s">
        <v>60</v>
      </c>
      <c r="AQ15" s="18" t="s">
        <v>120</v>
      </c>
      <c r="AR15" s="16"/>
      <c r="AS15" s="19">
        <f>SUM(H15,J15,L15,N15,P15,R15,T15,V15,X15,Z15,AB15,AD15,AF15,AH15,AJ15,AL15,AN15)</f>
        <v>82</v>
      </c>
      <c r="AT15" s="14">
        <f>IF(C15="","",DATE(YEAR(C15),MONTH(C15),1))</f>
        <v>46143</v>
      </c>
      <c r="AU15" s="16" t="str">
        <f>IF(AT15="","",TEXT(AT15,"mmmm yyyy"))</f>
        <v>May 2026</v>
      </c>
      <c r="AV15" s="14">
        <f>IF(C15="","",C15-WEEKDAY(C15,2)+1)</f>
        <v>46153</v>
      </c>
      <c r="AW15" s="14">
        <f>IF(AV15="","",AV15+6)</f>
        <v>46159</v>
      </c>
      <c r="AX15" s="16" t="str">
        <f>IF(AV15="","",TEXT(AV15,"dd/mm/yyyy")&amp;" - "&amp;TEXT(AW15,"dd/mm/yyyy"))</f>
        <v>11/05/2026 - 17/05/2026</v>
      </c>
      <c r="AY15" s="16">
        <f>IF(B15="","",COUNTIFS($B$5:B15,B15,$AT$5:AT15,AT15))</f>
        <v>3</v>
      </c>
      <c r="AZ15" s="16">
        <f>IF(B15="","",COUNTIFS($B$5:B15,B15,$AV$5:AV15,AV15))</f>
        <v>3</v>
      </c>
      <c r="BA15" s="16" t="str">
        <f>IF(B15="","",TEXT(AY15,"00")&amp;"|"&amp;B15&amp;"|"&amp;TEXT(AT15,"yyyymmdd"))</f>
        <v>03|Anucha Makundin|20260501</v>
      </c>
      <c r="BB15" s="16" t="str">
        <f>IF(B15="","",TEXT(AZ15,"00")&amp;"|"&amp;B15&amp;"|"&amp;TEXT(AV15,"yyyymmdd"))</f>
        <v>03|Anucha Makundin|20260511</v>
      </c>
      <c r="BC15" s="16">
        <f>IF(OR(AQ15="YES",AQ15="Yes",AQ15="Y",AQ15=1),1,0)</f>
        <v>0</v>
      </c>
      <c r="BD15" s="23" t="s">
        <v>121</v>
      </c>
      <c r="BE15" t="s">
        <v>122</v>
      </c>
      <c r="BF15" s="26" t="s">
        <v>74</v>
      </c>
    </row>
    <row r="16" spans="1:58" ht="15" customHeight="1">
      <c r="A16" s="12">
        <v>46160.661792326384</v>
      </c>
      <c r="B16" s="13" t="s">
        <v>62</v>
      </c>
      <c r="C16" s="14">
        <v>46156</v>
      </c>
      <c r="D16" s="15">
        <v>0.867361111115315</v>
      </c>
      <c r="E16" s="15">
        <v>0.87986111111240461</v>
      </c>
      <c r="F16" s="16" t="s">
        <v>186</v>
      </c>
      <c r="G16" s="17" t="s">
        <v>187</v>
      </c>
      <c r="H16" s="16">
        <v>10</v>
      </c>
      <c r="I16" s="21" t="s">
        <v>188</v>
      </c>
      <c r="J16" s="16">
        <v>8</v>
      </c>
      <c r="K16" s="18" t="s">
        <v>189</v>
      </c>
      <c r="L16" s="16">
        <v>9</v>
      </c>
      <c r="M16" s="21" t="s">
        <v>190</v>
      </c>
      <c r="N16" s="16">
        <v>9</v>
      </c>
      <c r="O16" s="21" t="s">
        <v>191</v>
      </c>
      <c r="P16" s="16">
        <v>8</v>
      </c>
      <c r="Q16" s="22" t="s">
        <v>192</v>
      </c>
      <c r="R16" s="16">
        <v>4</v>
      </c>
      <c r="S16" s="22" t="s">
        <v>193</v>
      </c>
      <c r="T16" s="16"/>
      <c r="U16" s="18"/>
      <c r="V16" s="16">
        <v>13</v>
      </c>
      <c r="W16" s="21" t="s">
        <v>194</v>
      </c>
      <c r="X16" s="16">
        <v>7</v>
      </c>
      <c r="Y16" s="21" t="s">
        <v>195</v>
      </c>
      <c r="Z16" s="16"/>
      <c r="AA16" s="18"/>
      <c r="AB16" s="16">
        <v>5</v>
      </c>
      <c r="AC16" s="18" t="s">
        <v>196</v>
      </c>
      <c r="AD16" s="16">
        <v>5</v>
      </c>
      <c r="AE16" s="18" t="s">
        <v>197</v>
      </c>
      <c r="AF16" s="16">
        <v>9</v>
      </c>
      <c r="AG16" s="18" t="s">
        <v>198</v>
      </c>
      <c r="AH16" s="16"/>
      <c r="AI16" s="18"/>
      <c r="AJ16" s="16"/>
      <c r="AK16" s="18"/>
      <c r="AL16" s="16"/>
      <c r="AM16" s="18"/>
      <c r="AN16" s="16"/>
      <c r="AO16" s="18"/>
      <c r="AP16" s="16" t="s">
        <v>60</v>
      </c>
      <c r="AQ16" s="18" t="s">
        <v>199</v>
      </c>
      <c r="AR16" s="16"/>
      <c r="AS16" s="19">
        <f>SUM(H16,J16,L16,N16,P16,R16,T16,V16,X16,Z16,AB16,AD16,AF16,AH16,AJ16,AL16,AN16)</f>
        <v>87</v>
      </c>
      <c r="AT16" s="14">
        <f>IF(C16="","",DATE(YEAR(C16),MONTH(C16),1))</f>
        <v>46143</v>
      </c>
      <c r="AU16" s="16" t="str">
        <f>IF(AT16="","",TEXT(AT16,"mmmm yyyy"))</f>
        <v>May 2026</v>
      </c>
      <c r="AV16" s="14">
        <f>IF(C16="","",C16-WEEKDAY(C16,2)+1)</f>
        <v>46153</v>
      </c>
      <c r="AW16" s="14">
        <f>IF(AV16="","",AV16+6)</f>
        <v>46159</v>
      </c>
      <c r="AX16" s="16" t="str">
        <f>IF(AV16="","",TEXT(AV16,"dd/mm/yyyy")&amp;" - "&amp;TEXT(AW16,"dd/mm/yyyy"))</f>
        <v>11/05/2026 - 17/05/2026</v>
      </c>
      <c r="AY16" s="16">
        <f>IF(B16="","",COUNTIFS($B$5:B16,B16,$AT$5:AT16,AT16))</f>
        <v>1</v>
      </c>
      <c r="AZ16" s="16">
        <f>IF(B16="","",COUNTIFS($B$5:B16,B16,$AV$5:AV16,AV16))</f>
        <v>1</v>
      </c>
      <c r="BA16" s="16" t="str">
        <f>IF(B16="","",TEXT(AY16,"00")&amp;"|"&amp;B16&amp;"|"&amp;TEXT(AT16,"yyyymmdd"))</f>
        <v>01|Jariyawadee Taboodda|20260501</v>
      </c>
      <c r="BB16" s="16" t="str">
        <f>IF(B16="","",TEXT(AZ16,"00")&amp;"|"&amp;B16&amp;"|"&amp;TEXT(AV16,"yyyymmdd"))</f>
        <v>01|Jariyawadee Taboodda|20260511</v>
      </c>
      <c r="BC16" s="16">
        <f>IF(OR(AQ16="YES",AQ16="Yes",AQ16="Y",AQ16=1),1,0)</f>
        <v>0</v>
      </c>
      <c r="BD16" s="23" t="s">
        <v>200</v>
      </c>
      <c r="BE16" t="s">
        <v>201</v>
      </c>
      <c r="BF16" s="26" t="s">
        <v>74</v>
      </c>
    </row>
    <row r="17" spans="1:58" ht="15" customHeight="1">
      <c r="A17" s="12">
        <v>46160.680562037036</v>
      </c>
      <c r="B17" s="13" t="s">
        <v>62</v>
      </c>
      <c r="C17" s="14">
        <v>46156</v>
      </c>
      <c r="D17" s="15">
        <v>0.61597222222189885</v>
      </c>
      <c r="E17" s="15">
        <v>0.62083333333430346</v>
      </c>
      <c r="F17" s="16" t="s">
        <v>202</v>
      </c>
      <c r="G17" s="17" t="s">
        <v>203</v>
      </c>
      <c r="H17" s="16">
        <v>10</v>
      </c>
      <c r="I17" s="21" t="s">
        <v>204</v>
      </c>
      <c r="J17" s="16">
        <v>9</v>
      </c>
      <c r="K17" s="18" t="s">
        <v>205</v>
      </c>
      <c r="L17" s="16">
        <v>8</v>
      </c>
      <c r="M17" s="21" t="s">
        <v>206</v>
      </c>
      <c r="N17" s="16">
        <v>8</v>
      </c>
      <c r="O17" s="21" t="s">
        <v>207</v>
      </c>
      <c r="P17" s="16">
        <v>8</v>
      </c>
      <c r="Q17" s="22" t="s">
        <v>208</v>
      </c>
      <c r="R17" s="16">
        <v>3</v>
      </c>
      <c r="S17" s="22" t="s">
        <v>209</v>
      </c>
      <c r="T17" s="16"/>
      <c r="U17" s="18"/>
      <c r="V17" s="16">
        <v>12</v>
      </c>
      <c r="W17" s="21" t="s">
        <v>210</v>
      </c>
      <c r="X17" s="16">
        <v>7</v>
      </c>
      <c r="Y17" s="21" t="s">
        <v>211</v>
      </c>
      <c r="Z17" s="16"/>
      <c r="AA17" s="18"/>
      <c r="AB17" s="16">
        <v>3</v>
      </c>
      <c r="AC17" s="18" t="s">
        <v>212</v>
      </c>
      <c r="AD17" s="16">
        <v>3</v>
      </c>
      <c r="AE17" s="18" t="s">
        <v>213</v>
      </c>
      <c r="AF17" s="16">
        <v>8</v>
      </c>
      <c r="AG17" s="18" t="s">
        <v>214</v>
      </c>
      <c r="AH17" s="16"/>
      <c r="AI17" s="18"/>
      <c r="AJ17" s="16"/>
      <c r="AK17" s="18"/>
      <c r="AL17" s="16"/>
      <c r="AM17" s="18"/>
      <c r="AN17" s="16"/>
      <c r="AO17" s="18"/>
      <c r="AP17" s="16" t="s">
        <v>60</v>
      </c>
      <c r="AQ17" s="18" t="s">
        <v>215</v>
      </c>
      <c r="AR17" s="16"/>
      <c r="AS17" s="19">
        <f>SUM(H17,J17,L17,N17,P17,R17,T17,V17,X17,Z17,AB17,AD17,AF17,AH17,AJ17,AL17,AN17)</f>
        <v>79</v>
      </c>
      <c r="AT17" s="14">
        <f>IF(C17="","",DATE(YEAR(C17),MONTH(C17),1))</f>
        <v>46143</v>
      </c>
      <c r="AU17" s="16" t="str">
        <f>IF(AT17="","",TEXT(AT17,"mmmm yyyy"))</f>
        <v>May 2026</v>
      </c>
      <c r="AV17" s="14">
        <f>IF(C17="","",C17-WEEKDAY(C17,2)+1)</f>
        <v>46153</v>
      </c>
      <c r="AW17" s="14">
        <f>IF(AV17="","",AV17+6)</f>
        <v>46159</v>
      </c>
      <c r="AX17" s="16" t="str">
        <f>IF(AV17="","",TEXT(AV17,"dd/mm/yyyy")&amp;" - "&amp;TEXT(AW17,"dd/mm/yyyy"))</f>
        <v>11/05/2026 - 17/05/2026</v>
      </c>
      <c r="AY17" s="16">
        <f>IF(B17="","",COUNTIFS($B$5:B17,B17,$AT$5:AT17,AT17))</f>
        <v>2</v>
      </c>
      <c r="AZ17" s="16">
        <f>IF(B17="","",COUNTIFS($B$5:B17,B17,$AV$5:AV17,AV17))</f>
        <v>2</v>
      </c>
      <c r="BA17" s="16" t="str">
        <f>IF(B17="","",TEXT(AY17,"00")&amp;"|"&amp;B17&amp;"|"&amp;TEXT(AT17,"yyyymmdd"))</f>
        <v>02|Jariyawadee Taboodda|20260501</v>
      </c>
      <c r="BB17" s="16" t="str">
        <f>IF(B17="","",TEXT(AZ17,"00")&amp;"|"&amp;B17&amp;"|"&amp;TEXT(AV17,"yyyymmdd"))</f>
        <v>02|Jariyawadee Taboodda|20260511</v>
      </c>
      <c r="BC17" s="16">
        <f>IF(OR(AQ17="YES",AQ17="Yes",AQ17="Y",AQ17=1),1,0)</f>
        <v>0</v>
      </c>
      <c r="BD17" s="23" t="s">
        <v>216</v>
      </c>
      <c r="BE17" t="s">
        <v>217</v>
      </c>
      <c r="BF17" s="26" t="s">
        <v>74</v>
      </c>
    </row>
    <row r="18" spans="1:58" ht="15" customHeight="1">
      <c r="A18" s="12">
        <v>46160.762421400461</v>
      </c>
      <c r="B18" s="13" t="s">
        <v>61</v>
      </c>
      <c r="C18" s="14">
        <v>46156</v>
      </c>
      <c r="D18" s="15">
        <v>0.66249999999854481</v>
      </c>
      <c r="E18" s="15">
        <v>0.66736111111094942</v>
      </c>
      <c r="F18" s="16" t="s">
        <v>250</v>
      </c>
      <c r="G18" s="17" t="s">
        <v>251</v>
      </c>
      <c r="H18" s="16">
        <v>10</v>
      </c>
      <c r="I18" s="21" t="s">
        <v>252</v>
      </c>
      <c r="J18" s="16">
        <v>10</v>
      </c>
      <c r="K18" s="18" t="s">
        <v>253</v>
      </c>
      <c r="L18" s="16">
        <v>7</v>
      </c>
      <c r="M18" s="21" t="s">
        <v>254</v>
      </c>
      <c r="N18" s="16">
        <v>8</v>
      </c>
      <c r="O18" s="21" t="s">
        <v>255</v>
      </c>
      <c r="P18" s="16">
        <v>7</v>
      </c>
      <c r="Q18" s="22" t="s">
        <v>256</v>
      </c>
      <c r="R18" s="16">
        <v>3</v>
      </c>
      <c r="S18" s="22" t="s">
        <v>257</v>
      </c>
      <c r="T18" s="16"/>
      <c r="U18" s="18"/>
      <c r="V18" s="16">
        <v>10</v>
      </c>
      <c r="W18" s="21" t="s">
        <v>258</v>
      </c>
      <c r="X18" s="16">
        <v>6</v>
      </c>
      <c r="Y18" s="21" t="s">
        <v>259</v>
      </c>
      <c r="Z18" s="16"/>
      <c r="AA18" s="18"/>
      <c r="AB18" s="16">
        <v>4</v>
      </c>
      <c r="AC18" s="18" t="s">
        <v>260</v>
      </c>
      <c r="AD18" s="16">
        <v>4</v>
      </c>
      <c r="AE18" s="18" t="s">
        <v>261</v>
      </c>
      <c r="AF18" s="16">
        <v>8</v>
      </c>
      <c r="AG18" s="18" t="s">
        <v>262</v>
      </c>
      <c r="AH18" s="16"/>
      <c r="AI18" s="18"/>
      <c r="AJ18" s="16"/>
      <c r="AK18" s="18"/>
      <c r="AL18" s="16"/>
      <c r="AM18" s="18"/>
      <c r="AN18" s="16"/>
      <c r="AO18" s="18"/>
      <c r="AP18" s="16" t="s">
        <v>60</v>
      </c>
      <c r="AQ18" s="18" t="s">
        <v>263</v>
      </c>
      <c r="AR18" s="16"/>
      <c r="AS18" s="19">
        <f>SUM(H18,J18,L18,N18,P18,R18,T18,V18,X18,Z18,AB18,AD18,AF18,AH18,AJ18,AL18,AN18)</f>
        <v>77</v>
      </c>
      <c r="AT18" s="14">
        <f>IF(C18="","",DATE(YEAR(C18),MONTH(C18),1))</f>
        <v>46143</v>
      </c>
      <c r="AU18" s="16" t="str">
        <f>IF(AT18="","",TEXT(AT18,"mmmm yyyy"))</f>
        <v>May 2026</v>
      </c>
      <c r="AV18" s="14">
        <f>IF(C18="","",C18-WEEKDAY(C18,2)+1)</f>
        <v>46153</v>
      </c>
      <c r="AW18" s="14">
        <f>IF(AV18="","",AV18+6)</f>
        <v>46159</v>
      </c>
      <c r="AX18" s="16" t="str">
        <f>IF(AV18="","",TEXT(AV18,"dd/mm/yyyy")&amp;" - "&amp;TEXT(AW18,"dd/mm/yyyy"))</f>
        <v>11/05/2026 - 17/05/2026</v>
      </c>
      <c r="AY18" s="16">
        <f>IF(B18="","",COUNTIFS($B$5:B18,B18,$AT$5:AT18,AT18))</f>
        <v>1</v>
      </c>
      <c r="AZ18" s="16">
        <f>IF(B18="","",COUNTIFS($B$5:B18,B18,$AV$5:AV18,AV18))</f>
        <v>1</v>
      </c>
      <c r="BA18" s="16" t="str">
        <f>IF(B18="","",TEXT(AY18,"00")&amp;"|"&amp;B18&amp;"|"&amp;TEXT(AT18,"yyyymmdd"))</f>
        <v>01|Jureeporn Piddum|20260501</v>
      </c>
      <c r="BB18" s="16" t="str">
        <f>IF(B18="","",TEXT(AZ18,"00")&amp;"|"&amp;B18&amp;"|"&amp;TEXT(AV18,"yyyymmdd"))</f>
        <v>01|Jureeporn Piddum|20260511</v>
      </c>
      <c r="BC18" s="16">
        <f>IF(OR(AQ18="YES",AQ18="Yes",AQ18="Y",AQ18=1),1,0)</f>
        <v>0</v>
      </c>
      <c r="BD18" s="23" t="s">
        <v>264</v>
      </c>
      <c r="BE18" t="s">
        <v>265</v>
      </c>
      <c r="BF18" s="26" t="s">
        <v>74</v>
      </c>
    </row>
    <row r="19" spans="1:58" ht="15" customHeight="1">
      <c r="A19" s="12">
        <v>46160.640292280092</v>
      </c>
      <c r="B19" s="13" t="s">
        <v>62</v>
      </c>
      <c r="C19" s="14">
        <v>46157</v>
      </c>
      <c r="D19" s="15">
        <v>0.6055555555576575</v>
      </c>
      <c r="E19" s="15">
        <v>0.62638888889341615</v>
      </c>
      <c r="F19" s="16" t="s">
        <v>171</v>
      </c>
      <c r="G19" s="17" t="s">
        <v>172</v>
      </c>
      <c r="H19" s="16">
        <v>10</v>
      </c>
      <c r="I19" s="21" t="s">
        <v>173</v>
      </c>
      <c r="J19" s="16">
        <v>8</v>
      </c>
      <c r="K19" s="18" t="s">
        <v>174</v>
      </c>
      <c r="L19" s="16">
        <v>9</v>
      </c>
      <c r="M19" s="21" t="s">
        <v>175</v>
      </c>
      <c r="N19" s="16">
        <v>8</v>
      </c>
      <c r="O19" s="21" t="s">
        <v>176</v>
      </c>
      <c r="P19" s="16">
        <v>4</v>
      </c>
      <c r="Q19" s="22" t="s">
        <v>177</v>
      </c>
      <c r="R19" s="16">
        <v>4</v>
      </c>
      <c r="S19" s="22" t="s">
        <v>177</v>
      </c>
      <c r="T19" s="16"/>
      <c r="U19" s="18"/>
      <c r="V19" s="16">
        <v>13</v>
      </c>
      <c r="W19" s="21" t="s">
        <v>178</v>
      </c>
      <c r="X19" s="16">
        <v>7</v>
      </c>
      <c r="Y19" s="21" t="s">
        <v>179</v>
      </c>
      <c r="Z19" s="16"/>
      <c r="AA19" s="18"/>
      <c r="AB19" s="16">
        <v>4</v>
      </c>
      <c r="AC19" s="18" t="s">
        <v>180</v>
      </c>
      <c r="AD19" s="16">
        <v>5</v>
      </c>
      <c r="AE19" s="18" t="s">
        <v>181</v>
      </c>
      <c r="AF19" s="16">
        <v>10</v>
      </c>
      <c r="AG19" s="18" t="s">
        <v>182</v>
      </c>
      <c r="AH19" s="16"/>
      <c r="AI19" s="18"/>
      <c r="AJ19" s="16"/>
      <c r="AK19" s="18"/>
      <c r="AL19" s="16"/>
      <c r="AM19" s="18"/>
      <c r="AN19" s="16"/>
      <c r="AO19" s="18"/>
      <c r="AP19" s="16" t="s">
        <v>60</v>
      </c>
      <c r="AQ19" s="18" t="s">
        <v>183</v>
      </c>
      <c r="AR19" s="16"/>
      <c r="AS19" s="19">
        <f>SUM(H19,J19,L19,N19,P19,R19,T19,V19,X19,Z19,AB19,AD19,AF19,AH19,AJ19,AL19,AN19)</f>
        <v>82</v>
      </c>
      <c r="AT19" s="14">
        <f>IF(C19="","",DATE(YEAR(C19),MONTH(C19),1))</f>
        <v>46143</v>
      </c>
      <c r="AU19" s="16" t="str">
        <f>IF(AT19="","",TEXT(AT19,"mmmm yyyy"))</f>
        <v>May 2026</v>
      </c>
      <c r="AV19" s="14">
        <f>IF(C19="","",C19-WEEKDAY(C19,2)+1)</f>
        <v>46153</v>
      </c>
      <c r="AW19" s="14">
        <f>IF(AV19="","",AV19+6)</f>
        <v>46159</v>
      </c>
      <c r="AX19" s="16" t="str">
        <f>IF(AV19="","",TEXT(AV19,"dd/mm/yyyy")&amp;" - "&amp;TEXT(AW19,"dd/mm/yyyy"))</f>
        <v>11/05/2026 - 17/05/2026</v>
      </c>
      <c r="AY19" s="16">
        <f>IF(B19="","",COUNTIFS($B$5:B19,B19,$AT$5:AT19,AT19))</f>
        <v>3</v>
      </c>
      <c r="AZ19" s="16">
        <f>IF(B19="","",COUNTIFS($B$5:B19,B19,$AV$5:AV19,AV19))</f>
        <v>3</v>
      </c>
      <c r="BA19" s="16" t="str">
        <f>IF(B19="","",TEXT(AY19,"00")&amp;"|"&amp;B19&amp;"|"&amp;TEXT(AT19,"yyyymmdd"))</f>
        <v>03|Jariyawadee Taboodda|20260501</v>
      </c>
      <c r="BB19" s="16" t="str">
        <f>IF(B19="","",TEXT(AZ19,"00")&amp;"|"&amp;B19&amp;"|"&amp;TEXT(AV19,"yyyymmdd"))</f>
        <v>03|Jariyawadee Taboodda|20260511</v>
      </c>
      <c r="BC19" s="16">
        <f>IF(OR(AQ19="YES",AQ19="Yes",AQ19="Y",AQ19=1),1,0)</f>
        <v>0</v>
      </c>
      <c r="BD19" s="23" t="s">
        <v>184</v>
      </c>
      <c r="BE19" t="s">
        <v>185</v>
      </c>
      <c r="BF19" s="26" t="s">
        <v>74</v>
      </c>
    </row>
    <row r="20" spans="1:58" ht="15" customHeight="1">
      <c r="A20" s="12">
        <v>46161.580648692128</v>
      </c>
      <c r="B20" s="13" t="s">
        <v>63</v>
      </c>
      <c r="C20" s="14">
        <v>46157</v>
      </c>
      <c r="D20" s="15">
        <v>0.83819444444088731</v>
      </c>
      <c r="E20" s="15">
        <v>0.84999999999854481</v>
      </c>
      <c r="F20" s="16" t="s">
        <v>314</v>
      </c>
      <c r="G20" s="17" t="s">
        <v>315</v>
      </c>
      <c r="H20" s="16">
        <v>10</v>
      </c>
      <c r="I20" s="21" t="s">
        <v>316</v>
      </c>
      <c r="J20" s="16">
        <v>10</v>
      </c>
      <c r="K20" s="18" t="s">
        <v>317</v>
      </c>
      <c r="L20" s="16">
        <v>7</v>
      </c>
      <c r="M20" s="21" t="s">
        <v>318</v>
      </c>
      <c r="N20" s="16">
        <v>7</v>
      </c>
      <c r="O20" s="21" t="s">
        <v>319</v>
      </c>
      <c r="P20" s="16">
        <v>6</v>
      </c>
      <c r="Q20" s="22" t="s">
        <v>320</v>
      </c>
      <c r="R20" s="16">
        <v>3</v>
      </c>
      <c r="S20" s="22" t="s">
        <v>321</v>
      </c>
      <c r="T20" s="16"/>
      <c r="U20" s="18"/>
      <c r="V20" s="16">
        <v>9</v>
      </c>
      <c r="W20" s="21" t="s">
        <v>322</v>
      </c>
      <c r="X20" s="16">
        <v>6</v>
      </c>
      <c r="Y20" s="21" t="s">
        <v>323</v>
      </c>
      <c r="Z20" s="16"/>
      <c r="AA20" s="18"/>
      <c r="AB20" s="16">
        <v>5</v>
      </c>
      <c r="AC20" s="18" t="s">
        <v>324</v>
      </c>
      <c r="AD20" s="16">
        <v>5</v>
      </c>
      <c r="AE20" s="18" t="s">
        <v>325</v>
      </c>
      <c r="AF20" s="16">
        <v>9</v>
      </c>
      <c r="AG20" s="18" t="s">
        <v>326</v>
      </c>
      <c r="AH20" s="16"/>
      <c r="AI20" s="18"/>
      <c r="AJ20" s="16"/>
      <c r="AK20" s="18"/>
      <c r="AL20" s="16"/>
      <c r="AM20" s="18"/>
      <c r="AN20" s="16"/>
      <c r="AO20" s="18"/>
      <c r="AP20" s="16" t="s">
        <v>60</v>
      </c>
      <c r="AQ20" s="18" t="s">
        <v>327</v>
      </c>
      <c r="AR20" s="16"/>
      <c r="AS20" s="19">
        <f>SUM(H20,J20,L20,N20,P20,R20,T20,V20,X20,Z20,AB20,AD20,AF20,AH20,AJ20,AL20,AN20)</f>
        <v>77</v>
      </c>
      <c r="AT20" s="14">
        <f>IF(C20="","",DATE(YEAR(C20),MONTH(C20),1))</f>
        <v>46143</v>
      </c>
      <c r="AU20" s="16" t="str">
        <f>IF(AT20="","",TEXT(AT20,"mmmm yyyy"))</f>
        <v>May 2026</v>
      </c>
      <c r="AV20" s="14">
        <f>IF(C20="","",C20-WEEKDAY(C20,2)+1)</f>
        <v>46153</v>
      </c>
      <c r="AW20" s="14">
        <f>IF(AV20="","",AV20+6)</f>
        <v>46159</v>
      </c>
      <c r="AX20" s="16" t="str">
        <f>IF(AV20="","",TEXT(AV20,"dd/mm/yyyy")&amp;" - "&amp;TEXT(AW20,"dd/mm/yyyy"))</f>
        <v>11/05/2026 - 17/05/2026</v>
      </c>
      <c r="AY20" s="16">
        <f>IF(B20="","",COUNTIFS($B$5:B20,B20,$AT$5:AT20,AT20))</f>
        <v>1</v>
      </c>
      <c r="AZ20" s="16">
        <f>IF(B20="","",COUNTIFS($B$5:B20,B20,$AV$5:AV20,AV20))</f>
        <v>1</v>
      </c>
      <c r="BA20" s="16" t="str">
        <f>IF(B20="","",TEXT(AY20,"00")&amp;"|"&amp;B20&amp;"|"&amp;TEXT(AT20,"yyyymmdd"))</f>
        <v>01|Nattapol Suprom|20260501</v>
      </c>
      <c r="BB20" s="16" t="str">
        <f>IF(B20="","",TEXT(AZ20,"00")&amp;"|"&amp;B20&amp;"|"&amp;TEXT(AV20,"yyyymmdd"))</f>
        <v>01|Nattapol Suprom|20260511</v>
      </c>
      <c r="BC20" s="16">
        <f>IF(OR(AQ20="YES",AQ20="Yes",AQ20="Y",AQ20=1),1,0)</f>
        <v>0</v>
      </c>
      <c r="BD20" s="23" t="s">
        <v>328</v>
      </c>
      <c r="BE20" t="s">
        <v>329</v>
      </c>
      <c r="BF20" s="26" t="s">
        <v>74</v>
      </c>
    </row>
    <row r="21" spans="1:58" ht="15" customHeight="1">
      <c r="A21" s="12">
        <v>46161.596649629631</v>
      </c>
      <c r="B21" s="13" t="s">
        <v>63</v>
      </c>
      <c r="C21" s="14">
        <v>46157</v>
      </c>
      <c r="D21" s="15">
        <v>0.78680555555911269</v>
      </c>
      <c r="E21" s="15">
        <v>0.79097222222480923</v>
      </c>
      <c r="F21" s="16" t="s">
        <v>330</v>
      </c>
      <c r="G21" s="17" t="s">
        <v>331</v>
      </c>
      <c r="H21" s="16">
        <v>10</v>
      </c>
      <c r="I21" s="21" t="s">
        <v>332</v>
      </c>
      <c r="J21" s="16">
        <v>10</v>
      </c>
      <c r="K21" s="18" t="s">
        <v>333</v>
      </c>
      <c r="L21" s="16">
        <v>5</v>
      </c>
      <c r="M21" s="21" t="s">
        <v>334</v>
      </c>
      <c r="N21" s="16">
        <v>7</v>
      </c>
      <c r="O21" s="21" t="s">
        <v>335</v>
      </c>
      <c r="P21" s="16">
        <v>6</v>
      </c>
      <c r="Q21" s="22" t="s">
        <v>336</v>
      </c>
      <c r="R21" s="16">
        <v>3</v>
      </c>
      <c r="S21" s="22" t="s">
        <v>337</v>
      </c>
      <c r="T21" s="16"/>
      <c r="U21" s="18"/>
      <c r="V21" s="16">
        <v>10</v>
      </c>
      <c r="W21" s="21" t="s">
        <v>338</v>
      </c>
      <c r="X21" s="16">
        <v>7</v>
      </c>
      <c r="Y21" s="21" t="s">
        <v>339</v>
      </c>
      <c r="Z21" s="16"/>
      <c r="AA21" s="18"/>
      <c r="AB21" s="16">
        <v>5</v>
      </c>
      <c r="AC21" s="18" t="s">
        <v>340</v>
      </c>
      <c r="AD21" s="16">
        <v>5</v>
      </c>
      <c r="AE21" s="18" t="s">
        <v>341</v>
      </c>
      <c r="AF21" s="16">
        <v>9</v>
      </c>
      <c r="AG21" s="18" t="s">
        <v>342</v>
      </c>
      <c r="AH21" s="16"/>
      <c r="AI21" s="18"/>
      <c r="AJ21" s="16"/>
      <c r="AK21" s="18"/>
      <c r="AL21" s="16"/>
      <c r="AM21" s="18"/>
      <c r="AN21" s="16"/>
      <c r="AO21" s="18"/>
      <c r="AP21" s="16" t="s">
        <v>60</v>
      </c>
      <c r="AQ21" s="18" t="s">
        <v>343</v>
      </c>
      <c r="AR21" s="16"/>
      <c r="AS21" s="19">
        <f>SUM(H21,J21,L21,N21,P21,R21,T21,V21,X21,Z21,AB21,AD21,AF21,AH21,AJ21,AL21,AN21)</f>
        <v>77</v>
      </c>
      <c r="AT21" s="14">
        <f>IF(C21="","",DATE(YEAR(C21),MONTH(C21),1))</f>
        <v>46143</v>
      </c>
      <c r="AU21" s="16" t="str">
        <f>IF(AT21="","",TEXT(AT21,"mmmm yyyy"))</f>
        <v>May 2026</v>
      </c>
      <c r="AV21" s="14">
        <f>IF(C21="","",C21-WEEKDAY(C21,2)+1)</f>
        <v>46153</v>
      </c>
      <c r="AW21" s="14">
        <f>IF(AV21="","",AV21+6)</f>
        <v>46159</v>
      </c>
      <c r="AX21" s="16" t="str">
        <f>IF(AV21="","",TEXT(AV21,"dd/mm/yyyy")&amp;" - "&amp;TEXT(AW21,"dd/mm/yyyy"))</f>
        <v>11/05/2026 - 17/05/2026</v>
      </c>
      <c r="AY21" s="16">
        <f>IF(B21="","",COUNTIFS($B$5:B21,B21,$AT$5:AT21,AT21))</f>
        <v>2</v>
      </c>
      <c r="AZ21" s="16">
        <f>IF(B21="","",COUNTIFS($B$5:B21,B21,$AV$5:AV21,AV21))</f>
        <v>2</v>
      </c>
      <c r="BA21" s="16" t="str">
        <f>IF(B21="","",TEXT(AY21,"00")&amp;"|"&amp;B21&amp;"|"&amp;TEXT(AT21,"yyyymmdd"))</f>
        <v>02|Nattapol Suprom|20260501</v>
      </c>
      <c r="BB21" s="16" t="str">
        <f>IF(B21="","",TEXT(AZ21,"00")&amp;"|"&amp;B21&amp;"|"&amp;TEXT(AV21,"yyyymmdd"))</f>
        <v>02|Nattapol Suprom|20260511</v>
      </c>
      <c r="BC21" s="16">
        <f>IF(OR(AQ21="YES",AQ21="Yes",AQ21="Y",AQ21=1),1,0)</f>
        <v>0</v>
      </c>
      <c r="BD21" s="23" t="s">
        <v>344</v>
      </c>
      <c r="BE21" t="s">
        <v>345</v>
      </c>
      <c r="BF21" s="26" t="s">
        <v>74</v>
      </c>
    </row>
    <row r="22" spans="1:58" ht="15" customHeight="1">
      <c r="A22" s="12">
        <v>46161.618574618056</v>
      </c>
      <c r="B22" s="13" t="s">
        <v>63</v>
      </c>
      <c r="C22" s="14">
        <v>46157</v>
      </c>
      <c r="D22" s="15">
        <v>0.51458333333721384</v>
      </c>
      <c r="E22" s="15">
        <v>0.53194444444670808</v>
      </c>
      <c r="F22" s="16" t="s">
        <v>346</v>
      </c>
      <c r="G22" s="17" t="s">
        <v>347</v>
      </c>
      <c r="H22" s="16">
        <v>10</v>
      </c>
      <c r="I22" s="21" t="s">
        <v>348</v>
      </c>
      <c r="J22" s="16">
        <v>10</v>
      </c>
      <c r="K22" s="18" t="s">
        <v>349</v>
      </c>
      <c r="L22" s="16">
        <v>6</v>
      </c>
      <c r="M22" s="21" t="s">
        <v>350</v>
      </c>
      <c r="N22" s="16">
        <v>8</v>
      </c>
      <c r="O22" s="21" t="s">
        <v>351</v>
      </c>
      <c r="P22" s="16">
        <v>6</v>
      </c>
      <c r="Q22" s="22" t="s">
        <v>352</v>
      </c>
      <c r="R22" s="16">
        <v>3</v>
      </c>
      <c r="S22" s="22" t="s">
        <v>353</v>
      </c>
      <c r="T22" s="16"/>
      <c r="U22" s="18"/>
      <c r="V22" s="16">
        <v>10</v>
      </c>
      <c r="W22" s="21" t="s">
        <v>354</v>
      </c>
      <c r="X22" s="16">
        <v>6</v>
      </c>
      <c r="Y22" s="21" t="s">
        <v>355</v>
      </c>
      <c r="Z22" s="16"/>
      <c r="AA22" s="18"/>
      <c r="AB22" s="16">
        <v>5</v>
      </c>
      <c r="AC22" s="18" t="s">
        <v>356</v>
      </c>
      <c r="AD22" s="16">
        <v>5</v>
      </c>
      <c r="AE22" s="18" t="s">
        <v>357</v>
      </c>
      <c r="AF22" s="16">
        <v>8</v>
      </c>
      <c r="AG22" s="18" t="s">
        <v>358</v>
      </c>
      <c r="AH22" s="16"/>
      <c r="AI22" s="18"/>
      <c r="AJ22" s="16"/>
      <c r="AK22" s="18"/>
      <c r="AL22" s="16"/>
      <c r="AM22" s="18"/>
      <c r="AN22" s="16"/>
      <c r="AO22" s="18"/>
      <c r="AP22" s="16" t="s">
        <v>60</v>
      </c>
      <c r="AQ22" s="18" t="s">
        <v>359</v>
      </c>
      <c r="AR22" s="16"/>
      <c r="AS22" s="19">
        <f>SUM(H22,J22,L22,N22,P22,R22,T22,V22,X22,Z22,AB22,AD22,AF22,AH22,AJ22,AL22,AN22)</f>
        <v>77</v>
      </c>
      <c r="AT22" s="14">
        <f>IF(C22="","",DATE(YEAR(C22),MONTH(C22),1))</f>
        <v>46143</v>
      </c>
      <c r="AU22" s="16" t="str">
        <f>IF(AT22="","",TEXT(AT22,"mmmm yyyy"))</f>
        <v>May 2026</v>
      </c>
      <c r="AV22" s="14">
        <f>IF(C22="","",C22-WEEKDAY(C22,2)+1)</f>
        <v>46153</v>
      </c>
      <c r="AW22" s="14">
        <f>IF(AV22="","",AV22+6)</f>
        <v>46159</v>
      </c>
      <c r="AX22" s="16" t="str">
        <f>IF(AV22="","",TEXT(AV22,"dd/mm/yyyy")&amp;" - "&amp;TEXT(AW22,"dd/mm/yyyy"))</f>
        <v>11/05/2026 - 17/05/2026</v>
      </c>
      <c r="AY22" s="16">
        <f>IF(B22="","",COUNTIFS($B$5:B22,B22,$AT$5:AT22,AT22))</f>
        <v>3</v>
      </c>
      <c r="AZ22" s="16">
        <f>IF(B22="","",COUNTIFS($B$5:B22,B22,$AV$5:AV22,AV22))</f>
        <v>3</v>
      </c>
      <c r="BA22" s="16" t="str">
        <f>IF(B22="","",TEXT(AY22,"00")&amp;"|"&amp;B22&amp;"|"&amp;TEXT(AT22,"yyyymmdd"))</f>
        <v>03|Nattapol Suprom|20260501</v>
      </c>
      <c r="BB22" s="16" t="str">
        <f>IF(B22="","",TEXT(AZ22,"00")&amp;"|"&amp;B22&amp;"|"&amp;TEXT(AV22,"yyyymmdd"))</f>
        <v>03|Nattapol Suprom|20260511</v>
      </c>
      <c r="BC22" s="16">
        <f>IF(OR(AQ22="YES",AQ22="Yes",AQ22="Y",AQ22=1),1,0)</f>
        <v>0</v>
      </c>
      <c r="BD22" s="23" t="s">
        <v>360</v>
      </c>
      <c r="BE22" t="s">
        <v>361</v>
      </c>
      <c r="BF22" s="26" t="s">
        <v>74</v>
      </c>
    </row>
    <row r="23" spans="1:58" ht="15" customHeight="1">
      <c r="A23" s="12">
        <v>46161.692927858792</v>
      </c>
      <c r="B23" s="13" t="s">
        <v>67</v>
      </c>
      <c r="C23" s="14">
        <v>46157</v>
      </c>
      <c r="D23" s="15">
        <v>0.5743055555576575</v>
      </c>
      <c r="E23" s="15">
        <v>0.58888888888759539</v>
      </c>
      <c r="F23" s="16" t="s">
        <v>394</v>
      </c>
      <c r="G23" s="17" t="s">
        <v>395</v>
      </c>
      <c r="H23" s="16">
        <v>10</v>
      </c>
      <c r="I23" s="21" t="s">
        <v>396</v>
      </c>
      <c r="J23" s="16">
        <v>10</v>
      </c>
      <c r="K23" s="18" t="s">
        <v>397</v>
      </c>
      <c r="L23" s="16">
        <v>8</v>
      </c>
      <c r="M23" s="21" t="s">
        <v>398</v>
      </c>
      <c r="N23" s="16">
        <v>9</v>
      </c>
      <c r="O23" s="21" t="s">
        <v>399</v>
      </c>
      <c r="P23" s="16">
        <v>9</v>
      </c>
      <c r="Q23" s="22" t="s">
        <v>400</v>
      </c>
      <c r="R23" s="16">
        <v>4</v>
      </c>
      <c r="S23" s="22" t="s">
        <v>401</v>
      </c>
      <c r="T23" s="16"/>
      <c r="U23" s="18"/>
      <c r="V23" s="16">
        <v>13</v>
      </c>
      <c r="W23" s="21" t="s">
        <v>402</v>
      </c>
      <c r="X23" s="16">
        <v>8</v>
      </c>
      <c r="Y23" s="21" t="s">
        <v>403</v>
      </c>
      <c r="Z23" s="16"/>
      <c r="AA23" s="18"/>
      <c r="AB23" s="16">
        <v>4</v>
      </c>
      <c r="AC23" s="18" t="s">
        <v>404</v>
      </c>
      <c r="AD23" s="16">
        <v>5</v>
      </c>
      <c r="AE23" s="18" t="s">
        <v>405</v>
      </c>
      <c r="AF23" s="16">
        <v>8</v>
      </c>
      <c r="AG23" s="18" t="s">
        <v>406</v>
      </c>
      <c r="AH23" s="16"/>
      <c r="AI23" s="18"/>
      <c r="AJ23" s="16"/>
      <c r="AK23" s="18"/>
      <c r="AL23" s="16"/>
      <c r="AM23" s="18"/>
      <c r="AN23" s="16"/>
      <c r="AO23" s="18"/>
      <c r="AP23" s="16" t="s">
        <v>60</v>
      </c>
      <c r="AQ23" s="18" t="s">
        <v>407</v>
      </c>
      <c r="AR23" s="16"/>
      <c r="AS23" s="19">
        <f>SUM(H23,J23,L23,N23,P23,R23,T23,V23,X23,Z23,AB23,AD23,AF23,AH23,AJ23,AL23,AN23)</f>
        <v>88</v>
      </c>
      <c r="AT23" s="14">
        <f>IF(C23="","",DATE(YEAR(C23),MONTH(C23),1))</f>
        <v>46143</v>
      </c>
      <c r="AU23" s="16" t="str">
        <f>IF(AT23="","",TEXT(AT23,"mmmm yyyy"))</f>
        <v>May 2026</v>
      </c>
      <c r="AV23" s="14">
        <f>IF(C23="","",C23-WEEKDAY(C23,2)+1)</f>
        <v>46153</v>
      </c>
      <c r="AW23" s="14">
        <f>IF(AV23="","",AV23+6)</f>
        <v>46159</v>
      </c>
      <c r="AX23" s="16" t="str">
        <f>IF(AV23="","",TEXT(AV23,"dd/mm/yyyy")&amp;" - "&amp;TEXT(AW23,"dd/mm/yyyy"))</f>
        <v>11/05/2026 - 17/05/2026</v>
      </c>
      <c r="AY23" s="16">
        <f>IF(B23="","",COUNTIFS($B$5:B23,B23,$AT$5:AT23,AT23))</f>
        <v>1</v>
      </c>
      <c r="AZ23" s="16">
        <f>IF(B23="","",COUNTIFS($B$5:B23,B23,$AV$5:AV23,AV23))</f>
        <v>1</v>
      </c>
      <c r="BA23" s="16" t="str">
        <f>IF(B23="","",TEXT(AY23,"00")&amp;"|"&amp;B23&amp;"|"&amp;TEXT(AT23,"yyyymmdd"))</f>
        <v>01|Natcha Chai-in|20260501</v>
      </c>
      <c r="BB23" s="16" t="str">
        <f>IF(B23="","",TEXT(AZ23,"00")&amp;"|"&amp;B23&amp;"|"&amp;TEXT(AV23,"yyyymmdd"))</f>
        <v>01|Natcha Chai-in|20260511</v>
      </c>
      <c r="BC23" s="16">
        <f>IF(OR(AQ23="YES",AQ23="Yes",AQ23="Y",AQ23=1),1,0)</f>
        <v>0</v>
      </c>
      <c r="BD23" s="23" t="s">
        <v>408</v>
      </c>
      <c r="BE23" t="s">
        <v>409</v>
      </c>
      <c r="BF23" s="26" t="s">
        <v>74</v>
      </c>
    </row>
    <row r="24" spans="1:58" ht="15" customHeight="1">
      <c r="A24" s="12">
        <v>46162.506368692135</v>
      </c>
      <c r="B24" s="13" t="s">
        <v>66</v>
      </c>
      <c r="C24" s="14">
        <v>46157</v>
      </c>
      <c r="D24" s="15">
        <v>0.72847222222480923</v>
      </c>
      <c r="E24" s="15">
        <v>0.75208333333284827</v>
      </c>
      <c r="F24" s="16" t="s">
        <v>520</v>
      </c>
      <c r="G24" s="17" t="s">
        <v>521</v>
      </c>
      <c r="H24" s="16">
        <v>10</v>
      </c>
      <c r="I24" s="21" t="s">
        <v>522</v>
      </c>
      <c r="J24" s="16">
        <v>7</v>
      </c>
      <c r="K24" s="18" t="s">
        <v>523</v>
      </c>
      <c r="L24" s="16">
        <v>8</v>
      </c>
      <c r="M24" s="21" t="s">
        <v>524</v>
      </c>
      <c r="N24" s="16">
        <v>10</v>
      </c>
      <c r="O24" s="21" t="s">
        <v>525</v>
      </c>
      <c r="P24" s="16">
        <v>9</v>
      </c>
      <c r="Q24" s="22" t="s">
        <v>526</v>
      </c>
      <c r="R24" s="16">
        <v>5</v>
      </c>
      <c r="S24" s="22" t="s">
        <v>527</v>
      </c>
      <c r="T24" s="16"/>
      <c r="U24" s="18"/>
      <c r="V24" s="16">
        <v>15</v>
      </c>
      <c r="W24" s="21" t="s">
        <v>528</v>
      </c>
      <c r="X24" s="16">
        <v>10</v>
      </c>
      <c r="Y24" s="21" t="s">
        <v>529</v>
      </c>
      <c r="Z24" s="16"/>
      <c r="AA24" s="18"/>
      <c r="AB24" s="16">
        <v>5</v>
      </c>
      <c r="AC24" s="18" t="s">
        <v>530</v>
      </c>
      <c r="AD24" s="16">
        <v>4</v>
      </c>
      <c r="AE24" s="18" t="s">
        <v>531</v>
      </c>
      <c r="AF24" s="16">
        <v>10</v>
      </c>
      <c r="AG24" s="18" t="s">
        <v>532</v>
      </c>
      <c r="AH24" s="16"/>
      <c r="AI24" s="18"/>
      <c r="AJ24" s="16"/>
      <c r="AK24" s="18"/>
      <c r="AL24" s="16"/>
      <c r="AM24" s="18"/>
      <c r="AN24" s="16"/>
      <c r="AO24" s="18"/>
      <c r="AP24" s="16" t="s">
        <v>60</v>
      </c>
      <c r="AQ24" s="18" t="s">
        <v>533</v>
      </c>
      <c r="AR24" s="16"/>
      <c r="AS24" s="19">
        <f>SUM(H24,J24,L24,N24,P24,R24,T24,V24,X24,Z24,AB24,AD24,AF24,AH24,AJ24,AL24,AN24)</f>
        <v>93</v>
      </c>
      <c r="AT24" s="14">
        <f>IF(C24="","",DATE(YEAR(C24),MONTH(C24),1))</f>
        <v>46143</v>
      </c>
      <c r="AU24" s="16" t="str">
        <f>IF(AT24="","",TEXT(AT24,"mmmm yyyy"))</f>
        <v>May 2026</v>
      </c>
      <c r="AV24" s="14">
        <f>IF(C24="","",C24-WEEKDAY(C24,2)+1)</f>
        <v>46153</v>
      </c>
      <c r="AW24" s="14">
        <f>IF(AV24="","",AV24+6)</f>
        <v>46159</v>
      </c>
      <c r="AX24" s="16" t="str">
        <f>IF(AV24="","",TEXT(AV24,"dd/mm/yyyy")&amp;" - "&amp;TEXT(AW24,"dd/mm/yyyy"))</f>
        <v>11/05/2026 - 17/05/2026</v>
      </c>
      <c r="AY24" s="16">
        <f>IF(B24="","",COUNTIFS($B$5:B24,B24,$AT$5:AT24,AT24))</f>
        <v>2</v>
      </c>
      <c r="AZ24" s="16">
        <f>IF(B24="","",COUNTIFS($B$5:B24,B24,$AV$5:AV24,AV24))</f>
        <v>2</v>
      </c>
      <c r="BA24" s="25" t="str">
        <f>IF(B24="","",TEXT(AY24,"00")&amp;"|"&amp;B24&amp;"|"&amp;TEXT(AT24,"yyyymmdd"))</f>
        <v>02|Suphitcha Keawliam|20260501</v>
      </c>
      <c r="BB24" s="16" t="str">
        <f>IF(B24="","",TEXT(AZ24,"00")&amp;"|"&amp;B24&amp;"|"&amp;TEXT(AV24,"yyyymmdd"))</f>
        <v>02|Suphitcha Keawliam|20260511</v>
      </c>
      <c r="BC24" s="16">
        <f>IF(OR(AQ24="YES",AQ24="Yes",AQ24="Y",AQ24=1),1,0)</f>
        <v>0</v>
      </c>
      <c r="BD24" s="23" t="s">
        <v>534</v>
      </c>
      <c r="BE24" t="s">
        <v>535</v>
      </c>
      <c r="BF24" s="26" t="s">
        <v>74</v>
      </c>
    </row>
    <row r="25" spans="1:58" ht="15" customHeight="1">
      <c r="A25" s="12">
        <v>46162.536241307869</v>
      </c>
      <c r="B25" s="13" t="s">
        <v>66</v>
      </c>
      <c r="C25" s="14">
        <v>46157</v>
      </c>
      <c r="D25" s="15">
        <v>0.47708333333139308</v>
      </c>
      <c r="E25" s="15">
        <v>0.50069444444670808</v>
      </c>
      <c r="F25" s="16" t="s">
        <v>536</v>
      </c>
      <c r="G25" s="17" t="s">
        <v>537</v>
      </c>
      <c r="H25" s="16">
        <v>10</v>
      </c>
      <c r="I25" s="21" t="s">
        <v>538</v>
      </c>
      <c r="J25" s="16">
        <v>10</v>
      </c>
      <c r="K25" s="18" t="s">
        <v>539</v>
      </c>
      <c r="L25" s="16">
        <v>9</v>
      </c>
      <c r="M25" s="21" t="s">
        <v>540</v>
      </c>
      <c r="N25" s="16">
        <v>10</v>
      </c>
      <c r="O25" s="21" t="s">
        <v>541</v>
      </c>
      <c r="P25" s="16">
        <v>9</v>
      </c>
      <c r="Q25" s="22" t="s">
        <v>542</v>
      </c>
      <c r="R25" s="16">
        <v>4</v>
      </c>
      <c r="S25" s="22" t="s">
        <v>543</v>
      </c>
      <c r="T25" s="16"/>
      <c r="U25" s="18"/>
      <c r="V25" s="16">
        <v>15</v>
      </c>
      <c r="W25" s="21" t="s">
        <v>544</v>
      </c>
      <c r="X25" s="16">
        <v>9</v>
      </c>
      <c r="Y25" s="21" t="s">
        <v>545</v>
      </c>
      <c r="Z25" s="16"/>
      <c r="AA25" s="18"/>
      <c r="AB25" s="16">
        <v>5</v>
      </c>
      <c r="AC25" s="18" t="s">
        <v>546</v>
      </c>
      <c r="AD25" s="16">
        <v>5</v>
      </c>
      <c r="AE25" s="18" t="s">
        <v>547</v>
      </c>
      <c r="AF25" s="16">
        <v>10</v>
      </c>
      <c r="AG25" s="18" t="s">
        <v>548</v>
      </c>
      <c r="AH25" s="16"/>
      <c r="AI25" s="18"/>
      <c r="AJ25" s="16"/>
      <c r="AK25" s="18"/>
      <c r="AL25" s="16"/>
      <c r="AM25" s="18"/>
      <c r="AN25" s="16"/>
      <c r="AO25" s="18"/>
      <c r="AP25" s="16" t="s">
        <v>60</v>
      </c>
      <c r="AQ25" s="18" t="s">
        <v>549</v>
      </c>
      <c r="AR25" s="16"/>
      <c r="AS25" s="19">
        <f>SUM(H25,J25,L25,N25,P25,R25,T25,V25,X25,Z25,AB25,AD25,AF25,AH25,AJ25,AL25,AN25)</f>
        <v>96</v>
      </c>
      <c r="AT25" s="14">
        <f>IF(C25="","",DATE(YEAR(C25),MONTH(C25),1))</f>
        <v>46143</v>
      </c>
      <c r="AU25" s="16" t="str">
        <f>IF(AT25="","",TEXT(AT25,"mmmm yyyy"))</f>
        <v>May 2026</v>
      </c>
      <c r="AV25" s="14">
        <f>IF(C25="","",C25-WEEKDAY(C25,2)+1)</f>
        <v>46153</v>
      </c>
      <c r="AW25" s="14">
        <f>IF(AV25="","",AV25+6)</f>
        <v>46159</v>
      </c>
      <c r="AX25" s="16" t="str">
        <f>IF(AV25="","",TEXT(AV25,"dd/mm/yyyy")&amp;" - "&amp;TEXT(AW25,"dd/mm/yyyy"))</f>
        <v>11/05/2026 - 17/05/2026</v>
      </c>
      <c r="AY25" s="16">
        <f>IF(B25="","",COUNTIFS($B$5:B25,B25,$AT$5:AT25,AT25))</f>
        <v>3</v>
      </c>
      <c r="AZ25" s="16">
        <f>IF(B25="","",COUNTIFS($B$5:B25,B25,$AV$5:AV25,AV25))</f>
        <v>3</v>
      </c>
      <c r="BA25" s="25" t="str">
        <f>IF(B25="","",TEXT(AY25,"00")&amp;"|"&amp;B25&amp;"|"&amp;TEXT(AT25,"yyyymmdd"))</f>
        <v>03|Suphitcha Keawliam|20260501</v>
      </c>
      <c r="BB25" s="16" t="str">
        <f>IF(B25="","",TEXT(AZ25,"00")&amp;"|"&amp;B25&amp;"|"&amp;TEXT(AV25,"yyyymmdd"))</f>
        <v>03|Suphitcha Keawliam|20260511</v>
      </c>
      <c r="BC25" s="16">
        <f>IF(OR(AQ25="YES",AQ25="Yes",AQ25="Y",AQ25=1),1,0)</f>
        <v>0</v>
      </c>
      <c r="BD25" s="23" t="s">
        <v>550</v>
      </c>
      <c r="BE25" t="s">
        <v>551</v>
      </c>
      <c r="BF25" s="26" t="s">
        <v>74</v>
      </c>
    </row>
    <row r="26" spans="1:58" ht="15" customHeight="1">
      <c r="A26" s="12">
        <v>46162.583907719905</v>
      </c>
      <c r="B26" s="13" t="s">
        <v>69</v>
      </c>
      <c r="C26" s="14">
        <v>46157</v>
      </c>
      <c r="D26" s="15">
        <v>0.75972222222480923</v>
      </c>
      <c r="E26" s="15">
        <v>0.76597222222335404</v>
      </c>
      <c r="F26" s="16" t="s">
        <v>599</v>
      </c>
      <c r="G26" s="17" t="s">
        <v>600</v>
      </c>
      <c r="H26" s="16">
        <v>8</v>
      </c>
      <c r="I26" s="21" t="s">
        <v>601</v>
      </c>
      <c r="J26" s="16">
        <v>10</v>
      </c>
      <c r="K26" s="18" t="s">
        <v>602</v>
      </c>
      <c r="L26" s="16">
        <v>8</v>
      </c>
      <c r="M26" s="21" t="s">
        <v>603</v>
      </c>
      <c r="N26" s="16">
        <v>9</v>
      </c>
      <c r="O26" s="21" t="s">
        <v>604</v>
      </c>
      <c r="P26" s="16">
        <v>8</v>
      </c>
      <c r="Q26" s="22" t="s">
        <v>605</v>
      </c>
      <c r="R26" s="16">
        <v>4</v>
      </c>
      <c r="S26" s="22" t="s">
        <v>606</v>
      </c>
      <c r="T26" s="16"/>
      <c r="U26" s="18"/>
      <c r="V26" s="16">
        <v>13</v>
      </c>
      <c r="W26" s="21" t="s">
        <v>607</v>
      </c>
      <c r="X26" s="16">
        <v>8</v>
      </c>
      <c r="Y26" s="21" t="s">
        <v>608</v>
      </c>
      <c r="Z26" s="16"/>
      <c r="AA26" s="18"/>
      <c r="AB26" s="16">
        <v>5</v>
      </c>
      <c r="AC26" s="18" t="s">
        <v>609</v>
      </c>
      <c r="AD26" s="16">
        <v>5</v>
      </c>
      <c r="AE26" s="18" t="s">
        <v>610</v>
      </c>
      <c r="AF26" s="16">
        <v>8</v>
      </c>
      <c r="AG26" s="18" t="s">
        <v>611</v>
      </c>
      <c r="AH26" s="16"/>
      <c r="AI26" s="18"/>
      <c r="AJ26" s="16"/>
      <c r="AK26" s="18"/>
      <c r="AL26" s="16"/>
      <c r="AM26" s="18"/>
      <c r="AN26" s="16"/>
      <c r="AO26" s="18"/>
      <c r="AP26" s="16" t="s">
        <v>60</v>
      </c>
      <c r="AQ26" s="18" t="s">
        <v>612</v>
      </c>
      <c r="AR26" s="16"/>
      <c r="AS26" s="19">
        <f>SUM(H26,J26,L26,N26,P26,R26,T26,V26,X26,Z26,AB26,AD26,AF26,AH26,AJ26,AL26,AN26)</f>
        <v>86</v>
      </c>
      <c r="AT26" s="14">
        <f>IF(C26="","",DATE(YEAR(C26),MONTH(C26),1))</f>
        <v>46143</v>
      </c>
      <c r="AU26" s="16" t="str">
        <f>IF(AT26="","",TEXT(AT26,"mmmm yyyy"))</f>
        <v>May 2026</v>
      </c>
      <c r="AV26" s="14">
        <f>IF(C26="","",C26-WEEKDAY(C26,2)+1)</f>
        <v>46153</v>
      </c>
      <c r="AW26" s="14">
        <f>IF(AV26="","",AV26+6)</f>
        <v>46159</v>
      </c>
      <c r="AX26" s="16" t="str">
        <f>IF(AV26="","",TEXT(AV26,"dd/mm/yyyy")&amp;" - "&amp;TEXT(AW26,"dd/mm/yyyy"))</f>
        <v>11/05/2026 - 17/05/2026</v>
      </c>
      <c r="AY26" s="16">
        <f>IF(B26="","",COUNTIFS($B$5:B26,B26,$AT$5:AT26,AT26))</f>
        <v>1</v>
      </c>
      <c r="AZ26" s="16">
        <f>IF(B26="","",COUNTIFS($B$5:B26,B26,$AV$5:AV26,AV26))</f>
        <v>1</v>
      </c>
      <c r="BA26" s="25" t="str">
        <f>IF(B26="","",TEXT(AY26,"00")&amp;"|"&amp;B26&amp;"|"&amp;TEXT(AT26,"yyyymmdd"))</f>
        <v>01|Wassana Phothong|20260501</v>
      </c>
      <c r="BB26" s="16" t="str">
        <f>IF(B26="","",TEXT(AZ26,"00")&amp;"|"&amp;B26&amp;"|"&amp;TEXT(AV26,"yyyymmdd"))</f>
        <v>01|Wassana Phothong|20260511</v>
      </c>
      <c r="BC26" s="16">
        <f>IF(OR(AQ26="YES",AQ26="Yes",AQ26="Y",AQ26=1),1,0)</f>
        <v>0</v>
      </c>
      <c r="BD26" s="23" t="s">
        <v>613</v>
      </c>
      <c r="BE26" t="s">
        <v>614</v>
      </c>
      <c r="BF26" s="26" t="s">
        <v>74</v>
      </c>
    </row>
    <row r="27" spans="1:58" ht="15" customHeight="1">
      <c r="A27" s="12">
        <v>46160.619924652783</v>
      </c>
      <c r="B27" s="13" t="s">
        <v>59</v>
      </c>
      <c r="C27" s="14">
        <v>46158</v>
      </c>
      <c r="D27" s="15">
        <v>0.54583333333721384</v>
      </c>
      <c r="E27" s="15">
        <v>0.55347222222189885</v>
      </c>
      <c r="F27" s="16" t="s">
        <v>155</v>
      </c>
      <c r="G27" s="17" t="s">
        <v>156</v>
      </c>
      <c r="H27" s="16">
        <v>10</v>
      </c>
      <c r="I27" s="21" t="s">
        <v>157</v>
      </c>
      <c r="J27" s="16">
        <v>10</v>
      </c>
      <c r="K27" s="18" t="s">
        <v>158</v>
      </c>
      <c r="L27" s="16">
        <v>9</v>
      </c>
      <c r="M27" s="21" t="s">
        <v>159</v>
      </c>
      <c r="N27" s="16">
        <v>8</v>
      </c>
      <c r="O27" s="21" t="s">
        <v>160</v>
      </c>
      <c r="P27" s="16">
        <v>8</v>
      </c>
      <c r="Q27" s="22" t="s">
        <v>161</v>
      </c>
      <c r="R27" s="16">
        <v>4</v>
      </c>
      <c r="S27" s="22" t="s">
        <v>162</v>
      </c>
      <c r="T27" s="16"/>
      <c r="U27" s="18"/>
      <c r="V27" s="16">
        <v>12</v>
      </c>
      <c r="W27" s="21" t="s">
        <v>163</v>
      </c>
      <c r="X27" s="16">
        <v>8</v>
      </c>
      <c r="Y27" s="21" t="s">
        <v>164</v>
      </c>
      <c r="Z27" s="16"/>
      <c r="AA27" s="18"/>
      <c r="AB27" s="16">
        <v>5</v>
      </c>
      <c r="AC27" s="18" t="s">
        <v>165</v>
      </c>
      <c r="AD27" s="16">
        <v>5</v>
      </c>
      <c r="AE27" s="18" t="s">
        <v>166</v>
      </c>
      <c r="AF27" s="16">
        <v>10</v>
      </c>
      <c r="AG27" s="18" t="s">
        <v>167</v>
      </c>
      <c r="AH27" s="16"/>
      <c r="AI27" s="18"/>
      <c r="AJ27" s="16"/>
      <c r="AK27" s="18"/>
      <c r="AL27" s="16"/>
      <c r="AM27" s="18"/>
      <c r="AN27" s="16"/>
      <c r="AO27" s="18"/>
      <c r="AP27" s="16" t="s">
        <v>60</v>
      </c>
      <c r="AQ27" s="18" t="s">
        <v>168</v>
      </c>
      <c r="AR27" s="16"/>
      <c r="AS27" s="19">
        <f>SUM(H27,J27,L27,N27,P27,R27,T27,V27,X27,Z27,AB27,AD27,AF27,AH27,AJ27,AL27,AN27)</f>
        <v>89</v>
      </c>
      <c r="AT27" s="14">
        <f>IF(C27="","",DATE(YEAR(C27),MONTH(C27),1))</f>
        <v>46143</v>
      </c>
      <c r="AU27" s="16" t="str">
        <f>IF(AT27="","",TEXT(AT27,"mmmm yyyy"))</f>
        <v>May 2026</v>
      </c>
      <c r="AV27" s="14">
        <f>IF(C27="","",C27-WEEKDAY(C27,2)+1)</f>
        <v>46153</v>
      </c>
      <c r="AW27" s="14">
        <f>IF(AV27="","",AV27+6)</f>
        <v>46159</v>
      </c>
      <c r="AX27" s="16" t="str">
        <f>IF(AV27="","",TEXT(AV27,"dd/mm/yyyy")&amp;" - "&amp;TEXT(AW27,"dd/mm/yyyy"))</f>
        <v>11/05/2026 - 17/05/2026</v>
      </c>
      <c r="AY27" s="16">
        <f>IF(B27="","",COUNTIFS($B$5:B27,B27,$AT$5:AT27,AT27))</f>
        <v>3</v>
      </c>
      <c r="AZ27" s="16">
        <f>IF(B27="","",COUNTIFS($B$5:B27,B27,$AV$5:AV27,AV27))</f>
        <v>3</v>
      </c>
      <c r="BA27" s="16" t="str">
        <f>IF(B27="","",TEXT(AY27,"00")&amp;"|"&amp;B27&amp;"|"&amp;TEXT(AT27,"yyyymmdd"))</f>
        <v>03|Chatkonnaphat Bhusomya|20260501</v>
      </c>
      <c r="BB27" s="16" t="str">
        <f>IF(B27="","",TEXT(AZ27,"00")&amp;"|"&amp;B27&amp;"|"&amp;TEXT(AV27,"yyyymmdd"))</f>
        <v>03|Chatkonnaphat Bhusomya|20260511</v>
      </c>
      <c r="BC27" s="16">
        <f>IF(OR(AQ27="YES",AQ27="Yes",AQ27="Y",AQ27=1),1,0)</f>
        <v>0</v>
      </c>
      <c r="BD27" s="23" t="s">
        <v>169</v>
      </c>
      <c r="BE27" s="24" t="s">
        <v>170</v>
      </c>
      <c r="BF27" s="26" t="s">
        <v>74</v>
      </c>
    </row>
    <row r="28" spans="1:58" ht="15" customHeight="1">
      <c r="A28" s="12">
        <v>46160.728581157411</v>
      </c>
      <c r="B28" s="13" t="s">
        <v>61</v>
      </c>
      <c r="C28" s="14">
        <v>46158</v>
      </c>
      <c r="D28" s="15">
        <v>0.71319444444088731</v>
      </c>
      <c r="E28" s="15">
        <v>0.71875</v>
      </c>
      <c r="F28" s="16" t="s">
        <v>234</v>
      </c>
      <c r="G28" s="17" t="s">
        <v>235</v>
      </c>
      <c r="H28" s="16">
        <v>10</v>
      </c>
      <c r="I28" s="21" t="s">
        <v>236</v>
      </c>
      <c r="J28" s="16">
        <v>10</v>
      </c>
      <c r="K28" s="18" t="s">
        <v>237</v>
      </c>
      <c r="L28" s="16">
        <v>10</v>
      </c>
      <c r="M28" s="21" t="s">
        <v>238</v>
      </c>
      <c r="N28" s="16">
        <v>9</v>
      </c>
      <c r="O28" s="21" t="s">
        <v>239</v>
      </c>
      <c r="P28" s="16">
        <v>9</v>
      </c>
      <c r="Q28" s="22" t="s">
        <v>240</v>
      </c>
      <c r="R28" s="16">
        <v>5</v>
      </c>
      <c r="S28" s="22" t="s">
        <v>241</v>
      </c>
      <c r="T28" s="16"/>
      <c r="U28" s="18"/>
      <c r="V28" s="16">
        <v>15</v>
      </c>
      <c r="W28" s="21" t="s">
        <v>242</v>
      </c>
      <c r="X28" s="16">
        <v>10</v>
      </c>
      <c r="Y28" s="21" t="s">
        <v>243</v>
      </c>
      <c r="Z28" s="16"/>
      <c r="AA28" s="18"/>
      <c r="AB28" s="16">
        <v>5</v>
      </c>
      <c r="AC28" s="18" t="s">
        <v>244</v>
      </c>
      <c r="AD28" s="16">
        <v>4</v>
      </c>
      <c r="AE28" s="18" t="s">
        <v>245</v>
      </c>
      <c r="AF28" s="16">
        <v>10</v>
      </c>
      <c r="AG28" s="18" t="s">
        <v>246</v>
      </c>
      <c r="AH28" s="16"/>
      <c r="AI28" s="18"/>
      <c r="AJ28" s="16"/>
      <c r="AK28" s="18"/>
      <c r="AL28" s="16"/>
      <c r="AM28" s="18"/>
      <c r="AN28" s="16"/>
      <c r="AO28" s="18"/>
      <c r="AP28" s="16" t="s">
        <v>60</v>
      </c>
      <c r="AQ28" s="18" t="s">
        <v>247</v>
      </c>
      <c r="AR28" s="16"/>
      <c r="AS28" s="19">
        <f>SUM(H28,J28,L28,N28,P28,R28,T28,V28,X28,Z28,AB28,AD28,AF28,AH28,AJ28,AL28,AN28)</f>
        <v>97</v>
      </c>
      <c r="AT28" s="14">
        <f>IF(C28="","",DATE(YEAR(C28),MONTH(C28),1))</f>
        <v>46143</v>
      </c>
      <c r="AU28" s="16" t="str">
        <f>IF(AT28="","",TEXT(AT28,"mmmm yyyy"))</f>
        <v>May 2026</v>
      </c>
      <c r="AV28" s="14">
        <f>IF(C28="","",C28-WEEKDAY(C28,2)+1)</f>
        <v>46153</v>
      </c>
      <c r="AW28" s="14">
        <f>IF(AV28="","",AV28+6)</f>
        <v>46159</v>
      </c>
      <c r="AX28" s="16" t="str">
        <f>IF(AV28="","",TEXT(AV28,"dd/mm/yyyy")&amp;" - "&amp;TEXT(AW28,"dd/mm/yyyy"))</f>
        <v>11/05/2026 - 17/05/2026</v>
      </c>
      <c r="AY28" s="16">
        <f>IF(B28="","",COUNTIFS($B$5:B28,B28,$AT$5:AT28,AT28))</f>
        <v>2</v>
      </c>
      <c r="AZ28" s="16">
        <f>IF(B28="","",COUNTIFS($B$5:B28,B28,$AV$5:AV28,AV28))</f>
        <v>2</v>
      </c>
      <c r="BA28" s="16" t="str">
        <f>IF(B28="","",TEXT(AY28,"00")&amp;"|"&amp;B28&amp;"|"&amp;TEXT(AT28,"yyyymmdd"))</f>
        <v>02|Jureeporn Piddum|20260501</v>
      </c>
      <c r="BB28" s="16" t="str">
        <f>IF(B28="","",TEXT(AZ28,"00")&amp;"|"&amp;B28&amp;"|"&amp;TEXT(AV28,"yyyymmdd"))</f>
        <v>02|Jureeporn Piddum|20260511</v>
      </c>
      <c r="BC28" s="16">
        <f>IF(OR(AQ28="YES",AQ28="Yes",AQ28="Y",AQ28=1),1,0)</f>
        <v>0</v>
      </c>
      <c r="BD28" s="23" t="s">
        <v>248</v>
      </c>
      <c r="BE28" s="24" t="s">
        <v>249</v>
      </c>
      <c r="BF28" s="26" t="s">
        <v>74</v>
      </c>
    </row>
    <row r="29" spans="1:58" ht="15" customHeight="1">
      <c r="A29" s="12">
        <v>46161.662130069446</v>
      </c>
      <c r="B29" s="13" t="s">
        <v>67</v>
      </c>
      <c r="C29" s="14">
        <v>46158</v>
      </c>
      <c r="D29" s="15">
        <v>0.68333333333430346</v>
      </c>
      <c r="E29" s="15">
        <v>0.69027777777955635</v>
      </c>
      <c r="F29" s="16" t="s">
        <v>378</v>
      </c>
      <c r="G29" s="17" t="s">
        <v>379</v>
      </c>
      <c r="H29" s="16">
        <v>10</v>
      </c>
      <c r="I29" s="21" t="s">
        <v>380</v>
      </c>
      <c r="J29" s="16">
        <v>10</v>
      </c>
      <c r="K29" s="18" t="s">
        <v>381</v>
      </c>
      <c r="L29" s="16">
        <v>8</v>
      </c>
      <c r="M29" s="21" t="s">
        <v>382</v>
      </c>
      <c r="N29" s="16">
        <v>8</v>
      </c>
      <c r="O29" s="21" t="s">
        <v>383</v>
      </c>
      <c r="P29" s="16">
        <v>7</v>
      </c>
      <c r="Q29" s="22" t="s">
        <v>384</v>
      </c>
      <c r="R29" s="16">
        <v>4</v>
      </c>
      <c r="S29" s="22" t="s">
        <v>385</v>
      </c>
      <c r="T29" s="16"/>
      <c r="U29" s="18"/>
      <c r="V29" s="16">
        <v>13</v>
      </c>
      <c r="W29" s="21" t="s">
        <v>386</v>
      </c>
      <c r="X29" s="16">
        <v>6</v>
      </c>
      <c r="Y29" s="21" t="s">
        <v>387</v>
      </c>
      <c r="Z29" s="16"/>
      <c r="AA29" s="18"/>
      <c r="AB29" s="16">
        <v>5</v>
      </c>
      <c r="AC29" s="18" t="s">
        <v>388</v>
      </c>
      <c r="AD29" s="16">
        <v>5</v>
      </c>
      <c r="AE29" s="18" t="s">
        <v>389</v>
      </c>
      <c r="AF29" s="16">
        <v>9</v>
      </c>
      <c r="AG29" s="18" t="s">
        <v>390</v>
      </c>
      <c r="AH29" s="16"/>
      <c r="AI29" s="18"/>
      <c r="AJ29" s="16"/>
      <c r="AK29" s="18"/>
      <c r="AL29" s="16"/>
      <c r="AM29" s="18"/>
      <c r="AN29" s="16"/>
      <c r="AO29" s="18"/>
      <c r="AP29" s="16" t="s">
        <v>60</v>
      </c>
      <c r="AQ29" s="18" t="s">
        <v>391</v>
      </c>
      <c r="AR29" s="16"/>
      <c r="AS29" s="19">
        <f>SUM(H29,J29,L29,N29,P29,R29,T29,V29,X29,Z29,AB29,AD29,AF29,AH29,AJ29,AL29,AN29)</f>
        <v>85</v>
      </c>
      <c r="AT29" s="14">
        <f>IF(C29="","",DATE(YEAR(C29),MONTH(C29),1))</f>
        <v>46143</v>
      </c>
      <c r="AU29" s="16" t="str">
        <f>IF(AT29="","",TEXT(AT29,"mmmm yyyy"))</f>
        <v>May 2026</v>
      </c>
      <c r="AV29" s="14">
        <f>IF(C29="","",C29-WEEKDAY(C29,2)+1)</f>
        <v>46153</v>
      </c>
      <c r="AW29" s="14">
        <f>IF(AV29="","",AV29+6)</f>
        <v>46159</v>
      </c>
      <c r="AX29" s="16" t="str">
        <f>IF(AV29="","",TEXT(AV29,"dd/mm/yyyy")&amp;" - "&amp;TEXT(AW29,"dd/mm/yyyy"))</f>
        <v>11/05/2026 - 17/05/2026</v>
      </c>
      <c r="AY29" s="16">
        <f>IF(B29="","",COUNTIFS($B$5:B29,B29,$AT$5:AT29,AT29))</f>
        <v>2</v>
      </c>
      <c r="AZ29" s="16">
        <f>IF(B29="","",COUNTIFS($B$5:B29,B29,$AV$5:AV29,AV29))</f>
        <v>2</v>
      </c>
      <c r="BA29" s="16" t="str">
        <f>IF(B29="","",TEXT(AY29,"00")&amp;"|"&amp;B29&amp;"|"&amp;TEXT(AT29,"yyyymmdd"))</f>
        <v>02|Natcha Chai-in|20260501</v>
      </c>
      <c r="BB29" s="16" t="str">
        <f>IF(B29="","",TEXT(AZ29,"00")&amp;"|"&amp;B29&amp;"|"&amp;TEXT(AV29,"yyyymmdd"))</f>
        <v>02|Natcha Chai-in|20260511</v>
      </c>
      <c r="BC29" s="16">
        <f>IF(OR(AQ29="YES",AQ29="Yes",AQ29="Y",AQ29=1),1,0)</f>
        <v>0</v>
      </c>
      <c r="BD29" s="23" t="s">
        <v>392</v>
      </c>
      <c r="BE29" s="24" t="s">
        <v>393</v>
      </c>
      <c r="BF29" s="26" t="s">
        <v>74</v>
      </c>
    </row>
    <row r="30" spans="1:58" ht="15" customHeight="1">
      <c r="A30" s="12">
        <v>46161.730570520835</v>
      </c>
      <c r="B30" s="13" t="s">
        <v>68</v>
      </c>
      <c r="C30" s="14">
        <v>46158</v>
      </c>
      <c r="D30" s="15">
        <v>0.85833333333721384</v>
      </c>
      <c r="E30" s="15">
        <v>0.86597222222189885</v>
      </c>
      <c r="F30" s="16" t="s">
        <v>425</v>
      </c>
      <c r="G30" s="17" t="s">
        <v>73</v>
      </c>
      <c r="H30" s="16">
        <v>10</v>
      </c>
      <c r="I30" s="21" t="s">
        <v>426</v>
      </c>
      <c r="J30" s="16">
        <v>10</v>
      </c>
      <c r="K30" s="18" t="s">
        <v>427</v>
      </c>
      <c r="L30" s="16">
        <v>8</v>
      </c>
      <c r="M30" s="21" t="s">
        <v>428</v>
      </c>
      <c r="N30" s="16">
        <v>9</v>
      </c>
      <c r="O30" s="21" t="s">
        <v>429</v>
      </c>
      <c r="P30" s="16">
        <v>7</v>
      </c>
      <c r="Q30" s="22" t="s">
        <v>430</v>
      </c>
      <c r="R30" s="16">
        <v>4</v>
      </c>
      <c r="S30" s="22" t="s">
        <v>431</v>
      </c>
      <c r="T30" s="16"/>
      <c r="U30" s="18"/>
      <c r="V30" s="16">
        <v>14</v>
      </c>
      <c r="W30" s="21" t="s">
        <v>432</v>
      </c>
      <c r="X30" s="16">
        <v>8</v>
      </c>
      <c r="Y30" s="21" t="s">
        <v>433</v>
      </c>
      <c r="Z30" s="16"/>
      <c r="AA30" s="18"/>
      <c r="AB30" s="16">
        <v>4</v>
      </c>
      <c r="AC30" s="18" t="s">
        <v>434</v>
      </c>
      <c r="AD30" s="16">
        <v>4</v>
      </c>
      <c r="AE30" s="18" t="s">
        <v>435</v>
      </c>
      <c r="AF30" s="16">
        <v>10</v>
      </c>
      <c r="AG30" s="18" t="s">
        <v>436</v>
      </c>
      <c r="AH30" s="16"/>
      <c r="AI30" s="18"/>
      <c r="AJ30" s="16"/>
      <c r="AK30" s="18"/>
      <c r="AL30" s="16"/>
      <c r="AM30" s="18"/>
      <c r="AN30" s="16"/>
      <c r="AO30" s="18"/>
      <c r="AP30" s="16" t="s">
        <v>60</v>
      </c>
      <c r="AQ30" s="18" t="s">
        <v>437</v>
      </c>
      <c r="AR30" s="16"/>
      <c r="AS30" s="19">
        <f>SUM(H30,J30,L30,N30,P30,R30,T30,V30,X30,Z30,AB30,AD30,AF30,AH30,AJ30,AL30,AN30)</f>
        <v>88</v>
      </c>
      <c r="AT30" s="14">
        <f>IF(C30="","",DATE(YEAR(C30),MONTH(C30),1))</f>
        <v>46143</v>
      </c>
      <c r="AU30" s="16" t="str">
        <f>IF(AT30="","",TEXT(AT30,"mmmm yyyy"))</f>
        <v>May 2026</v>
      </c>
      <c r="AV30" s="14">
        <f>IF(C30="","",C30-WEEKDAY(C30,2)+1)</f>
        <v>46153</v>
      </c>
      <c r="AW30" s="14">
        <f>IF(AV30="","",AV30+6)</f>
        <v>46159</v>
      </c>
      <c r="AX30" s="16" t="str">
        <f>IF(AV30="","",TEXT(AV30,"dd/mm/yyyy")&amp;" - "&amp;TEXT(AW30,"dd/mm/yyyy"))</f>
        <v>11/05/2026 - 17/05/2026</v>
      </c>
      <c r="AY30" s="16">
        <f>IF(B30="","",COUNTIFS($B$5:B30,B30,$AT$5:AT30,AT30))</f>
        <v>2</v>
      </c>
      <c r="AZ30" s="16">
        <f>IF(B30="","",COUNTIFS($B$5:B30,B30,$AV$5:AV30,AV30))</f>
        <v>2</v>
      </c>
      <c r="BA30" s="16" t="str">
        <f>IF(B30="","",TEXT(AY30,"00")&amp;"|"&amp;B30&amp;"|"&amp;TEXT(AT30,"yyyymmdd"))</f>
        <v>02|Sunijtra Siritip|20260501</v>
      </c>
      <c r="BB30" s="16" t="str">
        <f>IF(B30="","",TEXT(AZ30,"00")&amp;"|"&amp;B30&amp;"|"&amp;TEXT(AV30,"yyyymmdd"))</f>
        <v>02|Sunijtra Siritip|20260511</v>
      </c>
      <c r="BC30" s="16">
        <f>IF(OR(AQ30="YES",AQ30="Yes",AQ30="Y",AQ30=1),1,0)</f>
        <v>0</v>
      </c>
      <c r="BD30" s="23" t="s">
        <v>438</v>
      </c>
      <c r="BE30" t="s">
        <v>439</v>
      </c>
      <c r="BF30" s="26" t="s">
        <v>74</v>
      </c>
    </row>
    <row r="31" spans="1:58" ht="15" customHeight="1">
      <c r="A31" s="12">
        <v>46162.439757337968</v>
      </c>
      <c r="B31" s="13" t="s">
        <v>65</v>
      </c>
      <c r="C31" s="14">
        <v>46158</v>
      </c>
      <c r="D31" s="15">
        <v>0.51527777777664596</v>
      </c>
      <c r="E31" s="15">
        <v>0.52152777777519077</v>
      </c>
      <c r="F31" s="16" t="s">
        <v>472</v>
      </c>
      <c r="G31" s="17" t="s">
        <v>473</v>
      </c>
      <c r="H31" s="16">
        <v>10</v>
      </c>
      <c r="I31" s="21" t="s">
        <v>474</v>
      </c>
      <c r="J31" s="16">
        <v>7</v>
      </c>
      <c r="K31" s="18" t="s">
        <v>475</v>
      </c>
      <c r="L31" s="16">
        <v>8</v>
      </c>
      <c r="M31" s="21" t="s">
        <v>476</v>
      </c>
      <c r="N31" s="16">
        <v>10</v>
      </c>
      <c r="O31" s="21" t="s">
        <v>477</v>
      </c>
      <c r="P31" s="16">
        <v>7</v>
      </c>
      <c r="Q31" s="22" t="s">
        <v>478</v>
      </c>
      <c r="R31" s="16">
        <v>4</v>
      </c>
      <c r="S31" s="22" t="s">
        <v>479</v>
      </c>
      <c r="T31" s="16"/>
      <c r="U31" s="18"/>
      <c r="V31" s="16">
        <v>13</v>
      </c>
      <c r="W31" s="21" t="s">
        <v>480</v>
      </c>
      <c r="X31" s="16">
        <v>8</v>
      </c>
      <c r="Y31" s="21" t="s">
        <v>481</v>
      </c>
      <c r="Z31" s="16"/>
      <c r="AA31" s="18"/>
      <c r="AB31" s="16">
        <v>5</v>
      </c>
      <c r="AC31" s="18" t="s">
        <v>482</v>
      </c>
      <c r="AD31" s="16">
        <v>5</v>
      </c>
      <c r="AE31" s="18" t="s">
        <v>483</v>
      </c>
      <c r="AF31" s="16">
        <v>10</v>
      </c>
      <c r="AG31" s="18" t="s">
        <v>484</v>
      </c>
      <c r="AH31" s="16"/>
      <c r="AI31" s="18"/>
      <c r="AJ31" s="16"/>
      <c r="AK31" s="18"/>
      <c r="AL31" s="16"/>
      <c r="AM31" s="18"/>
      <c r="AN31" s="16"/>
      <c r="AO31" s="18"/>
      <c r="AP31" s="16" t="s">
        <v>60</v>
      </c>
      <c r="AQ31" s="18" t="s">
        <v>485</v>
      </c>
      <c r="AR31" s="16"/>
      <c r="AS31" s="19">
        <f>SUM(H31,J31,L31,N31,P31,R31,T31,V31,X31,Z31,AB31,AD31,AF31,AH31,AJ31,AL31,AN31)</f>
        <v>87</v>
      </c>
      <c r="AT31" s="14">
        <f>IF(C31="","",DATE(YEAR(C31),MONTH(C31),1))</f>
        <v>46143</v>
      </c>
      <c r="AU31" s="16" t="str">
        <f>IF(AT31="","",TEXT(AT31,"mmmm yyyy"))</f>
        <v>May 2026</v>
      </c>
      <c r="AV31" s="14">
        <f>IF(C31="","",C31-WEEKDAY(C31,2)+1)</f>
        <v>46153</v>
      </c>
      <c r="AW31" s="14">
        <f>IF(AV31="","",AV31+6)</f>
        <v>46159</v>
      </c>
      <c r="AX31" s="16" t="str">
        <f>IF(AV31="","",TEXT(AV31,"dd/mm/yyyy")&amp;" - "&amp;TEXT(AW31,"dd/mm/yyyy"))</f>
        <v>11/05/2026 - 17/05/2026</v>
      </c>
      <c r="AY31" s="16">
        <f>IF(B31="","",COUNTIFS($B$5:B31,B31,$AT$5:AT31,AT31))</f>
        <v>2</v>
      </c>
      <c r="AZ31" s="16">
        <f>IF(B31="","",COUNTIFS($B$5:B31,B31,$AV$5:AV31,AV31))</f>
        <v>2</v>
      </c>
      <c r="BA31" s="25" t="str">
        <f>IF(B31="","",TEXT(AY31,"00")&amp;"|"&amp;B31&amp;"|"&amp;TEXT(AT31,"yyyymmdd"))</f>
        <v>02|Supakrit Promkhamnoi|20260501</v>
      </c>
      <c r="BB31" s="16" t="str">
        <f>IF(B31="","",TEXT(AZ31,"00")&amp;"|"&amp;B31&amp;"|"&amp;TEXT(AV31,"yyyymmdd"))</f>
        <v>02|Supakrit Promkhamnoi|20260511</v>
      </c>
      <c r="BC31" s="16">
        <f>IF(OR(AQ31="YES",AQ31="Yes",AQ31="Y",AQ31=1),1,0)</f>
        <v>0</v>
      </c>
      <c r="BD31" s="23" t="s">
        <v>486</v>
      </c>
      <c r="BE31" t="s">
        <v>487</v>
      </c>
      <c r="BF31" s="26" t="s">
        <v>74</v>
      </c>
    </row>
    <row r="32" spans="1:58" ht="15" customHeight="1">
      <c r="A32" s="12">
        <v>46162.591347094909</v>
      </c>
      <c r="B32" s="13" t="s">
        <v>69</v>
      </c>
      <c r="C32" s="14">
        <v>46158</v>
      </c>
      <c r="D32" s="15">
        <v>0.40347222222044365</v>
      </c>
      <c r="E32" s="15">
        <v>0.40902777777955635</v>
      </c>
      <c r="F32" s="16" t="s">
        <v>615</v>
      </c>
      <c r="G32" s="17" t="s">
        <v>616</v>
      </c>
      <c r="H32" s="16">
        <v>10</v>
      </c>
      <c r="I32" s="21" t="s">
        <v>617</v>
      </c>
      <c r="J32" s="16">
        <v>6</v>
      </c>
      <c r="K32" s="18" t="s">
        <v>618</v>
      </c>
      <c r="L32" s="16">
        <v>7</v>
      </c>
      <c r="M32" s="21" t="s">
        <v>619</v>
      </c>
      <c r="N32" s="16">
        <v>8</v>
      </c>
      <c r="O32" s="21" t="s">
        <v>620</v>
      </c>
      <c r="P32" s="16">
        <v>7</v>
      </c>
      <c r="Q32" s="22" t="s">
        <v>621</v>
      </c>
      <c r="R32" s="16">
        <v>4</v>
      </c>
      <c r="S32" s="22" t="s">
        <v>622</v>
      </c>
      <c r="T32" s="16"/>
      <c r="U32" s="18"/>
      <c r="V32" s="16">
        <v>11</v>
      </c>
      <c r="W32" s="21" t="s">
        <v>623</v>
      </c>
      <c r="X32" s="16">
        <v>7</v>
      </c>
      <c r="Y32" s="21" t="s">
        <v>624</v>
      </c>
      <c r="Z32" s="16"/>
      <c r="AA32" s="18"/>
      <c r="AB32" s="16">
        <v>5</v>
      </c>
      <c r="AC32" s="18" t="s">
        <v>625</v>
      </c>
      <c r="AD32" s="16">
        <v>5</v>
      </c>
      <c r="AE32" s="18" t="s">
        <v>626</v>
      </c>
      <c r="AF32" s="16">
        <v>8</v>
      </c>
      <c r="AG32" s="18" t="s">
        <v>627</v>
      </c>
      <c r="AH32" s="16"/>
      <c r="AI32" s="18"/>
      <c r="AJ32" s="16"/>
      <c r="AK32" s="18"/>
      <c r="AL32" s="16"/>
      <c r="AM32" s="18"/>
      <c r="AN32" s="16"/>
      <c r="AO32" s="18"/>
      <c r="AP32" s="16" t="s">
        <v>60</v>
      </c>
      <c r="AQ32" s="18" t="s">
        <v>628</v>
      </c>
      <c r="AR32" s="16"/>
      <c r="AS32" s="19">
        <f>SUM(H32,J32,L32,N32,P32,R32,T32,V32,X32,Z32,AB32,AD32,AF32,AH32,AJ32,AL32,AN32)</f>
        <v>78</v>
      </c>
      <c r="AT32" s="14">
        <f>IF(C32="","",DATE(YEAR(C32),MONTH(C32),1))</f>
        <v>46143</v>
      </c>
      <c r="AU32" s="16" t="str">
        <f>IF(AT32="","",TEXT(AT32,"mmmm yyyy"))</f>
        <v>May 2026</v>
      </c>
      <c r="AV32" s="14">
        <f>IF(C32="","",C32-WEEKDAY(C32,2)+1)</f>
        <v>46153</v>
      </c>
      <c r="AW32" s="14">
        <f>IF(AV32="","",AV32+6)</f>
        <v>46159</v>
      </c>
      <c r="AX32" s="16" t="str">
        <f>IF(AV32="","",TEXT(AV32,"dd/mm/yyyy")&amp;" - "&amp;TEXT(AW32,"dd/mm/yyyy"))</f>
        <v>11/05/2026 - 17/05/2026</v>
      </c>
      <c r="AY32" s="16">
        <f>IF(B32="","",COUNTIFS($B$5:B32,B32,$AT$5:AT32,AT32))</f>
        <v>2</v>
      </c>
      <c r="AZ32" s="16">
        <f>IF(B32="","",COUNTIFS($B$5:B32,B32,$AV$5:AV32,AV32))</f>
        <v>2</v>
      </c>
      <c r="BA32" s="25" t="str">
        <f>IF(B32="","",TEXT(AY32,"00")&amp;"|"&amp;B32&amp;"|"&amp;TEXT(AT32,"yyyymmdd"))</f>
        <v>02|Wassana Phothong|20260501</v>
      </c>
      <c r="BB32" s="16" t="str">
        <f>IF(B32="","",TEXT(AZ32,"00")&amp;"|"&amp;B32&amp;"|"&amp;TEXT(AV32,"yyyymmdd"))</f>
        <v>02|Wassana Phothong|20260511</v>
      </c>
      <c r="BC32" s="16">
        <f>IF(OR(AQ32="YES",AQ32="Yes",AQ32="Y",AQ32=1),1,0)</f>
        <v>0</v>
      </c>
      <c r="BD32" s="23" t="s">
        <v>629</v>
      </c>
      <c r="BE32" t="s">
        <v>630</v>
      </c>
      <c r="BF32" s="26" t="s">
        <v>74</v>
      </c>
    </row>
    <row r="33" spans="1:58" ht="15" customHeight="1">
      <c r="A33" s="12">
        <v>46162.599930266202</v>
      </c>
      <c r="B33" s="13" t="s">
        <v>69</v>
      </c>
      <c r="C33" s="14">
        <v>46158</v>
      </c>
      <c r="D33" s="15">
        <v>0.7069444444423425</v>
      </c>
      <c r="E33" s="15">
        <v>0.70902777777519077</v>
      </c>
      <c r="F33" s="16" t="s">
        <v>631</v>
      </c>
      <c r="G33" s="17" t="s">
        <v>632</v>
      </c>
      <c r="H33" s="16">
        <v>10</v>
      </c>
      <c r="I33" s="21" t="s">
        <v>633</v>
      </c>
      <c r="J33" s="16">
        <v>10</v>
      </c>
      <c r="K33" s="18" t="s">
        <v>634</v>
      </c>
      <c r="L33" s="16">
        <v>8</v>
      </c>
      <c r="M33" s="21" t="s">
        <v>635</v>
      </c>
      <c r="N33" s="16">
        <v>9</v>
      </c>
      <c r="O33" s="21" t="s">
        <v>635</v>
      </c>
      <c r="P33" s="16">
        <v>7</v>
      </c>
      <c r="Q33" s="22" t="s">
        <v>636</v>
      </c>
      <c r="R33" s="16">
        <v>5</v>
      </c>
      <c r="S33" s="22" t="s">
        <v>637</v>
      </c>
      <c r="T33" s="16"/>
      <c r="U33" s="18"/>
      <c r="V33" s="16">
        <v>13</v>
      </c>
      <c r="W33" s="21" t="s">
        <v>638</v>
      </c>
      <c r="X33" s="16">
        <v>8</v>
      </c>
      <c r="Y33" s="21" t="s">
        <v>639</v>
      </c>
      <c r="Z33" s="16"/>
      <c r="AA33" s="18"/>
      <c r="AB33" s="16">
        <v>5</v>
      </c>
      <c r="AC33" s="18" t="s">
        <v>640</v>
      </c>
      <c r="AD33" s="16">
        <v>4</v>
      </c>
      <c r="AE33" s="18" t="s">
        <v>641</v>
      </c>
      <c r="AF33" s="16">
        <v>10</v>
      </c>
      <c r="AG33" s="18" t="s">
        <v>642</v>
      </c>
      <c r="AH33" s="16"/>
      <c r="AI33" s="18"/>
      <c r="AJ33" s="16"/>
      <c r="AK33" s="18"/>
      <c r="AL33" s="16"/>
      <c r="AM33" s="18"/>
      <c r="AN33" s="16"/>
      <c r="AO33" s="18"/>
      <c r="AP33" s="16" t="s">
        <v>60</v>
      </c>
      <c r="AQ33" s="18" t="s">
        <v>643</v>
      </c>
      <c r="AR33" s="16"/>
      <c r="AS33" s="19">
        <f>SUM(H33,J33,L33,N33,P33,R33,T33,V33,X33,Z33,AB33,AD33,AF33,AH33,AJ33,AL33,AN33)</f>
        <v>89</v>
      </c>
      <c r="AT33" s="14">
        <f>IF(C33="","",DATE(YEAR(C33),MONTH(C33),1))</f>
        <v>46143</v>
      </c>
      <c r="AU33" s="16" t="str">
        <f>IF(AT33="","",TEXT(AT33,"mmmm yyyy"))</f>
        <v>May 2026</v>
      </c>
      <c r="AV33" s="14">
        <f>IF(C33="","",C33-WEEKDAY(C33,2)+1)</f>
        <v>46153</v>
      </c>
      <c r="AW33" s="14">
        <f>IF(AV33="","",AV33+6)</f>
        <v>46159</v>
      </c>
      <c r="AX33" s="16" t="str">
        <f>IF(AV33="","",TEXT(AV33,"dd/mm/yyyy")&amp;" - "&amp;TEXT(AW33,"dd/mm/yyyy"))</f>
        <v>11/05/2026 - 17/05/2026</v>
      </c>
      <c r="AY33" s="16">
        <f>IF(B33="","",COUNTIFS($B$5:B33,B33,$AT$5:AT33,AT33))</f>
        <v>3</v>
      </c>
      <c r="AZ33" s="16">
        <f>IF(B33="","",COUNTIFS($B$5:B33,B33,$AV$5:AV33,AV33))</f>
        <v>3</v>
      </c>
      <c r="BA33" s="25" t="str">
        <f>IF(B33="","",TEXT(AY33,"00")&amp;"|"&amp;B33&amp;"|"&amp;TEXT(AT33,"yyyymmdd"))</f>
        <v>03|Wassana Phothong|20260501</v>
      </c>
      <c r="BB33" s="16" t="str">
        <f>IF(B33="","",TEXT(AZ33,"00")&amp;"|"&amp;B33&amp;"|"&amp;TEXT(AV33,"yyyymmdd"))</f>
        <v>03|Wassana Phothong|20260511</v>
      </c>
      <c r="BC33" s="16">
        <f>IF(OR(AQ33="YES",AQ33="Yes",AQ33="Y",AQ33=1),1,0)</f>
        <v>0</v>
      </c>
      <c r="BD33" s="23" t="s">
        <v>644</v>
      </c>
      <c r="BE33" t="s">
        <v>645</v>
      </c>
      <c r="BF33" s="26" t="s">
        <v>74</v>
      </c>
    </row>
    <row r="34" spans="1:58" ht="15" customHeight="1">
      <c r="A34" s="12">
        <v>46160.695163680561</v>
      </c>
      <c r="B34" s="13" t="s">
        <v>61</v>
      </c>
      <c r="C34" s="14">
        <v>46159</v>
      </c>
      <c r="D34" s="15">
        <v>0.57083333333139308</v>
      </c>
      <c r="E34" s="15">
        <v>0.58055555555620231</v>
      </c>
      <c r="F34" s="16" t="s">
        <v>218</v>
      </c>
      <c r="G34" s="17" t="s">
        <v>219</v>
      </c>
      <c r="H34" s="16">
        <v>10</v>
      </c>
      <c r="I34" s="21" t="s">
        <v>220</v>
      </c>
      <c r="J34" s="16">
        <v>8</v>
      </c>
      <c r="K34" s="18" t="s">
        <v>221</v>
      </c>
      <c r="L34" s="16">
        <v>9</v>
      </c>
      <c r="M34" s="21" t="s">
        <v>222</v>
      </c>
      <c r="N34" s="16">
        <v>8</v>
      </c>
      <c r="O34" s="21" t="s">
        <v>223</v>
      </c>
      <c r="P34" s="16">
        <v>7</v>
      </c>
      <c r="Q34" s="22" t="s">
        <v>224</v>
      </c>
      <c r="R34" s="16">
        <v>4</v>
      </c>
      <c r="S34" s="22" t="s">
        <v>225</v>
      </c>
      <c r="T34" s="16"/>
      <c r="U34" s="18"/>
      <c r="V34" s="16">
        <v>13</v>
      </c>
      <c r="W34" s="21" t="s">
        <v>226</v>
      </c>
      <c r="X34" s="16">
        <v>8</v>
      </c>
      <c r="Y34" s="21" t="s">
        <v>227</v>
      </c>
      <c r="Z34" s="16"/>
      <c r="AA34" s="18"/>
      <c r="AB34" s="16">
        <v>5</v>
      </c>
      <c r="AC34" s="18" t="s">
        <v>228</v>
      </c>
      <c r="AD34" s="16">
        <v>5</v>
      </c>
      <c r="AE34" s="18" t="s">
        <v>229</v>
      </c>
      <c r="AF34" s="16">
        <v>9</v>
      </c>
      <c r="AG34" s="18" t="s">
        <v>230</v>
      </c>
      <c r="AH34" s="16"/>
      <c r="AI34" s="18"/>
      <c r="AJ34" s="16"/>
      <c r="AK34" s="18"/>
      <c r="AL34" s="16"/>
      <c r="AM34" s="18"/>
      <c r="AN34" s="16"/>
      <c r="AO34" s="18"/>
      <c r="AP34" s="16" t="s">
        <v>60</v>
      </c>
      <c r="AQ34" s="18" t="s">
        <v>231</v>
      </c>
      <c r="AR34" s="16"/>
      <c r="AS34" s="19">
        <f>SUM(H34,J34,L34,N34,P34,R34,T34,V34,X34,Z34,AB34,AD34,AF34,AH34,AJ34,AL34,AN34)</f>
        <v>86</v>
      </c>
      <c r="AT34" s="14">
        <f>IF(C34="","",DATE(YEAR(C34),MONTH(C34),1))</f>
        <v>46143</v>
      </c>
      <c r="AU34" s="16" t="str">
        <f>IF(AT34="","",TEXT(AT34,"mmmm yyyy"))</f>
        <v>May 2026</v>
      </c>
      <c r="AV34" s="14">
        <f>IF(C34="","",C34-WEEKDAY(C34,2)+1)</f>
        <v>46153</v>
      </c>
      <c r="AW34" s="14">
        <f>IF(AV34="","",AV34+6)</f>
        <v>46159</v>
      </c>
      <c r="AX34" s="16" t="str">
        <f>IF(AV34="","",TEXT(AV34,"dd/mm/yyyy")&amp;" - "&amp;TEXT(AW34,"dd/mm/yyyy"))</f>
        <v>11/05/2026 - 17/05/2026</v>
      </c>
      <c r="AY34" s="16">
        <f>IF(B34="","",COUNTIFS($B$5:B34,B34,$AT$5:AT34,AT34))</f>
        <v>3</v>
      </c>
      <c r="AZ34" s="16">
        <f>IF(B34="","",COUNTIFS($B$5:B34,B34,$AV$5:AV34,AV34))</f>
        <v>3</v>
      </c>
      <c r="BA34" s="16" t="str">
        <f>IF(B34="","",TEXT(AY34,"00")&amp;"|"&amp;B34&amp;"|"&amp;TEXT(AT34,"yyyymmdd"))</f>
        <v>03|Jureeporn Piddum|20260501</v>
      </c>
      <c r="BB34" s="16" t="str">
        <f>IF(B34="","",TEXT(AZ34,"00")&amp;"|"&amp;B34&amp;"|"&amp;TEXT(AV34,"yyyymmdd"))</f>
        <v>03|Jureeporn Piddum|20260511</v>
      </c>
      <c r="BC34" s="16">
        <f>IF(OR(AQ34="YES",AQ34="Yes",AQ34="Y",AQ34=1),1,0)</f>
        <v>0</v>
      </c>
      <c r="BD34" s="23" t="s">
        <v>232</v>
      </c>
      <c r="BE34" t="s">
        <v>233</v>
      </c>
      <c r="BF34" s="26" t="s">
        <v>74</v>
      </c>
    </row>
    <row r="35" spans="1:58" ht="15" customHeight="1">
      <c r="A35" s="12">
        <v>46161.456728773148</v>
      </c>
      <c r="B35" s="13" t="s">
        <v>71</v>
      </c>
      <c r="C35" s="14">
        <v>46159</v>
      </c>
      <c r="D35" s="15">
        <v>0.49930555555555556</v>
      </c>
      <c r="E35" s="15">
        <v>0.50694444444444442</v>
      </c>
      <c r="F35" s="16" t="s">
        <v>266</v>
      </c>
      <c r="G35" s="17" t="s">
        <v>267</v>
      </c>
      <c r="H35" s="16">
        <v>10</v>
      </c>
      <c r="I35" s="21" t="s">
        <v>268</v>
      </c>
      <c r="J35" s="16">
        <v>5</v>
      </c>
      <c r="K35" s="18" t="s">
        <v>269</v>
      </c>
      <c r="L35" s="16">
        <v>7</v>
      </c>
      <c r="M35" s="21" t="s">
        <v>270</v>
      </c>
      <c r="N35" s="16">
        <v>8</v>
      </c>
      <c r="O35" s="21" t="s">
        <v>271</v>
      </c>
      <c r="P35" s="16">
        <v>7</v>
      </c>
      <c r="Q35" s="22" t="s">
        <v>272</v>
      </c>
      <c r="R35" s="16">
        <v>3</v>
      </c>
      <c r="S35" s="22" t="s">
        <v>273</v>
      </c>
      <c r="T35" s="16"/>
      <c r="U35" s="18"/>
      <c r="V35" s="16">
        <v>11</v>
      </c>
      <c r="W35" s="21" t="s">
        <v>274</v>
      </c>
      <c r="X35" s="16">
        <v>8</v>
      </c>
      <c r="Y35" s="21" t="s">
        <v>275</v>
      </c>
      <c r="Z35" s="16"/>
      <c r="AA35" s="18"/>
      <c r="AB35" s="16">
        <v>4</v>
      </c>
      <c r="AC35" s="18" t="s">
        <v>276</v>
      </c>
      <c r="AD35" s="16">
        <v>4</v>
      </c>
      <c r="AE35" s="18" t="s">
        <v>277</v>
      </c>
      <c r="AF35" s="16">
        <v>9</v>
      </c>
      <c r="AG35" s="18" t="s">
        <v>278</v>
      </c>
      <c r="AH35" s="16"/>
      <c r="AI35" s="18"/>
      <c r="AJ35" s="16"/>
      <c r="AK35" s="18"/>
      <c r="AL35" s="16"/>
      <c r="AM35" s="18"/>
      <c r="AN35" s="16"/>
      <c r="AO35" s="18"/>
      <c r="AP35" s="16" t="s">
        <v>60</v>
      </c>
      <c r="AQ35" s="18" t="s">
        <v>279</v>
      </c>
      <c r="AR35" s="16"/>
      <c r="AS35" s="19">
        <f>SUM(H35,J35,L35,N35,P35,R35,T35,V35,X35,Z35,AB35,AD35,AF35,AH35,AJ35,AL35,AN35)</f>
        <v>76</v>
      </c>
      <c r="AT35" s="14">
        <f>IF(C35="","",DATE(YEAR(C35),MONTH(C35),1))</f>
        <v>46143</v>
      </c>
      <c r="AU35" s="16" t="str">
        <f>IF(AT35="","",TEXT(AT35,"mmmm yyyy"))</f>
        <v>May 2026</v>
      </c>
      <c r="AV35" s="14">
        <f>IF(C35="","",C35-WEEKDAY(C35,2)+1)</f>
        <v>46153</v>
      </c>
      <c r="AW35" s="14">
        <f>IF(AV35="","",AV35+6)</f>
        <v>46159</v>
      </c>
      <c r="AX35" s="16" t="str">
        <f>IF(AV35="","",TEXT(AV35,"dd/mm/yyyy")&amp;" - "&amp;TEXT(AW35,"dd/mm/yyyy"))</f>
        <v>11/05/2026 - 17/05/2026</v>
      </c>
      <c r="AY35" s="16">
        <f>IF(B35="","",COUNTIFS($B$5:B35,B35,$AT$5:AT35,AT35))</f>
        <v>3</v>
      </c>
      <c r="AZ35" s="16">
        <f>IF(B35="","",COUNTIFS($B$5:B35,B35,$AV$5:AV35,AV35))</f>
        <v>3</v>
      </c>
      <c r="BA35" s="16" t="str">
        <f>IF(B35="","",TEXT(AY35,"00")&amp;"|"&amp;B35&amp;"|"&amp;TEXT(AT35,"yyyymmdd"))</f>
        <v>03|Krivut Vongkampan|20260501</v>
      </c>
      <c r="BB35" s="16" t="str">
        <f>IF(B35="","",TEXT(AZ35,"00")&amp;"|"&amp;B35&amp;"|"&amp;TEXT(AV35,"yyyymmdd"))</f>
        <v>03|Krivut Vongkampan|20260511</v>
      </c>
      <c r="BC35" s="16">
        <f>IF(OR(AQ35="YES",AQ35="Yes",AQ35="Y",AQ35=1),1,0)</f>
        <v>0</v>
      </c>
      <c r="BD35" s="23" t="s">
        <v>280</v>
      </c>
      <c r="BE35" t="s">
        <v>281</v>
      </c>
      <c r="BF35" s="26" t="s">
        <v>74</v>
      </c>
    </row>
    <row r="36" spans="1:58" ht="15" customHeight="1">
      <c r="A36" s="12">
        <v>46161.639400185188</v>
      </c>
      <c r="B36" s="13" t="s">
        <v>67</v>
      </c>
      <c r="C36" s="14">
        <v>46159</v>
      </c>
      <c r="D36" s="15">
        <v>0.86805555555474712</v>
      </c>
      <c r="E36" s="15">
        <v>0.87430555555329192</v>
      </c>
      <c r="F36" s="16" t="s">
        <v>362</v>
      </c>
      <c r="G36" s="17" t="s">
        <v>363</v>
      </c>
      <c r="H36" s="16">
        <v>10</v>
      </c>
      <c r="I36" s="21" t="s">
        <v>364</v>
      </c>
      <c r="J36" s="16">
        <v>10</v>
      </c>
      <c r="K36" s="18" t="s">
        <v>365</v>
      </c>
      <c r="L36" s="16">
        <v>9</v>
      </c>
      <c r="M36" s="21" t="s">
        <v>366</v>
      </c>
      <c r="N36" s="16">
        <v>8</v>
      </c>
      <c r="O36" s="21" t="s">
        <v>367</v>
      </c>
      <c r="P36" s="16">
        <v>8</v>
      </c>
      <c r="Q36" s="22" t="s">
        <v>368</v>
      </c>
      <c r="R36" s="16">
        <v>4</v>
      </c>
      <c r="S36" s="22" t="s">
        <v>369</v>
      </c>
      <c r="T36" s="16"/>
      <c r="U36" s="18"/>
      <c r="V36" s="16">
        <v>13</v>
      </c>
      <c r="W36" s="21" t="s">
        <v>370</v>
      </c>
      <c r="X36" s="16">
        <v>8</v>
      </c>
      <c r="Y36" s="21" t="s">
        <v>371</v>
      </c>
      <c r="Z36" s="16"/>
      <c r="AA36" s="18"/>
      <c r="AB36" s="16">
        <v>5</v>
      </c>
      <c r="AC36" s="18" t="s">
        <v>372</v>
      </c>
      <c r="AD36" s="16">
        <v>4</v>
      </c>
      <c r="AE36" s="18" t="s">
        <v>373</v>
      </c>
      <c r="AF36" s="16">
        <v>8</v>
      </c>
      <c r="AG36" s="18" t="s">
        <v>374</v>
      </c>
      <c r="AH36" s="16"/>
      <c r="AI36" s="18"/>
      <c r="AJ36" s="16"/>
      <c r="AK36" s="18"/>
      <c r="AL36" s="16"/>
      <c r="AM36" s="18"/>
      <c r="AN36" s="16"/>
      <c r="AO36" s="18"/>
      <c r="AP36" s="16" t="s">
        <v>60</v>
      </c>
      <c r="AQ36" s="18" t="s">
        <v>375</v>
      </c>
      <c r="AR36" s="16"/>
      <c r="AS36" s="19">
        <f>SUM(H36,J36,L36,N36,P36,R36,T36,V36,X36,Z36,AB36,AD36,AF36,AH36,AJ36,AL36,AN36)</f>
        <v>87</v>
      </c>
      <c r="AT36" s="14">
        <f>IF(C36="","",DATE(YEAR(C36),MONTH(C36),1))</f>
        <v>46143</v>
      </c>
      <c r="AU36" s="16" t="str">
        <f>IF(AT36="","",TEXT(AT36,"mmmm yyyy"))</f>
        <v>May 2026</v>
      </c>
      <c r="AV36" s="14">
        <f>IF(C36="","",C36-WEEKDAY(C36,2)+1)</f>
        <v>46153</v>
      </c>
      <c r="AW36" s="14">
        <f>IF(AV36="","",AV36+6)</f>
        <v>46159</v>
      </c>
      <c r="AX36" s="16" t="str">
        <f>IF(AV36="","",TEXT(AV36,"dd/mm/yyyy")&amp;" - "&amp;TEXT(AW36,"dd/mm/yyyy"))</f>
        <v>11/05/2026 - 17/05/2026</v>
      </c>
      <c r="AY36" s="16">
        <f>IF(B36="","",COUNTIFS($B$5:B36,B36,$AT$5:AT36,AT36))</f>
        <v>3</v>
      </c>
      <c r="AZ36" s="16">
        <f>IF(B36="","",COUNTIFS($B$5:B36,B36,$AV$5:AV36,AV36))</f>
        <v>3</v>
      </c>
      <c r="BA36" s="16" t="str">
        <f>IF(B36="","",TEXT(AY36,"00")&amp;"|"&amp;B36&amp;"|"&amp;TEXT(AT36,"yyyymmdd"))</f>
        <v>03|Natcha Chai-in|20260501</v>
      </c>
      <c r="BB36" s="16" t="str">
        <f>IF(B36="","",TEXT(AZ36,"00")&amp;"|"&amp;B36&amp;"|"&amp;TEXT(AV36,"yyyymmdd"))</f>
        <v>03|Natcha Chai-in|20260511</v>
      </c>
      <c r="BC36" s="16">
        <f>IF(OR(AQ36="YES",AQ36="Yes",AQ36="Y",AQ36=1),1,0)</f>
        <v>0</v>
      </c>
      <c r="BD36" s="23" t="s">
        <v>376</v>
      </c>
      <c r="BE36" t="s">
        <v>377</v>
      </c>
      <c r="BF36" s="26" t="s">
        <v>74</v>
      </c>
    </row>
    <row r="37" spans="1:58" ht="15" customHeight="1">
      <c r="A37" s="12">
        <v>46161.706664849538</v>
      </c>
      <c r="B37" s="13" t="s">
        <v>68</v>
      </c>
      <c r="C37" s="14">
        <v>46159</v>
      </c>
      <c r="D37" s="15">
        <v>0.8631944444423425</v>
      </c>
      <c r="E37" s="15">
        <v>0.86458333333575865</v>
      </c>
      <c r="F37" s="16" t="s">
        <v>410</v>
      </c>
      <c r="G37" s="17" t="s">
        <v>235</v>
      </c>
      <c r="H37" s="16">
        <v>10</v>
      </c>
      <c r="I37" s="21" t="s">
        <v>411</v>
      </c>
      <c r="J37" s="16">
        <v>10</v>
      </c>
      <c r="K37" s="18" t="s">
        <v>412</v>
      </c>
      <c r="L37" s="16">
        <v>8</v>
      </c>
      <c r="M37" s="21" t="s">
        <v>413</v>
      </c>
      <c r="N37" s="16">
        <v>10</v>
      </c>
      <c r="O37" s="21" t="s">
        <v>414</v>
      </c>
      <c r="P37" s="16">
        <v>9</v>
      </c>
      <c r="Q37" s="22" t="s">
        <v>415</v>
      </c>
      <c r="R37" s="16">
        <v>5</v>
      </c>
      <c r="S37" s="22" t="s">
        <v>416</v>
      </c>
      <c r="T37" s="16"/>
      <c r="U37" s="18"/>
      <c r="V37" s="16">
        <v>15</v>
      </c>
      <c r="W37" s="21" t="s">
        <v>417</v>
      </c>
      <c r="X37" s="16">
        <v>10</v>
      </c>
      <c r="Y37" s="21" t="s">
        <v>418</v>
      </c>
      <c r="Z37" s="16"/>
      <c r="AA37" s="18"/>
      <c r="AB37" s="16">
        <v>5</v>
      </c>
      <c r="AC37" s="18" t="s">
        <v>419</v>
      </c>
      <c r="AD37" s="16">
        <v>5</v>
      </c>
      <c r="AE37" s="18" t="s">
        <v>420</v>
      </c>
      <c r="AF37" s="16">
        <v>10</v>
      </c>
      <c r="AG37" s="18" t="s">
        <v>421</v>
      </c>
      <c r="AH37" s="16"/>
      <c r="AI37" s="18"/>
      <c r="AJ37" s="16"/>
      <c r="AK37" s="18"/>
      <c r="AL37" s="16"/>
      <c r="AM37" s="18"/>
      <c r="AN37" s="16"/>
      <c r="AO37" s="18"/>
      <c r="AP37" s="16" t="s">
        <v>60</v>
      </c>
      <c r="AQ37" s="18" t="s">
        <v>422</v>
      </c>
      <c r="AR37" s="16"/>
      <c r="AS37" s="19">
        <f>SUM(H37,J37,L37,N37,P37,R37,T37,V37,X37,Z37,AB37,AD37,AF37,AH37,AJ37,AL37,AN37)</f>
        <v>97</v>
      </c>
      <c r="AT37" s="14">
        <f>IF(C37="","",DATE(YEAR(C37),MONTH(C37),1))</f>
        <v>46143</v>
      </c>
      <c r="AU37" s="16" t="str">
        <f>IF(AT37="","",TEXT(AT37,"mmmm yyyy"))</f>
        <v>May 2026</v>
      </c>
      <c r="AV37" s="14">
        <f>IF(C37="","",C37-WEEKDAY(C37,2)+1)</f>
        <v>46153</v>
      </c>
      <c r="AW37" s="14">
        <f>IF(AV37="","",AV37+6)</f>
        <v>46159</v>
      </c>
      <c r="AX37" s="16" t="str">
        <f>IF(AV37="","",TEXT(AV37,"dd/mm/yyyy")&amp;" - "&amp;TEXT(AW37,"dd/mm/yyyy"))</f>
        <v>11/05/2026 - 17/05/2026</v>
      </c>
      <c r="AY37" s="16">
        <f>IF(B37="","",COUNTIFS($B$5:B37,B37,$AT$5:AT37,AT37))</f>
        <v>3</v>
      </c>
      <c r="AZ37" s="16">
        <f>IF(B37="","",COUNTIFS($B$5:B37,B37,$AV$5:AV37,AV37))</f>
        <v>3</v>
      </c>
      <c r="BA37" s="16" t="str">
        <f>IF(B37="","",TEXT(AY37,"00")&amp;"|"&amp;B37&amp;"|"&amp;TEXT(AT37,"yyyymmdd"))</f>
        <v>03|Sunijtra Siritip|20260501</v>
      </c>
      <c r="BB37" s="16" t="str">
        <f>IF(B37="","",TEXT(AZ37,"00")&amp;"|"&amp;B37&amp;"|"&amp;TEXT(AV37,"yyyymmdd"))</f>
        <v>03|Sunijtra Siritip|20260511</v>
      </c>
      <c r="BC37" s="16">
        <f>IF(OR(AQ37="YES",AQ37="Yes",AQ37="Y",AQ37=1),1,0)</f>
        <v>0</v>
      </c>
      <c r="BD37" s="23" t="s">
        <v>423</v>
      </c>
      <c r="BE37" s="24" t="s">
        <v>424</v>
      </c>
      <c r="BF37" s="26" t="s">
        <v>74</v>
      </c>
    </row>
    <row r="38" spans="1:58" ht="15" customHeight="1">
      <c r="A38" s="12">
        <v>46162.413607129631</v>
      </c>
      <c r="B38" s="13" t="s">
        <v>65</v>
      </c>
      <c r="C38" s="14">
        <v>46159</v>
      </c>
      <c r="D38" s="15">
        <v>0.82777777777664596</v>
      </c>
      <c r="E38" s="15">
        <v>0.83263888888905058</v>
      </c>
      <c r="F38" s="16" t="s">
        <v>456</v>
      </c>
      <c r="G38" s="17" t="s">
        <v>457</v>
      </c>
      <c r="H38" s="16">
        <v>10</v>
      </c>
      <c r="I38" s="21" t="s">
        <v>458</v>
      </c>
      <c r="J38" s="16">
        <v>10</v>
      </c>
      <c r="K38" s="18" t="s">
        <v>459</v>
      </c>
      <c r="L38" s="16">
        <v>8</v>
      </c>
      <c r="M38" s="21" t="s">
        <v>460</v>
      </c>
      <c r="N38" s="16">
        <v>9</v>
      </c>
      <c r="O38" s="21" t="s">
        <v>461</v>
      </c>
      <c r="P38" s="16">
        <v>5</v>
      </c>
      <c r="Q38" s="22" t="s">
        <v>462</v>
      </c>
      <c r="R38" s="16">
        <v>4</v>
      </c>
      <c r="S38" s="22" t="s">
        <v>463</v>
      </c>
      <c r="T38" s="16"/>
      <c r="U38" s="18"/>
      <c r="V38" s="16">
        <v>11</v>
      </c>
      <c r="W38" s="21" t="s">
        <v>464</v>
      </c>
      <c r="X38" s="16">
        <v>7</v>
      </c>
      <c r="Y38" s="21" t="s">
        <v>465</v>
      </c>
      <c r="Z38" s="16"/>
      <c r="AA38" s="18"/>
      <c r="AB38" s="16">
        <v>5</v>
      </c>
      <c r="AC38" s="18" t="s">
        <v>466</v>
      </c>
      <c r="AD38" s="16">
        <v>5</v>
      </c>
      <c r="AE38" s="18" t="s">
        <v>467</v>
      </c>
      <c r="AF38" s="16">
        <v>9</v>
      </c>
      <c r="AG38" s="18" t="s">
        <v>468</v>
      </c>
      <c r="AH38" s="16"/>
      <c r="AI38" s="18"/>
      <c r="AJ38" s="16"/>
      <c r="AK38" s="18"/>
      <c r="AL38" s="16"/>
      <c r="AM38" s="18"/>
      <c r="AN38" s="16"/>
      <c r="AO38" s="18"/>
      <c r="AP38" s="16" t="s">
        <v>60</v>
      </c>
      <c r="AQ38" s="18" t="s">
        <v>469</v>
      </c>
      <c r="AR38" s="16"/>
      <c r="AS38" s="19">
        <f>SUM(H38,J38,L38,N38,P38,R38,T38,V38,X38,Z38,AB38,AD38,AF38,AH38,AJ38,AL38,AN38)</f>
        <v>83</v>
      </c>
      <c r="AT38" s="14">
        <f>IF(C38="","",DATE(YEAR(C38),MONTH(C38),1))</f>
        <v>46143</v>
      </c>
      <c r="AU38" s="16" t="str">
        <f>IF(AT38="","",TEXT(AT38,"mmmm yyyy"))</f>
        <v>May 2026</v>
      </c>
      <c r="AV38" s="14">
        <f>IF(C38="","",C38-WEEKDAY(C38,2)+1)</f>
        <v>46153</v>
      </c>
      <c r="AW38" s="14">
        <f>IF(AV38="","",AV38+6)</f>
        <v>46159</v>
      </c>
      <c r="AX38" s="16" t="str">
        <f>IF(AV38="","",TEXT(AV38,"dd/mm/yyyy")&amp;" - "&amp;TEXT(AW38,"dd/mm/yyyy"))</f>
        <v>11/05/2026 - 17/05/2026</v>
      </c>
      <c r="AY38" s="16">
        <f>IF(B38="","",COUNTIFS($B$5:B38,B38,$AT$5:AT38,AT38))</f>
        <v>3</v>
      </c>
      <c r="AZ38" s="16">
        <f>IF(B38="","",COUNTIFS($B$5:B38,B38,$AV$5:AV38,AV38))</f>
        <v>3</v>
      </c>
      <c r="BA38" s="25" t="str">
        <f>IF(B38="","",TEXT(AY38,"00")&amp;"|"&amp;B38&amp;"|"&amp;TEXT(AT38,"yyyymmdd"))</f>
        <v>03|Supakrit Promkhamnoi|20260501</v>
      </c>
      <c r="BB38" s="16" t="str">
        <f>IF(B38="","",TEXT(AZ38,"00")&amp;"|"&amp;B38&amp;"|"&amp;TEXT(AV38,"yyyymmdd"))</f>
        <v>03|Supakrit Promkhamnoi|20260511</v>
      </c>
      <c r="BC38" s="16">
        <f>IF(OR(AQ38="YES",AQ38="Yes",AQ38="Y",AQ38=1),1,0)</f>
        <v>0</v>
      </c>
      <c r="BD38" s="23" t="s">
        <v>470</v>
      </c>
      <c r="BE38" t="s">
        <v>471</v>
      </c>
      <c r="BF38" s="26" t="s">
        <v>74</v>
      </c>
    </row>
    <row r="39" spans="1:58" ht="15" customHeight="1">
      <c r="A39" s="12">
        <v>46162.544917789353</v>
      </c>
      <c r="B39" s="13" t="s">
        <v>64</v>
      </c>
      <c r="C39" s="14">
        <v>46159</v>
      </c>
      <c r="D39" s="15">
        <v>0.70277777777664596</v>
      </c>
      <c r="E39" s="15">
        <v>0.71041666666860692</v>
      </c>
      <c r="F39" s="16" t="s">
        <v>552</v>
      </c>
      <c r="G39" s="17" t="s">
        <v>553</v>
      </c>
      <c r="H39" s="16">
        <v>10</v>
      </c>
      <c r="I39" s="21" t="s">
        <v>554</v>
      </c>
      <c r="J39" s="16">
        <v>8</v>
      </c>
      <c r="K39" s="18" t="s">
        <v>555</v>
      </c>
      <c r="L39" s="16">
        <v>9</v>
      </c>
      <c r="M39" s="21" t="s">
        <v>556</v>
      </c>
      <c r="N39" s="16">
        <v>10</v>
      </c>
      <c r="O39" s="21" t="s">
        <v>557</v>
      </c>
      <c r="P39" s="16">
        <v>9</v>
      </c>
      <c r="Q39" s="22" t="s">
        <v>558</v>
      </c>
      <c r="R39" s="16">
        <v>5</v>
      </c>
      <c r="S39" s="22" t="s">
        <v>559</v>
      </c>
      <c r="T39" s="16"/>
      <c r="U39" s="18"/>
      <c r="V39" s="16">
        <v>15</v>
      </c>
      <c r="W39" s="21" t="s">
        <v>560</v>
      </c>
      <c r="X39" s="16">
        <v>9</v>
      </c>
      <c r="Y39" s="21" t="s">
        <v>561</v>
      </c>
      <c r="Z39" s="16"/>
      <c r="AA39" s="18"/>
      <c r="AB39" s="16">
        <v>5</v>
      </c>
      <c r="AC39" s="18" t="s">
        <v>562</v>
      </c>
      <c r="AD39" s="16">
        <v>5</v>
      </c>
      <c r="AE39" s="18" t="s">
        <v>563</v>
      </c>
      <c r="AF39" s="16">
        <v>10</v>
      </c>
      <c r="AG39" s="18" t="s">
        <v>564</v>
      </c>
      <c r="AH39" s="16"/>
      <c r="AI39" s="18"/>
      <c r="AJ39" s="16"/>
      <c r="AK39" s="18"/>
      <c r="AL39" s="16"/>
      <c r="AM39" s="18"/>
      <c r="AN39" s="16"/>
      <c r="AO39" s="18"/>
      <c r="AP39" s="16" t="s">
        <v>60</v>
      </c>
      <c r="AQ39" s="18" t="s">
        <v>565</v>
      </c>
      <c r="AR39" s="16"/>
      <c r="AS39" s="19">
        <f>SUM(H39,J39,L39,N39,P39,R39,T39,V39,X39,Z39,AB39,AD39,AF39,AH39,AJ39,AL39,AN39)</f>
        <v>95</v>
      </c>
      <c r="AT39" s="14">
        <f>IF(C39="","",DATE(YEAR(C39),MONTH(C39),1))</f>
        <v>46143</v>
      </c>
      <c r="AU39" s="16" t="str">
        <f>IF(AT39="","",TEXT(AT39,"mmmm yyyy"))</f>
        <v>May 2026</v>
      </c>
      <c r="AV39" s="14">
        <f>IF(C39="","",C39-WEEKDAY(C39,2)+1)</f>
        <v>46153</v>
      </c>
      <c r="AW39" s="14">
        <f>IF(AV39="","",AV39+6)</f>
        <v>46159</v>
      </c>
      <c r="AX39" s="16" t="str">
        <f>IF(AV39="","",TEXT(AV39,"dd/mm/yyyy")&amp;" - "&amp;TEXT(AW39,"dd/mm/yyyy"))</f>
        <v>11/05/2026 - 17/05/2026</v>
      </c>
      <c r="AY39" s="16">
        <f>IF(B39="","",COUNTIFS($B$5:B39,B39,$AT$5:AT39,AT39))</f>
        <v>2</v>
      </c>
      <c r="AZ39" s="16">
        <f>IF(B39="","",COUNTIFS($B$5:B39,B39,$AV$5:AV39,AV39))</f>
        <v>2</v>
      </c>
      <c r="BA39" s="25" t="str">
        <f>IF(B39="","",TEXT(AY39,"00")&amp;"|"&amp;B39&amp;"|"&amp;TEXT(AT39,"yyyymmdd"))</f>
        <v>02|Wachiraporn chailittichai|20260501</v>
      </c>
      <c r="BB39" s="16" t="str">
        <f>IF(B39="","",TEXT(AZ39,"00")&amp;"|"&amp;B39&amp;"|"&amp;TEXT(AV39,"yyyymmdd"))</f>
        <v>02|Wachiraporn chailittichai|20260511</v>
      </c>
      <c r="BC39" s="16">
        <f>IF(OR(AQ39="YES",AQ39="Yes",AQ39="Y",AQ39=1),1,0)</f>
        <v>0</v>
      </c>
      <c r="BD39" s="23" t="s">
        <v>566</v>
      </c>
      <c r="BE39" t="s">
        <v>567</v>
      </c>
      <c r="BF39" s="26" t="s">
        <v>74</v>
      </c>
    </row>
    <row r="40" spans="1:58" ht="15" customHeight="1">
      <c r="A40" s="12">
        <v>46162.563172453709</v>
      </c>
      <c r="B40" s="13" t="s">
        <v>64</v>
      </c>
      <c r="C40" s="14">
        <v>46159</v>
      </c>
      <c r="D40" s="15">
        <v>0.34027777778101154</v>
      </c>
      <c r="E40" s="15">
        <v>0.34166666666715173</v>
      </c>
      <c r="F40" s="16" t="s">
        <v>568</v>
      </c>
      <c r="G40" s="17" t="s">
        <v>70</v>
      </c>
      <c r="H40" s="16">
        <v>9</v>
      </c>
      <c r="I40" s="21" t="s">
        <v>569</v>
      </c>
      <c r="J40" s="16">
        <v>10</v>
      </c>
      <c r="K40" s="18" t="s">
        <v>570</v>
      </c>
      <c r="L40" s="16">
        <v>6</v>
      </c>
      <c r="M40" s="21" t="s">
        <v>571</v>
      </c>
      <c r="N40" s="16">
        <v>6</v>
      </c>
      <c r="O40" s="21" t="s">
        <v>572</v>
      </c>
      <c r="P40" s="16">
        <v>5</v>
      </c>
      <c r="Q40" s="22" t="s">
        <v>573</v>
      </c>
      <c r="R40" s="16">
        <v>2</v>
      </c>
      <c r="S40" s="22" t="s">
        <v>574</v>
      </c>
      <c r="T40" s="16"/>
      <c r="U40" s="18"/>
      <c r="V40" s="16">
        <v>8</v>
      </c>
      <c r="W40" s="21" t="s">
        <v>575</v>
      </c>
      <c r="X40" s="16">
        <v>5</v>
      </c>
      <c r="Y40" s="21" t="s">
        <v>576</v>
      </c>
      <c r="Z40" s="16"/>
      <c r="AA40" s="18"/>
      <c r="AB40" s="16">
        <v>4</v>
      </c>
      <c r="AC40" s="18" t="s">
        <v>577</v>
      </c>
      <c r="AD40" s="16">
        <v>5</v>
      </c>
      <c r="AE40" s="18" t="s">
        <v>578</v>
      </c>
      <c r="AF40" s="16">
        <v>8</v>
      </c>
      <c r="AG40" s="18" t="s">
        <v>579</v>
      </c>
      <c r="AH40" s="16"/>
      <c r="AI40" s="18"/>
      <c r="AJ40" s="16"/>
      <c r="AK40" s="18"/>
      <c r="AL40" s="16"/>
      <c r="AM40" s="18"/>
      <c r="AN40" s="16"/>
      <c r="AO40" s="18"/>
      <c r="AP40" s="16" t="s">
        <v>60</v>
      </c>
      <c r="AQ40" s="18" t="s">
        <v>580</v>
      </c>
      <c r="AR40" s="16"/>
      <c r="AS40" s="19">
        <f>SUM(H40,J40,L40,N40,P40,R40,T40,V40,X40,Z40,AB40,AD40,AF40,AH40,AJ40,AL40,AN40)</f>
        <v>68</v>
      </c>
      <c r="AT40" s="14">
        <f>IF(C40="","",DATE(YEAR(C40),MONTH(C40),1))</f>
        <v>46143</v>
      </c>
      <c r="AU40" s="16" t="str">
        <f>IF(AT40="","",TEXT(AT40,"mmmm yyyy"))</f>
        <v>May 2026</v>
      </c>
      <c r="AV40" s="14">
        <f>IF(C40="","",C40-WEEKDAY(C40,2)+1)</f>
        <v>46153</v>
      </c>
      <c r="AW40" s="14">
        <f>IF(AV40="","",AV40+6)</f>
        <v>46159</v>
      </c>
      <c r="AX40" s="16" t="str">
        <f>IF(AV40="","",TEXT(AV40,"dd/mm/yyyy")&amp;" - "&amp;TEXT(AW40,"dd/mm/yyyy"))</f>
        <v>11/05/2026 - 17/05/2026</v>
      </c>
      <c r="AY40" s="16">
        <f>IF(B40="","",COUNTIFS($B$5:B40,B40,$AT$5:AT40,AT40))</f>
        <v>3</v>
      </c>
      <c r="AZ40" s="16">
        <f>IF(B40="","",COUNTIFS($B$5:B40,B40,$AV$5:AV40,AV40))</f>
        <v>3</v>
      </c>
      <c r="BA40" s="25" t="str">
        <f>IF(B40="","",TEXT(AY40,"00")&amp;"|"&amp;B40&amp;"|"&amp;TEXT(AT40,"yyyymmdd"))</f>
        <v>03|Wachiraporn chailittichai|20260501</v>
      </c>
      <c r="BB40" s="16" t="str">
        <f>IF(B40="","",TEXT(AZ40,"00")&amp;"|"&amp;B40&amp;"|"&amp;TEXT(AV40,"yyyymmdd"))</f>
        <v>03|Wachiraporn chailittichai|20260511</v>
      </c>
      <c r="BC40" s="16">
        <f>IF(OR(AQ40="YES",AQ40="Yes",AQ40="Y",AQ40=1),1,0)</f>
        <v>0</v>
      </c>
      <c r="BD40" s="23" t="s">
        <v>581</v>
      </c>
      <c r="BE40" t="s">
        <v>582</v>
      </c>
      <c r="BF40" s="26" t="s">
        <v>74</v>
      </c>
    </row>
    <row r="41" spans="1:58" ht="15" customHeight="1">
      <c r="A41" s="27"/>
      <c r="B41" s="28"/>
      <c r="C41" s="29"/>
      <c r="D41" s="30"/>
      <c r="E41" s="30"/>
      <c r="F41" s="28"/>
      <c r="G41" s="28"/>
      <c r="H41" s="28"/>
      <c r="I41" s="13"/>
      <c r="J41" s="28"/>
      <c r="K41" s="13"/>
      <c r="L41" s="28"/>
      <c r="M41" s="13"/>
      <c r="N41" s="28"/>
      <c r="O41" s="13"/>
      <c r="P41" s="28"/>
      <c r="Q41" s="20"/>
      <c r="R41" s="28"/>
      <c r="S41" s="20"/>
      <c r="T41" s="28"/>
      <c r="U41" s="13"/>
      <c r="V41" s="28"/>
      <c r="W41" s="13"/>
      <c r="X41" s="28"/>
      <c r="Y41" s="13"/>
      <c r="Z41" s="28"/>
      <c r="AA41" s="13"/>
      <c r="AB41" s="28"/>
      <c r="AC41" s="13"/>
      <c r="AD41" s="28"/>
      <c r="AE41" s="13"/>
      <c r="AF41" s="28"/>
      <c r="AG41" s="13"/>
      <c r="AH41" s="28"/>
      <c r="AI41" s="13"/>
      <c r="AJ41" s="28"/>
      <c r="AK41" s="13"/>
      <c r="AL41" s="28"/>
      <c r="AM41" s="13"/>
      <c r="AN41" s="28"/>
      <c r="AO41" s="13"/>
      <c r="AP41" s="28"/>
      <c r="AQ41" s="13"/>
      <c r="AR41" s="28"/>
      <c r="AS41" s="19">
        <f>SUM(H41,J41,L41,N41,P41,R41,T41,V41,X41,Z41,AB41,AD41,AF41,AH41,AJ41,AL41,AN41)</f>
        <v>0</v>
      </c>
      <c r="AT41" s="29" t="str">
        <f>IF(C41="","",DATE(YEAR(C41),MONTH(C41),1))</f>
        <v/>
      </c>
      <c r="AU41" s="28" t="str">
        <f>IF(AT41="","",TEXT(AT41,"mmmm yyyy"))</f>
        <v/>
      </c>
      <c r="AV41" s="29" t="str">
        <f>IF(C41="","",C41-WEEKDAY(C41,2)+1)</f>
        <v/>
      </c>
      <c r="AW41" s="29" t="str">
        <f>IF(AV41="","",AV41+6)</f>
        <v/>
      </c>
      <c r="AX41" s="28" t="str">
        <f>IF(AV41="","",TEXT(AV41,"dd/mm/yyyy")&amp;" - "&amp;TEXT(AW41,"dd/mm/yyyy"))</f>
        <v/>
      </c>
      <c r="AY41" s="28" t="str">
        <f>IF(B41="","",COUNTIFS($B$5:B41,B41,$AT$5:AT41,AT41))</f>
        <v/>
      </c>
      <c r="AZ41" s="28" t="str">
        <f>IF(B41="","",COUNTIFS($B$5:B41,B41,$AV$5:AV41,AV41))</f>
        <v/>
      </c>
      <c r="BA41" s="28" t="str">
        <f>IF(B41="","",TEXT(AY41,"00")&amp;"|"&amp;B41&amp;"|"&amp;TEXT(AT41,"yyyymmdd"))</f>
        <v/>
      </c>
      <c r="BB41" s="28" t="str">
        <f>IF(B41="","",TEXT(AZ41,"00")&amp;"|"&amp;B41&amp;"|"&amp;TEXT(AV41,"yyyymmdd"))</f>
        <v/>
      </c>
      <c r="BC41" s="28">
        <f>IF(OR(AQ41="YES",AQ41="Yes",AQ41="Y",AQ41=1),1,0)</f>
        <v>0</v>
      </c>
    </row>
    <row r="42" spans="1:58" ht="15" customHeight="1">
      <c r="A42" s="27"/>
      <c r="B42" s="28"/>
      <c r="C42" s="29"/>
      <c r="D42" s="30"/>
      <c r="E42" s="30"/>
      <c r="F42" s="28"/>
      <c r="G42" s="28"/>
      <c r="H42" s="28"/>
      <c r="I42" s="13"/>
      <c r="J42" s="28"/>
      <c r="K42" s="13"/>
      <c r="L42" s="28"/>
      <c r="M42" s="13"/>
      <c r="N42" s="28"/>
      <c r="O42" s="13"/>
      <c r="P42" s="28"/>
      <c r="Q42" s="20"/>
      <c r="R42" s="28"/>
      <c r="S42" s="20"/>
      <c r="T42" s="28"/>
      <c r="U42" s="13"/>
      <c r="V42" s="28"/>
      <c r="W42" s="13"/>
      <c r="X42" s="28"/>
      <c r="Y42" s="13"/>
      <c r="Z42" s="28"/>
      <c r="AA42" s="13"/>
      <c r="AB42" s="28"/>
      <c r="AC42" s="13"/>
      <c r="AD42" s="28"/>
      <c r="AE42" s="13"/>
      <c r="AF42" s="28"/>
      <c r="AG42" s="13"/>
      <c r="AH42" s="28"/>
      <c r="AI42" s="13"/>
      <c r="AJ42" s="28"/>
      <c r="AK42" s="13"/>
      <c r="AL42" s="28"/>
      <c r="AM42" s="13"/>
      <c r="AN42" s="28"/>
      <c r="AO42" s="13"/>
      <c r="AP42" s="28"/>
      <c r="AQ42" s="13"/>
      <c r="AR42" s="28"/>
      <c r="AS42" s="19">
        <f>SUM(H42,J42,L42,N42,P42,R42,T42,V42,X42,Z42,AB42,AD42,AF42,AH42,AJ42,AL42,AN42)</f>
        <v>0</v>
      </c>
      <c r="AT42" s="29" t="str">
        <f>IF(C42="","",DATE(YEAR(C42),MONTH(C42),1))</f>
        <v/>
      </c>
      <c r="AU42" s="28" t="str">
        <f>IF(AT42="","",TEXT(AT42,"mmmm yyyy"))</f>
        <v/>
      </c>
      <c r="AV42" s="29" t="str">
        <f>IF(C42="","",C42-WEEKDAY(C42,2)+1)</f>
        <v/>
      </c>
      <c r="AW42" s="29" t="str">
        <f>IF(AV42="","",AV42+6)</f>
        <v/>
      </c>
      <c r="AX42" s="28" t="str">
        <f>IF(AV42="","",TEXT(AV42,"dd/mm/yyyy")&amp;" - "&amp;TEXT(AW42,"dd/mm/yyyy"))</f>
        <v/>
      </c>
      <c r="AY42" s="28" t="str">
        <f>IF(B42="","",COUNTIFS($B$5:B42,B42,$AT$5:AT42,AT42))</f>
        <v/>
      </c>
      <c r="AZ42" s="28" t="str">
        <f>IF(B42="","",COUNTIFS($B$5:B42,B42,$AV$5:AV42,AV42))</f>
        <v/>
      </c>
      <c r="BA42" s="28" t="str">
        <f>IF(B42="","",TEXT(AY42,"00")&amp;"|"&amp;B42&amp;"|"&amp;TEXT(AT42,"yyyymmdd"))</f>
        <v/>
      </c>
      <c r="BB42" s="28" t="str">
        <f>IF(B42="","",TEXT(AZ42,"00")&amp;"|"&amp;B42&amp;"|"&amp;TEXT(AV42,"yyyymmdd"))</f>
        <v/>
      </c>
      <c r="BC42" s="28">
        <f>IF(OR(AQ42="YES",AQ42="Yes",AQ42="Y",AQ42=1),1,0)</f>
        <v>0</v>
      </c>
    </row>
    <row r="43" spans="1:58" ht="15" customHeight="1">
      <c r="A43" s="27"/>
      <c r="B43" s="28"/>
      <c r="C43" s="29"/>
      <c r="D43" s="30"/>
      <c r="E43" s="30"/>
      <c r="F43" s="28"/>
      <c r="G43" s="28"/>
      <c r="H43" s="28"/>
      <c r="I43" s="13"/>
      <c r="J43" s="28"/>
      <c r="K43" s="13"/>
      <c r="L43" s="28"/>
      <c r="M43" s="13"/>
      <c r="N43" s="28"/>
      <c r="O43" s="13"/>
      <c r="P43" s="28"/>
      <c r="Q43" s="20"/>
      <c r="R43" s="28"/>
      <c r="S43" s="20"/>
      <c r="T43" s="28"/>
      <c r="U43" s="13"/>
      <c r="V43" s="28"/>
      <c r="W43" s="13"/>
      <c r="X43" s="28"/>
      <c r="Y43" s="13"/>
      <c r="Z43" s="28"/>
      <c r="AA43" s="13"/>
      <c r="AB43" s="28"/>
      <c r="AC43" s="13"/>
      <c r="AD43" s="28"/>
      <c r="AE43" s="13"/>
      <c r="AF43" s="28"/>
      <c r="AG43" s="13"/>
      <c r="AH43" s="28"/>
      <c r="AI43" s="13"/>
      <c r="AJ43" s="28"/>
      <c r="AK43" s="13"/>
      <c r="AL43" s="28"/>
      <c r="AM43" s="13"/>
      <c r="AN43" s="28"/>
      <c r="AO43" s="13"/>
      <c r="AP43" s="28"/>
      <c r="AQ43" s="13"/>
      <c r="AR43" s="28"/>
      <c r="AS43" s="19">
        <f>SUM(H43,J43,L43,N43,P43,R43,T43,V43,X43,Z43,AB43,AD43,AF43,AH43,AJ43,AL43,AN43)</f>
        <v>0</v>
      </c>
      <c r="AT43" s="29" t="str">
        <f>IF(C43="","",DATE(YEAR(C43),MONTH(C43),1))</f>
        <v/>
      </c>
      <c r="AU43" s="28" t="str">
        <f>IF(AT43="","",TEXT(AT43,"mmmm yyyy"))</f>
        <v/>
      </c>
      <c r="AV43" s="29" t="str">
        <f>IF(C43="","",C43-WEEKDAY(C43,2)+1)</f>
        <v/>
      </c>
      <c r="AW43" s="29" t="str">
        <f>IF(AV43="","",AV43+6)</f>
        <v/>
      </c>
      <c r="AX43" s="28" t="str">
        <f>IF(AV43="","",TEXT(AV43,"dd/mm/yyyy")&amp;" - "&amp;TEXT(AW43,"dd/mm/yyyy"))</f>
        <v/>
      </c>
      <c r="AY43" s="28" t="str">
        <f>IF(B43="","",COUNTIFS($B$5:B43,B43,$AT$5:AT43,AT43))</f>
        <v/>
      </c>
      <c r="AZ43" s="28" t="str">
        <f>IF(B43="","",COUNTIFS($B$5:B43,B43,$AV$5:AV43,AV43))</f>
        <v/>
      </c>
      <c r="BA43" s="28" t="str">
        <f>IF(B43="","",TEXT(AY43,"00")&amp;"|"&amp;B43&amp;"|"&amp;TEXT(AT43,"yyyymmdd"))</f>
        <v/>
      </c>
      <c r="BB43" s="28" t="str">
        <f>IF(B43="","",TEXT(AZ43,"00")&amp;"|"&amp;B43&amp;"|"&amp;TEXT(AV43,"yyyymmdd"))</f>
        <v/>
      </c>
      <c r="BC43" s="28">
        <f>IF(OR(AQ43="YES",AQ43="Yes",AQ43="Y",AQ43=1),1,0)</f>
        <v>0</v>
      </c>
    </row>
    <row r="44" spans="1:58" ht="15" customHeight="1">
      <c r="A44" s="27"/>
      <c r="B44" s="28"/>
      <c r="C44" s="29"/>
      <c r="D44" s="30"/>
      <c r="E44" s="30"/>
      <c r="F44" s="28"/>
      <c r="G44" s="28"/>
      <c r="H44" s="28"/>
      <c r="I44" s="13"/>
      <c r="J44" s="28"/>
      <c r="K44" s="13"/>
      <c r="L44" s="28"/>
      <c r="M44" s="13"/>
      <c r="N44" s="28"/>
      <c r="O44" s="13"/>
      <c r="P44" s="28"/>
      <c r="Q44" s="20"/>
      <c r="R44" s="28"/>
      <c r="S44" s="20"/>
      <c r="T44" s="28"/>
      <c r="U44" s="13"/>
      <c r="V44" s="28"/>
      <c r="W44" s="13"/>
      <c r="X44" s="28"/>
      <c r="Y44" s="13"/>
      <c r="Z44" s="28"/>
      <c r="AA44" s="13"/>
      <c r="AB44" s="28"/>
      <c r="AC44" s="13"/>
      <c r="AD44" s="28"/>
      <c r="AE44" s="13"/>
      <c r="AF44" s="28"/>
      <c r="AG44" s="13"/>
      <c r="AH44" s="28"/>
      <c r="AI44" s="13"/>
      <c r="AJ44" s="28"/>
      <c r="AK44" s="13"/>
      <c r="AL44" s="28"/>
      <c r="AM44" s="13"/>
      <c r="AN44" s="28"/>
      <c r="AO44" s="13"/>
      <c r="AP44" s="28"/>
      <c r="AQ44" s="13"/>
      <c r="AR44" s="28"/>
      <c r="AS44" s="19">
        <f>SUM(H44,J44,L44,N44,P44,R44,T44,V44,X44,Z44,AB44,AD44,AF44,AH44,AJ44,AL44,AN44)</f>
        <v>0</v>
      </c>
      <c r="AT44" s="29" t="str">
        <f>IF(C44="","",DATE(YEAR(C44),MONTH(C44),1))</f>
        <v/>
      </c>
      <c r="AU44" s="28" t="str">
        <f>IF(AT44="","",TEXT(AT44,"mmmm yyyy"))</f>
        <v/>
      </c>
      <c r="AV44" s="29" t="str">
        <f>IF(C44="","",C44-WEEKDAY(C44,2)+1)</f>
        <v/>
      </c>
      <c r="AW44" s="29" t="str">
        <f>IF(AV44="","",AV44+6)</f>
        <v/>
      </c>
      <c r="AX44" s="28" t="str">
        <f>IF(AV44="","",TEXT(AV44,"dd/mm/yyyy")&amp;" - "&amp;TEXT(AW44,"dd/mm/yyyy"))</f>
        <v/>
      </c>
      <c r="AY44" s="28" t="str">
        <f>IF(B44="","",COUNTIFS($B$5:B44,B44,$AT$5:AT44,AT44))</f>
        <v/>
      </c>
      <c r="AZ44" s="28" t="str">
        <f>IF(B44="","",COUNTIFS($B$5:B44,B44,$AV$5:AV44,AV44))</f>
        <v/>
      </c>
      <c r="BA44" s="28" t="str">
        <f>IF(B44="","",TEXT(AY44,"00")&amp;"|"&amp;B44&amp;"|"&amp;TEXT(AT44,"yyyymmdd"))</f>
        <v/>
      </c>
      <c r="BB44" s="28" t="str">
        <f>IF(B44="","",TEXT(AZ44,"00")&amp;"|"&amp;B44&amp;"|"&amp;TEXT(AV44,"yyyymmdd"))</f>
        <v/>
      </c>
      <c r="BC44" s="28">
        <f>IF(OR(AQ44="YES",AQ44="Yes",AQ44="Y",AQ44=1),1,0)</f>
        <v>0</v>
      </c>
    </row>
    <row r="45" spans="1:58" ht="15" customHeight="1">
      <c r="A45" s="27"/>
      <c r="B45" s="28"/>
      <c r="C45" s="29"/>
      <c r="D45" s="30"/>
      <c r="E45" s="30"/>
      <c r="F45" s="28"/>
      <c r="G45" s="28"/>
      <c r="H45" s="28"/>
      <c r="I45" s="13"/>
      <c r="J45" s="28"/>
      <c r="K45" s="13"/>
      <c r="L45" s="28"/>
      <c r="M45" s="13"/>
      <c r="N45" s="28"/>
      <c r="O45" s="13"/>
      <c r="P45" s="28"/>
      <c r="Q45" s="20"/>
      <c r="R45" s="28"/>
      <c r="S45" s="20"/>
      <c r="T45" s="28"/>
      <c r="U45" s="13"/>
      <c r="V45" s="28"/>
      <c r="W45" s="13"/>
      <c r="X45" s="28"/>
      <c r="Y45" s="13"/>
      <c r="Z45" s="28"/>
      <c r="AA45" s="13"/>
      <c r="AB45" s="28"/>
      <c r="AC45" s="13"/>
      <c r="AD45" s="28"/>
      <c r="AE45" s="13"/>
      <c r="AF45" s="28"/>
      <c r="AG45" s="13"/>
      <c r="AH45" s="28"/>
      <c r="AI45" s="13"/>
      <c r="AJ45" s="28"/>
      <c r="AK45" s="13"/>
      <c r="AL45" s="28"/>
      <c r="AM45" s="13"/>
      <c r="AN45" s="28"/>
      <c r="AO45" s="13"/>
      <c r="AP45" s="28"/>
      <c r="AQ45" s="13"/>
      <c r="AR45" s="28"/>
      <c r="AS45" s="19">
        <f>SUM(H45,J45,L45,N45,P45,R45,T45,V45,X45,Z45,AB45,AD45,AF45,AH45,AJ45,AL45,AN45)</f>
        <v>0</v>
      </c>
      <c r="AT45" s="29" t="str">
        <f>IF(C45="","",DATE(YEAR(C45),MONTH(C45),1))</f>
        <v/>
      </c>
      <c r="AU45" s="28" t="str">
        <f>IF(AT45="","",TEXT(AT45,"mmmm yyyy"))</f>
        <v/>
      </c>
      <c r="AV45" s="29" t="str">
        <f>IF(C45="","",C45-WEEKDAY(C45,2)+1)</f>
        <v/>
      </c>
      <c r="AW45" s="29" t="str">
        <f>IF(AV45="","",AV45+6)</f>
        <v/>
      </c>
      <c r="AX45" s="28" t="str">
        <f>IF(AV45="","",TEXT(AV45,"dd/mm/yyyy")&amp;" - "&amp;TEXT(AW45,"dd/mm/yyyy"))</f>
        <v/>
      </c>
      <c r="AY45" s="28" t="str">
        <f>IF(B45="","",COUNTIFS($B$5:B45,B45,$AT$5:AT45,AT45))</f>
        <v/>
      </c>
      <c r="AZ45" s="28" t="str">
        <f>IF(B45="","",COUNTIFS($B$5:B45,B45,$AV$5:AV45,AV45))</f>
        <v/>
      </c>
      <c r="BA45" s="28" t="str">
        <f>IF(B45="","",TEXT(AY45,"00")&amp;"|"&amp;B45&amp;"|"&amp;TEXT(AT45,"yyyymmdd"))</f>
        <v/>
      </c>
      <c r="BB45" s="28" t="str">
        <f>IF(B45="","",TEXT(AZ45,"00")&amp;"|"&amp;B45&amp;"|"&amp;TEXT(AV45,"yyyymmdd"))</f>
        <v/>
      </c>
      <c r="BC45" s="28">
        <f>IF(OR(AQ45="YES",AQ45="Yes",AQ45="Y",AQ45=1),1,0)</f>
        <v>0</v>
      </c>
    </row>
    <row r="46" spans="1:58" ht="15" customHeight="1">
      <c r="A46" s="27"/>
      <c r="B46" s="28"/>
      <c r="C46" s="29"/>
      <c r="D46" s="30"/>
      <c r="E46" s="30"/>
      <c r="F46" s="28"/>
      <c r="G46" s="28"/>
      <c r="H46" s="28"/>
      <c r="I46" s="13"/>
      <c r="J46" s="28"/>
      <c r="K46" s="13"/>
      <c r="L46" s="28"/>
      <c r="M46" s="13"/>
      <c r="N46" s="28"/>
      <c r="O46" s="13"/>
      <c r="P46" s="28"/>
      <c r="Q46" s="20"/>
      <c r="R46" s="28"/>
      <c r="S46" s="20"/>
      <c r="T46" s="28"/>
      <c r="U46" s="13"/>
      <c r="V46" s="28"/>
      <c r="W46" s="13"/>
      <c r="X46" s="28"/>
      <c r="Y46" s="13"/>
      <c r="Z46" s="28"/>
      <c r="AA46" s="13"/>
      <c r="AB46" s="28"/>
      <c r="AC46" s="13"/>
      <c r="AD46" s="28"/>
      <c r="AE46" s="13"/>
      <c r="AF46" s="28"/>
      <c r="AG46" s="13"/>
      <c r="AH46" s="28"/>
      <c r="AI46" s="13"/>
      <c r="AJ46" s="28"/>
      <c r="AK46" s="13"/>
      <c r="AL46" s="28"/>
      <c r="AM46" s="13"/>
      <c r="AN46" s="28"/>
      <c r="AO46" s="13"/>
      <c r="AP46" s="28"/>
      <c r="AQ46" s="13"/>
      <c r="AR46" s="28"/>
      <c r="AS46" s="19">
        <f>SUM(H46,J46,L46,N46,P46,R46,T46,V46,X46,Z46,AB46,AD46,AF46,AH46,AJ46,AL46,AN46)</f>
        <v>0</v>
      </c>
      <c r="AT46" s="29" t="str">
        <f>IF(C46="","",DATE(YEAR(C46),MONTH(C46),1))</f>
        <v/>
      </c>
      <c r="AU46" s="28" t="str">
        <f>IF(AT46="","",TEXT(AT46,"mmmm yyyy"))</f>
        <v/>
      </c>
      <c r="AV46" s="29" t="str">
        <f>IF(C46="","",C46-WEEKDAY(C46,2)+1)</f>
        <v/>
      </c>
      <c r="AW46" s="29" t="str">
        <f>IF(AV46="","",AV46+6)</f>
        <v/>
      </c>
      <c r="AX46" s="28" t="str">
        <f>IF(AV46="","",TEXT(AV46,"dd/mm/yyyy")&amp;" - "&amp;TEXT(AW46,"dd/mm/yyyy"))</f>
        <v/>
      </c>
      <c r="AY46" s="28" t="str">
        <f>IF(B46="","",COUNTIFS($B$5:B46,B46,$AT$5:AT46,AT46))</f>
        <v/>
      </c>
      <c r="AZ46" s="28" t="str">
        <f>IF(B46="","",COUNTIFS($B$5:B46,B46,$AV$5:AV46,AV46))</f>
        <v/>
      </c>
      <c r="BA46" s="28" t="str">
        <f>IF(B46="","",TEXT(AY46,"00")&amp;"|"&amp;B46&amp;"|"&amp;TEXT(AT46,"yyyymmdd"))</f>
        <v/>
      </c>
      <c r="BB46" s="28" t="str">
        <f>IF(B46="","",TEXT(AZ46,"00")&amp;"|"&amp;B46&amp;"|"&amp;TEXT(AV46,"yyyymmdd"))</f>
        <v/>
      </c>
      <c r="BC46" s="28">
        <f>IF(OR(AQ46="YES",AQ46="Yes",AQ46="Y",AQ46=1),1,0)</f>
        <v>0</v>
      </c>
    </row>
    <row r="47" spans="1:58" ht="15" customHeight="1">
      <c r="A47" s="27"/>
      <c r="B47" s="28"/>
      <c r="C47" s="29"/>
      <c r="D47" s="30"/>
      <c r="E47" s="30"/>
      <c r="F47" s="28"/>
      <c r="G47" s="28"/>
      <c r="H47" s="28"/>
      <c r="I47" s="13"/>
      <c r="J47" s="28"/>
      <c r="K47" s="13"/>
      <c r="L47" s="28"/>
      <c r="M47" s="13"/>
      <c r="N47" s="28"/>
      <c r="O47" s="13"/>
      <c r="P47" s="28"/>
      <c r="Q47" s="20"/>
      <c r="R47" s="28"/>
      <c r="S47" s="20"/>
      <c r="T47" s="28"/>
      <c r="U47" s="13"/>
      <c r="V47" s="28"/>
      <c r="W47" s="13"/>
      <c r="X47" s="28"/>
      <c r="Y47" s="13"/>
      <c r="Z47" s="28"/>
      <c r="AA47" s="13"/>
      <c r="AB47" s="28"/>
      <c r="AC47" s="13"/>
      <c r="AD47" s="28"/>
      <c r="AE47" s="13"/>
      <c r="AF47" s="28"/>
      <c r="AG47" s="13"/>
      <c r="AH47" s="28"/>
      <c r="AI47" s="13"/>
      <c r="AJ47" s="28"/>
      <c r="AK47" s="13"/>
      <c r="AL47" s="28"/>
      <c r="AM47" s="13"/>
      <c r="AN47" s="28"/>
      <c r="AO47" s="13"/>
      <c r="AP47" s="28"/>
      <c r="AQ47" s="13"/>
      <c r="AR47" s="28"/>
      <c r="AS47" s="19">
        <f>SUM(H47,J47,L47,N47,P47,R47,T47,V47,X47,Z47,AB47,AD47,AF47,AH47,AJ47,AL47,AN47)</f>
        <v>0</v>
      </c>
      <c r="AT47" s="29" t="str">
        <f>IF(C47="","",DATE(YEAR(C47),MONTH(C47),1))</f>
        <v/>
      </c>
      <c r="AU47" s="28" t="str">
        <f>IF(AT47="","",TEXT(AT47,"mmmm yyyy"))</f>
        <v/>
      </c>
      <c r="AV47" s="29" t="str">
        <f>IF(C47="","",C47-WEEKDAY(C47,2)+1)</f>
        <v/>
      </c>
      <c r="AW47" s="29" t="str">
        <f>IF(AV47="","",AV47+6)</f>
        <v/>
      </c>
      <c r="AX47" s="28" t="str">
        <f>IF(AV47="","",TEXT(AV47,"dd/mm/yyyy")&amp;" - "&amp;TEXT(AW47,"dd/mm/yyyy"))</f>
        <v/>
      </c>
      <c r="AY47" s="28" t="str">
        <f>IF(B47="","",COUNTIFS($B$5:B47,B47,$AT$5:AT47,AT47))</f>
        <v/>
      </c>
      <c r="AZ47" s="28" t="str">
        <f>IF(B47="","",COUNTIFS($B$5:B47,B47,$AV$5:AV47,AV47))</f>
        <v/>
      </c>
      <c r="BA47" s="28" t="str">
        <f>IF(B47="","",TEXT(AY47,"00")&amp;"|"&amp;B47&amp;"|"&amp;TEXT(AT47,"yyyymmdd"))</f>
        <v/>
      </c>
      <c r="BB47" s="28" t="str">
        <f>IF(B47="","",TEXT(AZ47,"00")&amp;"|"&amp;B47&amp;"|"&amp;TEXT(AV47,"yyyymmdd"))</f>
        <v/>
      </c>
      <c r="BC47" s="28">
        <f>IF(OR(AQ47="YES",AQ47="Yes",AQ47="Y",AQ47=1),1,0)</f>
        <v>0</v>
      </c>
    </row>
    <row r="48" spans="1:58" ht="15" customHeight="1">
      <c r="A48" s="27"/>
      <c r="B48" s="28"/>
      <c r="C48" s="29"/>
      <c r="D48" s="30"/>
      <c r="E48" s="30"/>
      <c r="F48" s="28"/>
      <c r="G48" s="28"/>
      <c r="H48" s="28"/>
      <c r="I48" s="13"/>
      <c r="J48" s="28"/>
      <c r="K48" s="13"/>
      <c r="L48" s="28"/>
      <c r="M48" s="13"/>
      <c r="N48" s="28"/>
      <c r="O48" s="13"/>
      <c r="P48" s="28"/>
      <c r="Q48" s="20"/>
      <c r="R48" s="28"/>
      <c r="S48" s="20"/>
      <c r="T48" s="28"/>
      <c r="U48" s="13"/>
      <c r="V48" s="28"/>
      <c r="W48" s="13"/>
      <c r="X48" s="28"/>
      <c r="Y48" s="13"/>
      <c r="Z48" s="28"/>
      <c r="AA48" s="13"/>
      <c r="AB48" s="28"/>
      <c r="AC48" s="13"/>
      <c r="AD48" s="28"/>
      <c r="AE48" s="13"/>
      <c r="AF48" s="28"/>
      <c r="AG48" s="13"/>
      <c r="AH48" s="28"/>
      <c r="AI48" s="13"/>
      <c r="AJ48" s="28"/>
      <c r="AK48" s="13"/>
      <c r="AL48" s="28"/>
      <c r="AM48" s="13"/>
      <c r="AN48" s="28"/>
      <c r="AO48" s="13"/>
      <c r="AP48" s="28"/>
      <c r="AQ48" s="13"/>
      <c r="AR48" s="28"/>
      <c r="AS48" s="19">
        <f>SUM(H48,J48,L48,N48,P48,R48,T48,V48,X48,Z48,AB48,AD48,AF48,AH48,AJ48,AL48,AN48)</f>
        <v>0</v>
      </c>
      <c r="AT48" s="29" t="str">
        <f>IF(C48="","",DATE(YEAR(C48),MONTH(C48),1))</f>
        <v/>
      </c>
      <c r="AU48" s="28" t="str">
        <f>IF(AT48="","",TEXT(AT48,"mmmm yyyy"))</f>
        <v/>
      </c>
      <c r="AV48" s="29" t="str">
        <f>IF(C48="","",C48-WEEKDAY(C48,2)+1)</f>
        <v/>
      </c>
      <c r="AW48" s="29" t="str">
        <f>IF(AV48="","",AV48+6)</f>
        <v/>
      </c>
      <c r="AX48" s="28" t="str">
        <f>IF(AV48="","",TEXT(AV48,"dd/mm/yyyy")&amp;" - "&amp;TEXT(AW48,"dd/mm/yyyy"))</f>
        <v/>
      </c>
      <c r="AY48" s="28" t="str">
        <f>IF(B48="","",COUNTIFS($B$5:B48,B48,$AT$5:AT48,AT48))</f>
        <v/>
      </c>
      <c r="AZ48" s="28" t="str">
        <f>IF(B48="","",COUNTIFS($B$5:B48,B48,$AV$5:AV48,AV48))</f>
        <v/>
      </c>
      <c r="BA48" s="28" t="str">
        <f>IF(B48="","",TEXT(AY48,"00")&amp;"|"&amp;B48&amp;"|"&amp;TEXT(AT48,"yyyymmdd"))</f>
        <v/>
      </c>
      <c r="BB48" s="28" t="str">
        <f>IF(B48="","",TEXT(AZ48,"00")&amp;"|"&amp;B48&amp;"|"&amp;TEXT(AV48,"yyyymmdd"))</f>
        <v/>
      </c>
      <c r="BC48" s="28">
        <f>IF(OR(AQ48="YES",AQ48="Yes",AQ48="Y",AQ48=1),1,0)</f>
        <v>0</v>
      </c>
    </row>
    <row r="49" spans="1:55" ht="15" customHeight="1">
      <c r="A49" s="27"/>
      <c r="B49" s="28"/>
      <c r="C49" s="29"/>
      <c r="D49" s="30"/>
      <c r="E49" s="30"/>
      <c r="F49" s="28"/>
      <c r="G49" s="28"/>
      <c r="H49" s="28"/>
      <c r="I49" s="13"/>
      <c r="J49" s="28"/>
      <c r="K49" s="13"/>
      <c r="L49" s="28"/>
      <c r="M49" s="13"/>
      <c r="N49" s="28"/>
      <c r="O49" s="13"/>
      <c r="P49" s="28"/>
      <c r="Q49" s="20"/>
      <c r="R49" s="28"/>
      <c r="S49" s="20"/>
      <c r="T49" s="28"/>
      <c r="U49" s="13"/>
      <c r="V49" s="28"/>
      <c r="W49" s="13"/>
      <c r="X49" s="28"/>
      <c r="Y49" s="13"/>
      <c r="Z49" s="28"/>
      <c r="AA49" s="13"/>
      <c r="AB49" s="28"/>
      <c r="AC49" s="13"/>
      <c r="AD49" s="28"/>
      <c r="AE49" s="13"/>
      <c r="AF49" s="28"/>
      <c r="AG49" s="13"/>
      <c r="AH49" s="28"/>
      <c r="AI49" s="13"/>
      <c r="AJ49" s="28"/>
      <c r="AK49" s="13"/>
      <c r="AL49" s="28"/>
      <c r="AM49" s="13"/>
      <c r="AN49" s="28"/>
      <c r="AO49" s="13"/>
      <c r="AP49" s="28"/>
      <c r="AQ49" s="13"/>
      <c r="AR49" s="28"/>
      <c r="AS49" s="19">
        <f>SUM(H49,J49,L49,N49,P49,R49,T49,V49,X49,Z49,AB49,AD49,AF49,AH49,AJ49,AL49,AN49)</f>
        <v>0</v>
      </c>
      <c r="AT49" s="29" t="str">
        <f>IF(C49="","",DATE(YEAR(C49),MONTH(C49),1))</f>
        <v/>
      </c>
      <c r="AU49" s="28" t="str">
        <f>IF(AT49="","",TEXT(AT49,"mmmm yyyy"))</f>
        <v/>
      </c>
      <c r="AV49" s="29" t="str">
        <f>IF(C49="","",C49-WEEKDAY(C49,2)+1)</f>
        <v/>
      </c>
      <c r="AW49" s="29" t="str">
        <f>IF(AV49="","",AV49+6)</f>
        <v/>
      </c>
      <c r="AX49" s="28" t="str">
        <f>IF(AV49="","",TEXT(AV49,"dd/mm/yyyy")&amp;" - "&amp;TEXT(AW49,"dd/mm/yyyy"))</f>
        <v/>
      </c>
      <c r="AY49" s="28" t="str">
        <f>IF(B49="","",COUNTIFS($B$5:B49,B49,$AT$5:AT49,AT49))</f>
        <v/>
      </c>
      <c r="AZ49" s="28" t="str">
        <f>IF(B49="","",COUNTIFS($B$5:B49,B49,$AV$5:AV49,AV49))</f>
        <v/>
      </c>
      <c r="BA49" s="28" t="str">
        <f>IF(B49="","",TEXT(AY49,"00")&amp;"|"&amp;B49&amp;"|"&amp;TEXT(AT49,"yyyymmdd"))</f>
        <v/>
      </c>
      <c r="BB49" s="28" t="str">
        <f>IF(B49="","",TEXT(AZ49,"00")&amp;"|"&amp;B49&amp;"|"&amp;TEXT(AV49,"yyyymmdd"))</f>
        <v/>
      </c>
      <c r="BC49" s="28">
        <f>IF(OR(AQ49="YES",AQ49="Yes",AQ49="Y",AQ49=1),1,0)</f>
        <v>0</v>
      </c>
    </row>
    <row r="50" spans="1:55" ht="15" customHeight="1">
      <c r="A50" s="27"/>
      <c r="B50" s="28"/>
      <c r="C50" s="29"/>
      <c r="D50" s="30"/>
      <c r="E50" s="30"/>
      <c r="F50" s="28"/>
      <c r="G50" s="28"/>
      <c r="H50" s="28"/>
      <c r="I50" s="13"/>
      <c r="J50" s="28"/>
      <c r="K50" s="13"/>
      <c r="L50" s="28"/>
      <c r="M50" s="13"/>
      <c r="N50" s="28"/>
      <c r="O50" s="13"/>
      <c r="P50" s="28"/>
      <c r="Q50" s="20"/>
      <c r="R50" s="28"/>
      <c r="S50" s="20"/>
      <c r="T50" s="28"/>
      <c r="U50" s="13"/>
      <c r="V50" s="28"/>
      <c r="W50" s="13"/>
      <c r="X50" s="28"/>
      <c r="Y50" s="13"/>
      <c r="Z50" s="28"/>
      <c r="AA50" s="13"/>
      <c r="AB50" s="28"/>
      <c r="AC50" s="13"/>
      <c r="AD50" s="28"/>
      <c r="AE50" s="13"/>
      <c r="AF50" s="28"/>
      <c r="AG50" s="13"/>
      <c r="AH50" s="28"/>
      <c r="AI50" s="13"/>
      <c r="AJ50" s="28"/>
      <c r="AK50" s="13"/>
      <c r="AL50" s="28"/>
      <c r="AM50" s="13"/>
      <c r="AN50" s="28"/>
      <c r="AO50" s="13"/>
      <c r="AP50" s="28"/>
      <c r="AQ50" s="13"/>
      <c r="AR50" s="28"/>
      <c r="AS50" s="19">
        <f>SUM(H50,J50,L50,N50,P50,R50,T50,V50,X50,Z50,AB50,AD50,AF50,AH50,AJ50,AL50,AN50)</f>
        <v>0</v>
      </c>
      <c r="AT50" s="29" t="str">
        <f>IF(C50="","",DATE(YEAR(C50),MONTH(C50),1))</f>
        <v/>
      </c>
      <c r="AU50" s="28" t="str">
        <f>IF(AT50="","",TEXT(AT50,"mmmm yyyy"))</f>
        <v/>
      </c>
      <c r="AV50" s="29" t="str">
        <f>IF(C50="","",C50-WEEKDAY(C50,2)+1)</f>
        <v/>
      </c>
      <c r="AW50" s="29" t="str">
        <f>IF(AV50="","",AV50+6)</f>
        <v/>
      </c>
      <c r="AX50" s="28" t="str">
        <f>IF(AV50="","",TEXT(AV50,"dd/mm/yyyy")&amp;" - "&amp;TEXT(AW50,"dd/mm/yyyy"))</f>
        <v/>
      </c>
      <c r="AY50" s="28" t="str">
        <f>IF(B50="","",COUNTIFS($B$5:B50,B50,$AT$5:AT50,AT50))</f>
        <v/>
      </c>
      <c r="AZ50" s="28" t="str">
        <f>IF(B50="","",COUNTIFS($B$5:B50,B50,$AV$5:AV50,AV50))</f>
        <v/>
      </c>
      <c r="BA50" s="28" t="str">
        <f>IF(B50="","",TEXT(AY50,"00")&amp;"|"&amp;B50&amp;"|"&amp;TEXT(AT50,"yyyymmdd"))</f>
        <v/>
      </c>
      <c r="BB50" s="28" t="str">
        <f>IF(B50="","",TEXT(AZ50,"00")&amp;"|"&amp;B50&amp;"|"&amp;TEXT(AV50,"yyyymmdd"))</f>
        <v/>
      </c>
      <c r="BC50" s="28">
        <f>IF(OR(AQ50="YES",AQ50="Yes",AQ50="Y",AQ50=1),1,0)</f>
        <v>0</v>
      </c>
    </row>
    <row r="51" spans="1:55" ht="15" customHeight="1">
      <c r="A51" s="27"/>
      <c r="B51" s="28"/>
      <c r="C51" s="29"/>
      <c r="D51" s="30"/>
      <c r="E51" s="30"/>
      <c r="F51" s="28"/>
      <c r="G51" s="28"/>
      <c r="H51" s="28"/>
      <c r="I51" s="13"/>
      <c r="J51" s="28"/>
      <c r="K51" s="13"/>
      <c r="L51" s="28"/>
      <c r="M51" s="13"/>
      <c r="N51" s="28"/>
      <c r="O51" s="13"/>
      <c r="P51" s="28"/>
      <c r="Q51" s="20"/>
      <c r="R51" s="28"/>
      <c r="S51" s="20"/>
      <c r="T51" s="28"/>
      <c r="U51" s="13"/>
      <c r="V51" s="28"/>
      <c r="W51" s="13"/>
      <c r="X51" s="28"/>
      <c r="Y51" s="13"/>
      <c r="Z51" s="28"/>
      <c r="AA51" s="13"/>
      <c r="AB51" s="28"/>
      <c r="AC51" s="13"/>
      <c r="AD51" s="28"/>
      <c r="AE51" s="13"/>
      <c r="AF51" s="28"/>
      <c r="AG51" s="13"/>
      <c r="AH51" s="28"/>
      <c r="AI51" s="13"/>
      <c r="AJ51" s="28"/>
      <c r="AK51" s="13"/>
      <c r="AL51" s="28"/>
      <c r="AM51" s="13"/>
      <c r="AN51" s="28"/>
      <c r="AO51" s="13"/>
      <c r="AP51" s="28"/>
      <c r="AQ51" s="13"/>
      <c r="AR51" s="28"/>
      <c r="AS51" s="19">
        <f>SUM(H51,J51,L51,N51,P51,R51,T51,V51,X51,Z51,AB51,AD51,AF51,AH51,AJ51,AL51,AN51)</f>
        <v>0</v>
      </c>
      <c r="AT51" s="29" t="str">
        <f>IF(C51="","",DATE(YEAR(C51),MONTH(C51),1))</f>
        <v/>
      </c>
      <c r="AU51" s="28" t="str">
        <f>IF(AT51="","",TEXT(AT51,"mmmm yyyy"))</f>
        <v/>
      </c>
      <c r="AV51" s="29" t="str">
        <f>IF(C51="","",C51-WEEKDAY(C51,2)+1)</f>
        <v/>
      </c>
      <c r="AW51" s="29" t="str">
        <f>IF(AV51="","",AV51+6)</f>
        <v/>
      </c>
      <c r="AX51" s="28" t="str">
        <f>IF(AV51="","",TEXT(AV51,"dd/mm/yyyy")&amp;" - "&amp;TEXT(AW51,"dd/mm/yyyy"))</f>
        <v/>
      </c>
      <c r="AY51" s="28" t="str">
        <f>IF(B51="","",COUNTIFS($B$5:B51,B51,$AT$5:AT51,AT51))</f>
        <v/>
      </c>
      <c r="AZ51" s="28" t="str">
        <f>IF(B51="","",COUNTIFS($B$5:B51,B51,$AV$5:AV51,AV51))</f>
        <v/>
      </c>
      <c r="BA51" s="28" t="str">
        <f>IF(B51="","",TEXT(AY51,"00")&amp;"|"&amp;B51&amp;"|"&amp;TEXT(AT51,"yyyymmdd"))</f>
        <v/>
      </c>
      <c r="BB51" s="28" t="str">
        <f>IF(B51="","",TEXT(AZ51,"00")&amp;"|"&amp;B51&amp;"|"&amp;TEXT(AV51,"yyyymmdd"))</f>
        <v/>
      </c>
      <c r="BC51" s="28">
        <f>IF(OR(AQ51="YES",AQ51="Yes",AQ51="Y",AQ51=1),1,0)</f>
        <v>0</v>
      </c>
    </row>
    <row r="52" spans="1:55" ht="15" customHeight="1">
      <c r="A52" s="27"/>
      <c r="B52" s="28"/>
      <c r="C52" s="29"/>
      <c r="D52" s="30"/>
      <c r="E52" s="30"/>
      <c r="F52" s="28"/>
      <c r="G52" s="28"/>
      <c r="H52" s="28"/>
      <c r="I52" s="13"/>
      <c r="J52" s="28"/>
      <c r="K52" s="13"/>
      <c r="L52" s="28"/>
      <c r="M52" s="13"/>
      <c r="N52" s="28"/>
      <c r="O52" s="13"/>
      <c r="P52" s="28"/>
      <c r="Q52" s="20"/>
      <c r="R52" s="28"/>
      <c r="S52" s="20"/>
      <c r="T52" s="28"/>
      <c r="U52" s="13"/>
      <c r="V52" s="28"/>
      <c r="W52" s="13"/>
      <c r="X52" s="28"/>
      <c r="Y52" s="13"/>
      <c r="Z52" s="28"/>
      <c r="AA52" s="13"/>
      <c r="AB52" s="28"/>
      <c r="AC52" s="13"/>
      <c r="AD52" s="28"/>
      <c r="AE52" s="13"/>
      <c r="AF52" s="28"/>
      <c r="AG52" s="13"/>
      <c r="AH52" s="28"/>
      <c r="AI52" s="13"/>
      <c r="AJ52" s="28"/>
      <c r="AK52" s="13"/>
      <c r="AL52" s="28"/>
      <c r="AM52" s="13"/>
      <c r="AN52" s="28"/>
      <c r="AO52" s="13"/>
      <c r="AP52" s="28"/>
      <c r="AQ52" s="13"/>
      <c r="AR52" s="28"/>
      <c r="AS52" s="19">
        <f>SUM(H52,J52,L52,N52,P52,R52,T52,V52,X52,Z52,AB52,AD52,AF52,AH52,AJ52,AL52,AN52)</f>
        <v>0</v>
      </c>
      <c r="AT52" s="29" t="str">
        <f>IF(C52="","",DATE(YEAR(C52),MONTH(C52),1))</f>
        <v/>
      </c>
      <c r="AU52" s="28" t="str">
        <f>IF(AT52="","",TEXT(AT52,"mmmm yyyy"))</f>
        <v/>
      </c>
      <c r="AV52" s="29" t="str">
        <f>IF(C52="","",C52-WEEKDAY(C52,2)+1)</f>
        <v/>
      </c>
      <c r="AW52" s="29" t="str">
        <f>IF(AV52="","",AV52+6)</f>
        <v/>
      </c>
      <c r="AX52" s="28" t="str">
        <f>IF(AV52="","",TEXT(AV52,"dd/mm/yyyy")&amp;" - "&amp;TEXT(AW52,"dd/mm/yyyy"))</f>
        <v/>
      </c>
      <c r="AY52" s="28" t="str">
        <f>IF(B52="","",COUNTIFS($B$5:B52,B52,$AT$5:AT52,AT52))</f>
        <v/>
      </c>
      <c r="AZ52" s="28" t="str">
        <f>IF(B52="","",COUNTIFS($B$5:B52,B52,$AV$5:AV52,AV52))</f>
        <v/>
      </c>
      <c r="BA52" s="28" t="str">
        <f>IF(B52="","",TEXT(AY52,"00")&amp;"|"&amp;B52&amp;"|"&amp;TEXT(AT52,"yyyymmdd"))</f>
        <v/>
      </c>
      <c r="BB52" s="28" t="str">
        <f>IF(B52="","",TEXT(AZ52,"00")&amp;"|"&amp;B52&amp;"|"&amp;TEXT(AV52,"yyyymmdd"))</f>
        <v/>
      </c>
      <c r="BC52" s="28">
        <f>IF(OR(AQ52="YES",AQ52="Yes",AQ52="Y",AQ52=1),1,0)</f>
        <v>0</v>
      </c>
    </row>
    <row r="53" spans="1:55" ht="15" customHeight="1">
      <c r="A53" s="27"/>
      <c r="B53" s="28"/>
      <c r="C53" s="29"/>
      <c r="D53" s="30"/>
      <c r="E53" s="30"/>
      <c r="F53" s="28"/>
      <c r="G53" s="28"/>
      <c r="H53" s="28"/>
      <c r="I53" s="13"/>
      <c r="J53" s="28"/>
      <c r="K53" s="13"/>
      <c r="L53" s="28"/>
      <c r="M53" s="13"/>
      <c r="N53" s="28"/>
      <c r="O53" s="13"/>
      <c r="P53" s="28"/>
      <c r="Q53" s="20"/>
      <c r="R53" s="28"/>
      <c r="S53" s="20"/>
      <c r="T53" s="28"/>
      <c r="U53" s="13"/>
      <c r="V53" s="28"/>
      <c r="W53" s="13"/>
      <c r="X53" s="28"/>
      <c r="Y53" s="13"/>
      <c r="Z53" s="28"/>
      <c r="AA53" s="13"/>
      <c r="AB53" s="28"/>
      <c r="AC53" s="13"/>
      <c r="AD53" s="28"/>
      <c r="AE53" s="13"/>
      <c r="AF53" s="28"/>
      <c r="AG53" s="13"/>
      <c r="AH53" s="28"/>
      <c r="AI53" s="13"/>
      <c r="AJ53" s="28"/>
      <c r="AK53" s="13"/>
      <c r="AL53" s="28"/>
      <c r="AM53" s="13"/>
      <c r="AN53" s="28"/>
      <c r="AO53" s="13"/>
      <c r="AP53" s="28"/>
      <c r="AQ53" s="13"/>
      <c r="AR53" s="28"/>
      <c r="AS53" s="19">
        <f>SUM(H53,J53,L53,N53,P53,R53,T53,V53,X53,Z53,AB53,AD53,AF53,AH53,AJ53,AL53,AN53)</f>
        <v>0</v>
      </c>
      <c r="AT53" s="29" t="str">
        <f>IF(C53="","",DATE(YEAR(C53),MONTH(C53),1))</f>
        <v/>
      </c>
      <c r="AU53" s="28" t="str">
        <f>IF(AT53="","",TEXT(AT53,"mmmm yyyy"))</f>
        <v/>
      </c>
      <c r="AV53" s="29" t="str">
        <f>IF(C53="","",C53-WEEKDAY(C53,2)+1)</f>
        <v/>
      </c>
      <c r="AW53" s="29" t="str">
        <f>IF(AV53="","",AV53+6)</f>
        <v/>
      </c>
      <c r="AX53" s="28" t="str">
        <f>IF(AV53="","",TEXT(AV53,"dd/mm/yyyy")&amp;" - "&amp;TEXT(AW53,"dd/mm/yyyy"))</f>
        <v/>
      </c>
      <c r="AY53" s="28" t="str">
        <f>IF(B53="","",COUNTIFS($B$5:B53,B53,$AT$5:AT53,AT53))</f>
        <v/>
      </c>
      <c r="AZ53" s="28" t="str">
        <f>IF(B53="","",COUNTIFS($B$5:B53,B53,$AV$5:AV53,AV53))</f>
        <v/>
      </c>
      <c r="BA53" s="28" t="str">
        <f>IF(B53="","",TEXT(AY53,"00")&amp;"|"&amp;B53&amp;"|"&amp;TEXT(AT53,"yyyymmdd"))</f>
        <v/>
      </c>
      <c r="BB53" s="28" t="str">
        <f>IF(B53="","",TEXT(AZ53,"00")&amp;"|"&amp;B53&amp;"|"&amp;TEXT(AV53,"yyyymmdd"))</f>
        <v/>
      </c>
      <c r="BC53" s="28">
        <f>IF(OR(AQ53="YES",AQ53="Yes",AQ53="Y",AQ53=1),1,0)</f>
        <v>0</v>
      </c>
    </row>
    <row r="54" spans="1:55" ht="15" customHeight="1">
      <c r="A54" s="27"/>
      <c r="B54" s="28"/>
      <c r="C54" s="29"/>
      <c r="D54" s="30"/>
      <c r="E54" s="30"/>
      <c r="F54" s="28"/>
      <c r="G54" s="28"/>
      <c r="H54" s="28"/>
      <c r="I54" s="13"/>
      <c r="J54" s="28"/>
      <c r="K54" s="13"/>
      <c r="L54" s="28"/>
      <c r="M54" s="13"/>
      <c r="N54" s="28"/>
      <c r="O54" s="13"/>
      <c r="P54" s="28"/>
      <c r="Q54" s="20"/>
      <c r="R54" s="28"/>
      <c r="S54" s="20"/>
      <c r="T54" s="28"/>
      <c r="U54" s="13"/>
      <c r="V54" s="28"/>
      <c r="W54" s="13"/>
      <c r="X54" s="28"/>
      <c r="Y54" s="13"/>
      <c r="Z54" s="28"/>
      <c r="AA54" s="13"/>
      <c r="AB54" s="28"/>
      <c r="AC54" s="13"/>
      <c r="AD54" s="28"/>
      <c r="AE54" s="13"/>
      <c r="AF54" s="28"/>
      <c r="AG54" s="13"/>
      <c r="AH54" s="28"/>
      <c r="AI54" s="13"/>
      <c r="AJ54" s="28"/>
      <c r="AK54" s="13"/>
      <c r="AL54" s="28"/>
      <c r="AM54" s="13"/>
      <c r="AN54" s="28"/>
      <c r="AO54" s="13"/>
      <c r="AP54" s="28"/>
      <c r="AQ54" s="13"/>
      <c r="AR54" s="28"/>
      <c r="AS54" s="19">
        <f>SUM(H54,J54,L54,N54,P54,R54,T54,V54,X54,Z54,AB54,AD54,AF54,AH54,AJ54,AL54,AN54)</f>
        <v>0</v>
      </c>
      <c r="AT54" s="29" t="str">
        <f>IF(C54="","",DATE(YEAR(C54),MONTH(C54),1))</f>
        <v/>
      </c>
      <c r="AU54" s="28" t="str">
        <f>IF(AT54="","",TEXT(AT54,"mmmm yyyy"))</f>
        <v/>
      </c>
      <c r="AV54" s="29" t="str">
        <f>IF(C54="","",C54-WEEKDAY(C54,2)+1)</f>
        <v/>
      </c>
      <c r="AW54" s="29" t="str">
        <f>IF(AV54="","",AV54+6)</f>
        <v/>
      </c>
      <c r="AX54" s="28" t="str">
        <f>IF(AV54="","",TEXT(AV54,"dd/mm/yyyy")&amp;" - "&amp;TEXT(AW54,"dd/mm/yyyy"))</f>
        <v/>
      </c>
      <c r="AY54" s="28" t="str">
        <f>IF(B54="","",COUNTIFS($B$5:B54,B54,$AT$5:AT54,AT54))</f>
        <v/>
      </c>
      <c r="AZ54" s="28" t="str">
        <f>IF(B54="","",COUNTIFS($B$5:B54,B54,$AV$5:AV54,AV54))</f>
        <v/>
      </c>
      <c r="BA54" s="28" t="str">
        <f>IF(B54="","",TEXT(AY54,"00")&amp;"|"&amp;B54&amp;"|"&amp;TEXT(AT54,"yyyymmdd"))</f>
        <v/>
      </c>
      <c r="BB54" s="28" t="str">
        <f>IF(B54="","",TEXT(AZ54,"00")&amp;"|"&amp;B54&amp;"|"&amp;TEXT(AV54,"yyyymmdd"))</f>
        <v/>
      </c>
      <c r="BC54" s="28">
        <f>IF(OR(AQ54="YES",AQ54="Yes",AQ54="Y",AQ54=1),1,0)</f>
        <v>0</v>
      </c>
    </row>
    <row r="55" spans="1:55" ht="15" customHeight="1">
      <c r="A55" s="27"/>
      <c r="B55" s="28"/>
      <c r="C55" s="29"/>
      <c r="D55" s="30"/>
      <c r="E55" s="30"/>
      <c r="F55" s="28"/>
      <c r="G55" s="28"/>
      <c r="H55" s="28"/>
      <c r="I55" s="13"/>
      <c r="J55" s="28"/>
      <c r="K55" s="13"/>
      <c r="L55" s="28"/>
      <c r="M55" s="13"/>
      <c r="N55" s="28"/>
      <c r="O55" s="13"/>
      <c r="P55" s="28"/>
      <c r="Q55" s="20"/>
      <c r="R55" s="28"/>
      <c r="S55" s="20"/>
      <c r="T55" s="28"/>
      <c r="U55" s="13"/>
      <c r="V55" s="28"/>
      <c r="W55" s="13"/>
      <c r="X55" s="28"/>
      <c r="Y55" s="13"/>
      <c r="Z55" s="28"/>
      <c r="AA55" s="13"/>
      <c r="AB55" s="28"/>
      <c r="AC55" s="13"/>
      <c r="AD55" s="28"/>
      <c r="AE55" s="13"/>
      <c r="AF55" s="28"/>
      <c r="AG55" s="13"/>
      <c r="AH55" s="28"/>
      <c r="AI55" s="13"/>
      <c r="AJ55" s="28"/>
      <c r="AK55" s="13"/>
      <c r="AL55" s="28"/>
      <c r="AM55" s="13"/>
      <c r="AN55" s="28"/>
      <c r="AO55" s="13"/>
      <c r="AP55" s="28"/>
      <c r="AQ55" s="13"/>
      <c r="AR55" s="28"/>
      <c r="AS55" s="19">
        <f>SUM(H55,J55,L55,N55,P55,R55,T55,V55,X55,Z55,AB55,AD55,AF55,AH55,AJ55,AL55,AN55)</f>
        <v>0</v>
      </c>
      <c r="AT55" s="29" t="str">
        <f>IF(C55="","",DATE(YEAR(C55),MONTH(C55),1))</f>
        <v/>
      </c>
      <c r="AU55" s="28" t="str">
        <f>IF(AT55="","",TEXT(AT55,"mmmm yyyy"))</f>
        <v/>
      </c>
      <c r="AV55" s="29" t="str">
        <f>IF(C55="","",C55-WEEKDAY(C55,2)+1)</f>
        <v/>
      </c>
      <c r="AW55" s="29" t="str">
        <f>IF(AV55="","",AV55+6)</f>
        <v/>
      </c>
      <c r="AX55" s="28" t="str">
        <f>IF(AV55="","",TEXT(AV55,"dd/mm/yyyy")&amp;" - "&amp;TEXT(AW55,"dd/mm/yyyy"))</f>
        <v/>
      </c>
      <c r="AY55" s="28" t="str">
        <f>IF(B55="","",COUNTIFS($B$5:B55,B55,$AT$5:AT55,AT55))</f>
        <v/>
      </c>
      <c r="AZ55" s="28" t="str">
        <f>IF(B55="","",COUNTIFS($B$5:B55,B55,$AV$5:AV55,AV55))</f>
        <v/>
      </c>
      <c r="BA55" s="28" t="str">
        <f>IF(B55="","",TEXT(AY55,"00")&amp;"|"&amp;B55&amp;"|"&amp;TEXT(AT55,"yyyymmdd"))</f>
        <v/>
      </c>
      <c r="BB55" s="28" t="str">
        <f>IF(B55="","",TEXT(AZ55,"00")&amp;"|"&amp;B55&amp;"|"&amp;TEXT(AV55,"yyyymmdd"))</f>
        <v/>
      </c>
      <c r="BC55" s="28">
        <f>IF(OR(AQ55="YES",AQ55="Yes",AQ55="Y",AQ55=1),1,0)</f>
        <v>0</v>
      </c>
    </row>
    <row r="56" spans="1:55" ht="15" customHeight="1">
      <c r="A56" s="27"/>
      <c r="B56" s="28"/>
      <c r="C56" s="29"/>
      <c r="D56" s="30"/>
      <c r="E56" s="30"/>
      <c r="F56" s="28"/>
      <c r="G56" s="28"/>
      <c r="H56" s="28"/>
      <c r="I56" s="13"/>
      <c r="J56" s="28"/>
      <c r="K56" s="13"/>
      <c r="L56" s="28"/>
      <c r="M56" s="13"/>
      <c r="N56" s="28"/>
      <c r="O56" s="13"/>
      <c r="P56" s="28"/>
      <c r="Q56" s="20"/>
      <c r="R56" s="28"/>
      <c r="S56" s="20"/>
      <c r="T56" s="28"/>
      <c r="U56" s="13"/>
      <c r="V56" s="28"/>
      <c r="W56" s="13"/>
      <c r="X56" s="28"/>
      <c r="Y56" s="13"/>
      <c r="Z56" s="28"/>
      <c r="AA56" s="13"/>
      <c r="AB56" s="28"/>
      <c r="AC56" s="13"/>
      <c r="AD56" s="28"/>
      <c r="AE56" s="13"/>
      <c r="AF56" s="28"/>
      <c r="AG56" s="13"/>
      <c r="AH56" s="28"/>
      <c r="AI56" s="13"/>
      <c r="AJ56" s="28"/>
      <c r="AK56" s="13"/>
      <c r="AL56" s="28"/>
      <c r="AM56" s="13"/>
      <c r="AN56" s="28"/>
      <c r="AO56" s="13"/>
      <c r="AP56" s="28"/>
      <c r="AQ56" s="13"/>
      <c r="AR56" s="28"/>
      <c r="AS56" s="19">
        <f>SUM(H56,J56,L56,N56,P56,R56,T56,V56,X56,Z56,AB56,AD56,AF56,AH56,AJ56,AL56,AN56)</f>
        <v>0</v>
      </c>
      <c r="AT56" s="29" t="str">
        <f>IF(C56="","",DATE(YEAR(C56),MONTH(C56),1))</f>
        <v/>
      </c>
      <c r="AU56" s="28" t="str">
        <f>IF(AT56="","",TEXT(AT56,"mmmm yyyy"))</f>
        <v/>
      </c>
      <c r="AV56" s="29" t="str">
        <f>IF(C56="","",C56-WEEKDAY(C56,2)+1)</f>
        <v/>
      </c>
      <c r="AW56" s="29" t="str">
        <f>IF(AV56="","",AV56+6)</f>
        <v/>
      </c>
      <c r="AX56" s="28" t="str">
        <f>IF(AV56="","",TEXT(AV56,"dd/mm/yyyy")&amp;" - "&amp;TEXT(AW56,"dd/mm/yyyy"))</f>
        <v/>
      </c>
      <c r="AY56" s="28" t="str">
        <f>IF(B56="","",COUNTIFS($B$5:B56,B56,$AT$5:AT56,AT56))</f>
        <v/>
      </c>
      <c r="AZ56" s="28" t="str">
        <f>IF(B56="","",COUNTIFS($B$5:B56,B56,$AV$5:AV56,AV56))</f>
        <v/>
      </c>
      <c r="BA56" s="28" t="str">
        <f>IF(B56="","",TEXT(AY56,"00")&amp;"|"&amp;B56&amp;"|"&amp;TEXT(AT56,"yyyymmdd"))</f>
        <v/>
      </c>
      <c r="BB56" s="28" t="str">
        <f>IF(B56="","",TEXT(AZ56,"00")&amp;"|"&amp;B56&amp;"|"&amp;TEXT(AV56,"yyyymmdd"))</f>
        <v/>
      </c>
      <c r="BC56" s="28">
        <f>IF(OR(AQ56="YES",AQ56="Yes",AQ56="Y",AQ56=1),1,0)</f>
        <v>0</v>
      </c>
    </row>
    <row r="57" spans="1:55" ht="15" customHeight="1">
      <c r="A57" s="27"/>
      <c r="B57" s="28"/>
      <c r="C57" s="29"/>
      <c r="D57" s="30"/>
      <c r="E57" s="30"/>
      <c r="F57" s="28"/>
      <c r="G57" s="28"/>
      <c r="H57" s="28"/>
      <c r="I57" s="13"/>
      <c r="J57" s="28"/>
      <c r="K57" s="13"/>
      <c r="L57" s="28"/>
      <c r="M57" s="13"/>
      <c r="N57" s="28"/>
      <c r="O57" s="13"/>
      <c r="P57" s="28"/>
      <c r="Q57" s="20"/>
      <c r="R57" s="28"/>
      <c r="S57" s="20"/>
      <c r="T57" s="28"/>
      <c r="U57" s="13"/>
      <c r="V57" s="28"/>
      <c r="W57" s="13"/>
      <c r="X57" s="28"/>
      <c r="Y57" s="13"/>
      <c r="Z57" s="28"/>
      <c r="AA57" s="13"/>
      <c r="AB57" s="28"/>
      <c r="AC57" s="13"/>
      <c r="AD57" s="28"/>
      <c r="AE57" s="13"/>
      <c r="AF57" s="28"/>
      <c r="AG57" s="13"/>
      <c r="AH57" s="28"/>
      <c r="AI57" s="13"/>
      <c r="AJ57" s="28"/>
      <c r="AK57" s="13"/>
      <c r="AL57" s="28"/>
      <c r="AM57" s="13"/>
      <c r="AN57" s="28"/>
      <c r="AO57" s="13"/>
      <c r="AP57" s="28"/>
      <c r="AQ57" s="13"/>
      <c r="AR57" s="28"/>
      <c r="AS57" s="19">
        <f>SUM(H57,J57,L57,N57,P57,R57,T57,V57,X57,Z57,AB57,AD57,AF57,AH57,AJ57,AL57,AN57)</f>
        <v>0</v>
      </c>
      <c r="AT57" s="29" t="str">
        <f>IF(C57="","",DATE(YEAR(C57),MONTH(C57),1))</f>
        <v/>
      </c>
      <c r="AU57" s="28" t="str">
        <f>IF(AT57="","",TEXT(AT57,"mmmm yyyy"))</f>
        <v/>
      </c>
      <c r="AV57" s="29" t="str">
        <f>IF(C57="","",C57-WEEKDAY(C57,2)+1)</f>
        <v/>
      </c>
      <c r="AW57" s="29" t="str">
        <f>IF(AV57="","",AV57+6)</f>
        <v/>
      </c>
      <c r="AX57" s="28" t="str">
        <f>IF(AV57="","",TEXT(AV57,"dd/mm/yyyy")&amp;" - "&amp;TEXT(AW57,"dd/mm/yyyy"))</f>
        <v/>
      </c>
      <c r="AY57" s="28" t="str">
        <f>IF(B57="","",COUNTIFS($B$5:B57,B57,$AT$5:AT57,AT57))</f>
        <v/>
      </c>
      <c r="AZ57" s="28" t="str">
        <f>IF(B57="","",COUNTIFS($B$5:B57,B57,$AV$5:AV57,AV57))</f>
        <v/>
      </c>
      <c r="BA57" s="28" t="str">
        <f>IF(B57="","",TEXT(AY57,"00")&amp;"|"&amp;B57&amp;"|"&amp;TEXT(AT57,"yyyymmdd"))</f>
        <v/>
      </c>
      <c r="BB57" s="28" t="str">
        <f>IF(B57="","",TEXT(AZ57,"00")&amp;"|"&amp;B57&amp;"|"&amp;TEXT(AV57,"yyyymmdd"))</f>
        <v/>
      </c>
      <c r="BC57" s="28">
        <f>IF(OR(AQ57="YES",AQ57="Yes",AQ57="Y",AQ57=1),1,0)</f>
        <v>0</v>
      </c>
    </row>
    <row r="58" spans="1:55" ht="15" customHeight="1">
      <c r="A58" s="27"/>
      <c r="B58" s="28"/>
      <c r="C58" s="29"/>
      <c r="D58" s="30"/>
      <c r="E58" s="30"/>
      <c r="F58" s="28"/>
      <c r="G58" s="28"/>
      <c r="H58" s="28"/>
      <c r="I58" s="13"/>
      <c r="J58" s="28"/>
      <c r="K58" s="13"/>
      <c r="L58" s="28"/>
      <c r="M58" s="13"/>
      <c r="N58" s="28"/>
      <c r="O58" s="13"/>
      <c r="P58" s="28"/>
      <c r="Q58" s="20"/>
      <c r="R58" s="28"/>
      <c r="S58" s="20"/>
      <c r="T58" s="28"/>
      <c r="U58" s="13"/>
      <c r="V58" s="28"/>
      <c r="W58" s="13"/>
      <c r="X58" s="28"/>
      <c r="Y58" s="13"/>
      <c r="Z58" s="28"/>
      <c r="AA58" s="13"/>
      <c r="AB58" s="28"/>
      <c r="AC58" s="13"/>
      <c r="AD58" s="28"/>
      <c r="AE58" s="13"/>
      <c r="AF58" s="28"/>
      <c r="AG58" s="13"/>
      <c r="AH58" s="28"/>
      <c r="AI58" s="13"/>
      <c r="AJ58" s="28"/>
      <c r="AK58" s="13"/>
      <c r="AL58" s="28"/>
      <c r="AM58" s="13"/>
      <c r="AN58" s="28"/>
      <c r="AO58" s="13"/>
      <c r="AP58" s="28"/>
      <c r="AQ58" s="13"/>
      <c r="AR58" s="28"/>
      <c r="AS58" s="19">
        <f>SUM(H58,J58,L58,N58,P58,R58,T58,V58,X58,Z58,AB58,AD58,AF58,AH58,AJ58,AL58,AN58)</f>
        <v>0</v>
      </c>
      <c r="AT58" s="29" t="str">
        <f>IF(C58="","",DATE(YEAR(C58),MONTH(C58),1))</f>
        <v/>
      </c>
      <c r="AU58" s="28" t="str">
        <f>IF(AT58="","",TEXT(AT58,"mmmm yyyy"))</f>
        <v/>
      </c>
      <c r="AV58" s="29" t="str">
        <f>IF(C58="","",C58-WEEKDAY(C58,2)+1)</f>
        <v/>
      </c>
      <c r="AW58" s="29" t="str">
        <f>IF(AV58="","",AV58+6)</f>
        <v/>
      </c>
      <c r="AX58" s="28" t="str">
        <f>IF(AV58="","",TEXT(AV58,"dd/mm/yyyy")&amp;" - "&amp;TEXT(AW58,"dd/mm/yyyy"))</f>
        <v/>
      </c>
      <c r="AY58" s="28" t="str">
        <f>IF(B58="","",COUNTIFS($B$5:B58,B58,$AT$5:AT58,AT58))</f>
        <v/>
      </c>
      <c r="AZ58" s="28" t="str">
        <f>IF(B58="","",COUNTIFS($B$5:B58,B58,$AV$5:AV58,AV58))</f>
        <v/>
      </c>
      <c r="BA58" s="28" t="str">
        <f>IF(B58="","",TEXT(AY58,"00")&amp;"|"&amp;B58&amp;"|"&amp;TEXT(AT58,"yyyymmdd"))</f>
        <v/>
      </c>
      <c r="BB58" s="28" t="str">
        <f>IF(B58="","",TEXT(AZ58,"00")&amp;"|"&amp;B58&amp;"|"&amp;TEXT(AV58,"yyyymmdd"))</f>
        <v/>
      </c>
      <c r="BC58" s="28">
        <f>IF(OR(AQ58="YES",AQ58="Yes",AQ58="Y",AQ58=1),1,0)</f>
        <v>0</v>
      </c>
    </row>
    <row r="59" spans="1:55" ht="15" customHeight="1">
      <c r="A59" s="27"/>
      <c r="B59" s="28"/>
      <c r="C59" s="29"/>
      <c r="D59" s="30"/>
      <c r="E59" s="30"/>
      <c r="F59" s="28"/>
      <c r="G59" s="28"/>
      <c r="H59" s="28"/>
      <c r="I59" s="13"/>
      <c r="J59" s="28"/>
      <c r="K59" s="13"/>
      <c r="L59" s="28"/>
      <c r="M59" s="13"/>
      <c r="N59" s="28"/>
      <c r="O59" s="13"/>
      <c r="P59" s="28"/>
      <c r="Q59" s="20"/>
      <c r="R59" s="28"/>
      <c r="S59" s="20"/>
      <c r="T59" s="28"/>
      <c r="U59" s="13"/>
      <c r="V59" s="28"/>
      <c r="W59" s="13"/>
      <c r="X59" s="28"/>
      <c r="Y59" s="13"/>
      <c r="Z59" s="28"/>
      <c r="AA59" s="13"/>
      <c r="AB59" s="28"/>
      <c r="AC59" s="13"/>
      <c r="AD59" s="28"/>
      <c r="AE59" s="13"/>
      <c r="AF59" s="28"/>
      <c r="AG59" s="13"/>
      <c r="AH59" s="28"/>
      <c r="AI59" s="13"/>
      <c r="AJ59" s="28"/>
      <c r="AK59" s="13"/>
      <c r="AL59" s="28"/>
      <c r="AM59" s="13"/>
      <c r="AN59" s="28"/>
      <c r="AO59" s="13"/>
      <c r="AP59" s="28"/>
      <c r="AQ59" s="13"/>
      <c r="AR59" s="28"/>
      <c r="AS59" s="19">
        <f>SUM(H59,J59,L59,N59,P59,R59,T59,V59,X59,Z59,AB59,AD59,AF59,AH59,AJ59,AL59,AN59)</f>
        <v>0</v>
      </c>
      <c r="AT59" s="29" t="str">
        <f>IF(C59="","",DATE(YEAR(C59),MONTH(C59),1))</f>
        <v/>
      </c>
      <c r="AU59" s="28" t="str">
        <f>IF(AT59="","",TEXT(AT59,"mmmm yyyy"))</f>
        <v/>
      </c>
      <c r="AV59" s="29" t="str">
        <f>IF(C59="","",C59-WEEKDAY(C59,2)+1)</f>
        <v/>
      </c>
      <c r="AW59" s="29" t="str">
        <f>IF(AV59="","",AV59+6)</f>
        <v/>
      </c>
      <c r="AX59" s="28" t="str">
        <f>IF(AV59="","",TEXT(AV59,"dd/mm/yyyy")&amp;" - "&amp;TEXT(AW59,"dd/mm/yyyy"))</f>
        <v/>
      </c>
      <c r="AY59" s="28" t="str">
        <f>IF(B59="","",COUNTIFS($B$5:B59,B59,$AT$5:AT59,AT59))</f>
        <v/>
      </c>
      <c r="AZ59" s="28" t="str">
        <f>IF(B59="","",COUNTIFS($B$5:B59,B59,$AV$5:AV59,AV59))</f>
        <v/>
      </c>
      <c r="BA59" s="28" t="str">
        <f>IF(B59="","",TEXT(AY59,"00")&amp;"|"&amp;B59&amp;"|"&amp;TEXT(AT59,"yyyymmdd"))</f>
        <v/>
      </c>
      <c r="BB59" s="28" t="str">
        <f>IF(B59="","",TEXT(AZ59,"00")&amp;"|"&amp;B59&amp;"|"&amp;TEXT(AV59,"yyyymmdd"))</f>
        <v/>
      </c>
      <c r="BC59" s="28">
        <f>IF(OR(AQ59="YES",AQ59="Yes",AQ59="Y",AQ59=1),1,0)</f>
        <v>0</v>
      </c>
    </row>
    <row r="60" spans="1:55" ht="15" customHeight="1">
      <c r="A60" s="27"/>
      <c r="B60" s="28"/>
      <c r="C60" s="29"/>
      <c r="D60" s="30"/>
      <c r="E60" s="30"/>
      <c r="F60" s="28"/>
      <c r="G60" s="28"/>
      <c r="H60" s="28"/>
      <c r="I60" s="13"/>
      <c r="J60" s="28"/>
      <c r="K60" s="13"/>
      <c r="L60" s="28"/>
      <c r="M60" s="13"/>
      <c r="N60" s="28"/>
      <c r="O60" s="13"/>
      <c r="P60" s="28"/>
      <c r="Q60" s="20"/>
      <c r="R60" s="28"/>
      <c r="S60" s="20"/>
      <c r="T60" s="28"/>
      <c r="U60" s="13"/>
      <c r="V60" s="28"/>
      <c r="W60" s="13"/>
      <c r="X60" s="28"/>
      <c r="Y60" s="13"/>
      <c r="Z60" s="28"/>
      <c r="AA60" s="13"/>
      <c r="AB60" s="28"/>
      <c r="AC60" s="13"/>
      <c r="AD60" s="28"/>
      <c r="AE60" s="13"/>
      <c r="AF60" s="28"/>
      <c r="AG60" s="13"/>
      <c r="AH60" s="28"/>
      <c r="AI60" s="13"/>
      <c r="AJ60" s="28"/>
      <c r="AK60" s="13"/>
      <c r="AL60" s="28"/>
      <c r="AM60" s="13"/>
      <c r="AN60" s="28"/>
      <c r="AO60" s="13"/>
      <c r="AP60" s="28"/>
      <c r="AQ60" s="13"/>
      <c r="AR60" s="28"/>
      <c r="AS60" s="19">
        <f>SUM(H60,J60,L60,N60,P60,R60,T60,V60,X60,Z60,AB60,AD60,AF60,AH60,AJ60,AL60,AN60)</f>
        <v>0</v>
      </c>
      <c r="AT60" s="29" t="str">
        <f>IF(C60="","",DATE(YEAR(C60),MONTH(C60),1))</f>
        <v/>
      </c>
      <c r="AU60" s="28" t="str">
        <f>IF(AT60="","",TEXT(AT60,"mmmm yyyy"))</f>
        <v/>
      </c>
      <c r="AV60" s="29" t="str">
        <f>IF(C60="","",C60-WEEKDAY(C60,2)+1)</f>
        <v/>
      </c>
      <c r="AW60" s="29" t="str">
        <f>IF(AV60="","",AV60+6)</f>
        <v/>
      </c>
      <c r="AX60" s="28" t="str">
        <f>IF(AV60="","",TEXT(AV60,"dd/mm/yyyy")&amp;" - "&amp;TEXT(AW60,"dd/mm/yyyy"))</f>
        <v/>
      </c>
      <c r="AY60" s="28" t="str">
        <f>IF(B60="","",COUNTIFS($B$5:B60,B60,$AT$5:AT60,AT60))</f>
        <v/>
      </c>
      <c r="AZ60" s="28" t="str">
        <f>IF(B60="","",COUNTIFS($B$5:B60,B60,$AV$5:AV60,AV60))</f>
        <v/>
      </c>
      <c r="BA60" s="28" t="str">
        <f>IF(B60="","",TEXT(AY60,"00")&amp;"|"&amp;B60&amp;"|"&amp;TEXT(AT60,"yyyymmdd"))</f>
        <v/>
      </c>
      <c r="BB60" s="28" t="str">
        <f>IF(B60="","",TEXT(AZ60,"00")&amp;"|"&amp;B60&amp;"|"&amp;TEXT(AV60,"yyyymmdd"))</f>
        <v/>
      </c>
      <c r="BC60" s="28">
        <f>IF(OR(AQ60="YES",AQ60="Yes",AQ60="Y",AQ60=1),1,0)</f>
        <v>0</v>
      </c>
    </row>
    <row r="61" spans="1:55" ht="15" customHeight="1">
      <c r="A61" s="27"/>
      <c r="B61" s="28"/>
      <c r="C61" s="29"/>
      <c r="D61" s="30"/>
      <c r="E61" s="30"/>
      <c r="F61" s="28"/>
      <c r="G61" s="28"/>
      <c r="H61" s="28"/>
      <c r="I61" s="13"/>
      <c r="J61" s="28"/>
      <c r="K61" s="13"/>
      <c r="L61" s="28"/>
      <c r="M61" s="13"/>
      <c r="N61" s="28"/>
      <c r="O61" s="13"/>
      <c r="P61" s="28"/>
      <c r="Q61" s="20"/>
      <c r="R61" s="28"/>
      <c r="S61" s="20"/>
      <c r="T61" s="28"/>
      <c r="U61" s="13"/>
      <c r="V61" s="28"/>
      <c r="W61" s="13"/>
      <c r="X61" s="28"/>
      <c r="Y61" s="13"/>
      <c r="Z61" s="28"/>
      <c r="AA61" s="13"/>
      <c r="AB61" s="28"/>
      <c r="AC61" s="13"/>
      <c r="AD61" s="28"/>
      <c r="AE61" s="13"/>
      <c r="AF61" s="28"/>
      <c r="AG61" s="13"/>
      <c r="AH61" s="28"/>
      <c r="AI61" s="13"/>
      <c r="AJ61" s="28"/>
      <c r="AK61" s="13"/>
      <c r="AL61" s="28"/>
      <c r="AM61" s="13"/>
      <c r="AN61" s="28"/>
      <c r="AO61" s="13"/>
      <c r="AP61" s="28"/>
      <c r="AQ61" s="13"/>
      <c r="AR61" s="28"/>
      <c r="AS61" s="19">
        <f>SUM(H61,J61,L61,N61,P61,R61,T61,V61,X61,Z61,AB61,AD61,AF61,AH61,AJ61,AL61,AN61)</f>
        <v>0</v>
      </c>
      <c r="AT61" s="29" t="str">
        <f>IF(C61="","",DATE(YEAR(C61),MONTH(C61),1))</f>
        <v/>
      </c>
      <c r="AU61" s="28" t="str">
        <f>IF(AT61="","",TEXT(AT61,"mmmm yyyy"))</f>
        <v/>
      </c>
      <c r="AV61" s="29" t="str">
        <f>IF(C61="","",C61-WEEKDAY(C61,2)+1)</f>
        <v/>
      </c>
      <c r="AW61" s="29" t="str">
        <f>IF(AV61="","",AV61+6)</f>
        <v/>
      </c>
      <c r="AX61" s="28" t="str">
        <f>IF(AV61="","",TEXT(AV61,"dd/mm/yyyy")&amp;" - "&amp;TEXT(AW61,"dd/mm/yyyy"))</f>
        <v/>
      </c>
      <c r="AY61" s="28" t="str">
        <f>IF(B61="","",COUNTIFS($B$5:B61,B61,$AT$5:AT61,AT61))</f>
        <v/>
      </c>
      <c r="AZ61" s="28" t="str">
        <f>IF(B61="","",COUNTIFS($B$5:B61,B61,$AV$5:AV61,AV61))</f>
        <v/>
      </c>
      <c r="BA61" s="28" t="str">
        <f>IF(B61="","",TEXT(AY61,"00")&amp;"|"&amp;B61&amp;"|"&amp;TEXT(AT61,"yyyymmdd"))</f>
        <v/>
      </c>
      <c r="BB61" s="28" t="str">
        <f>IF(B61="","",TEXT(AZ61,"00")&amp;"|"&amp;B61&amp;"|"&amp;TEXT(AV61,"yyyymmdd"))</f>
        <v/>
      </c>
      <c r="BC61" s="28">
        <f>IF(OR(AQ61="YES",AQ61="Yes",AQ61="Y",AQ61=1),1,0)</f>
        <v>0</v>
      </c>
    </row>
    <row r="62" spans="1:55" ht="15" customHeight="1">
      <c r="A62" s="27"/>
      <c r="B62" s="28"/>
      <c r="C62" s="29"/>
      <c r="D62" s="30"/>
      <c r="E62" s="30"/>
      <c r="F62" s="28"/>
      <c r="G62" s="28"/>
      <c r="H62" s="28"/>
      <c r="I62" s="13"/>
      <c r="J62" s="28"/>
      <c r="K62" s="13"/>
      <c r="L62" s="28"/>
      <c r="M62" s="13"/>
      <c r="N62" s="28"/>
      <c r="O62" s="13"/>
      <c r="P62" s="28"/>
      <c r="Q62" s="20"/>
      <c r="R62" s="28"/>
      <c r="S62" s="20"/>
      <c r="T62" s="28"/>
      <c r="U62" s="13"/>
      <c r="V62" s="28"/>
      <c r="W62" s="13"/>
      <c r="X62" s="28"/>
      <c r="Y62" s="13"/>
      <c r="Z62" s="28"/>
      <c r="AA62" s="13"/>
      <c r="AB62" s="28"/>
      <c r="AC62" s="13"/>
      <c r="AD62" s="28"/>
      <c r="AE62" s="13"/>
      <c r="AF62" s="28"/>
      <c r="AG62" s="13"/>
      <c r="AH62" s="28"/>
      <c r="AI62" s="13"/>
      <c r="AJ62" s="28"/>
      <c r="AK62" s="13"/>
      <c r="AL62" s="28"/>
      <c r="AM62" s="13"/>
      <c r="AN62" s="28"/>
      <c r="AO62" s="13"/>
      <c r="AP62" s="28"/>
      <c r="AQ62" s="13"/>
      <c r="AR62" s="28"/>
      <c r="AS62" s="19">
        <f>SUM(H62,J62,L62,N62,P62,R62,T62,V62,X62,Z62,AB62,AD62,AF62,AH62,AJ62,AL62,AN62)</f>
        <v>0</v>
      </c>
      <c r="AT62" s="29" t="str">
        <f>IF(C62="","",DATE(YEAR(C62),MONTH(C62),1))</f>
        <v/>
      </c>
      <c r="AU62" s="28" t="str">
        <f>IF(AT62="","",TEXT(AT62,"mmmm yyyy"))</f>
        <v/>
      </c>
      <c r="AV62" s="29" t="str">
        <f>IF(C62="","",C62-WEEKDAY(C62,2)+1)</f>
        <v/>
      </c>
      <c r="AW62" s="29" t="str">
        <f>IF(AV62="","",AV62+6)</f>
        <v/>
      </c>
      <c r="AX62" s="28" t="str">
        <f>IF(AV62="","",TEXT(AV62,"dd/mm/yyyy")&amp;" - "&amp;TEXT(AW62,"dd/mm/yyyy"))</f>
        <v/>
      </c>
      <c r="AY62" s="28" t="str">
        <f>IF(B62="","",COUNTIFS($B$5:B62,B62,$AT$5:AT62,AT62))</f>
        <v/>
      </c>
      <c r="AZ62" s="28" t="str">
        <f>IF(B62="","",COUNTIFS($B$5:B62,B62,$AV$5:AV62,AV62))</f>
        <v/>
      </c>
      <c r="BA62" s="28" t="str">
        <f>IF(B62="","",TEXT(AY62,"00")&amp;"|"&amp;B62&amp;"|"&amp;TEXT(AT62,"yyyymmdd"))</f>
        <v/>
      </c>
      <c r="BB62" s="28" t="str">
        <f>IF(B62="","",TEXT(AZ62,"00")&amp;"|"&amp;B62&amp;"|"&amp;TEXT(AV62,"yyyymmdd"))</f>
        <v/>
      </c>
      <c r="BC62" s="28">
        <f>IF(OR(AQ62="YES",AQ62="Yes",AQ62="Y",AQ62=1),1,0)</f>
        <v>0</v>
      </c>
    </row>
    <row r="63" spans="1:55" ht="15" customHeight="1">
      <c r="A63" s="27"/>
      <c r="B63" s="28"/>
      <c r="C63" s="29"/>
      <c r="D63" s="30"/>
      <c r="E63" s="30"/>
      <c r="F63" s="28"/>
      <c r="G63" s="28"/>
      <c r="H63" s="28"/>
      <c r="I63" s="13"/>
      <c r="J63" s="28"/>
      <c r="K63" s="13"/>
      <c r="L63" s="28"/>
      <c r="M63" s="13"/>
      <c r="N63" s="28"/>
      <c r="O63" s="13"/>
      <c r="P63" s="28"/>
      <c r="Q63" s="20"/>
      <c r="R63" s="28"/>
      <c r="S63" s="20"/>
      <c r="T63" s="28"/>
      <c r="U63" s="13"/>
      <c r="V63" s="28"/>
      <c r="W63" s="13"/>
      <c r="X63" s="28"/>
      <c r="Y63" s="13"/>
      <c r="Z63" s="28"/>
      <c r="AA63" s="13"/>
      <c r="AB63" s="28"/>
      <c r="AC63" s="13"/>
      <c r="AD63" s="28"/>
      <c r="AE63" s="13"/>
      <c r="AF63" s="28"/>
      <c r="AG63" s="13"/>
      <c r="AH63" s="28"/>
      <c r="AI63" s="13"/>
      <c r="AJ63" s="28"/>
      <c r="AK63" s="13"/>
      <c r="AL63" s="28"/>
      <c r="AM63" s="13"/>
      <c r="AN63" s="28"/>
      <c r="AO63" s="13"/>
      <c r="AP63" s="28"/>
      <c r="AQ63" s="13"/>
      <c r="AR63" s="28"/>
      <c r="AS63" s="19">
        <f>SUM(H63,J63,L63,N63,P63,R63,T63,V63,X63,Z63,AB63,AD63,AF63,AH63,AJ63,AL63,AN63)</f>
        <v>0</v>
      </c>
      <c r="AT63" s="29" t="str">
        <f>IF(C63="","",DATE(YEAR(C63),MONTH(C63),1))</f>
        <v/>
      </c>
      <c r="AU63" s="28" t="str">
        <f>IF(AT63="","",TEXT(AT63,"mmmm yyyy"))</f>
        <v/>
      </c>
      <c r="AV63" s="29" t="str">
        <f>IF(C63="","",C63-WEEKDAY(C63,2)+1)</f>
        <v/>
      </c>
      <c r="AW63" s="29" t="str">
        <f>IF(AV63="","",AV63+6)</f>
        <v/>
      </c>
      <c r="AX63" s="28" t="str">
        <f>IF(AV63="","",TEXT(AV63,"dd/mm/yyyy")&amp;" - "&amp;TEXT(AW63,"dd/mm/yyyy"))</f>
        <v/>
      </c>
      <c r="AY63" s="28" t="str">
        <f>IF(B63="","",COUNTIFS($B$5:B63,B63,$AT$5:AT63,AT63))</f>
        <v/>
      </c>
      <c r="AZ63" s="28" t="str">
        <f>IF(B63="","",COUNTIFS($B$5:B63,B63,$AV$5:AV63,AV63))</f>
        <v/>
      </c>
      <c r="BA63" s="28" t="str">
        <f>IF(B63="","",TEXT(AY63,"00")&amp;"|"&amp;B63&amp;"|"&amp;TEXT(AT63,"yyyymmdd"))</f>
        <v/>
      </c>
      <c r="BB63" s="28" t="str">
        <f>IF(B63="","",TEXT(AZ63,"00")&amp;"|"&amp;B63&amp;"|"&amp;TEXT(AV63,"yyyymmdd"))</f>
        <v/>
      </c>
      <c r="BC63" s="28">
        <f>IF(OR(AQ63="YES",AQ63="Yes",AQ63="Y",AQ63=1),1,0)</f>
        <v>0</v>
      </c>
    </row>
    <row r="64" spans="1:55" ht="15" customHeight="1">
      <c r="A64" s="27"/>
      <c r="B64" s="28"/>
      <c r="C64" s="29"/>
      <c r="D64" s="30"/>
      <c r="E64" s="30"/>
      <c r="F64" s="28"/>
      <c r="G64" s="28"/>
      <c r="H64" s="28"/>
      <c r="I64" s="13"/>
      <c r="J64" s="28"/>
      <c r="K64" s="13"/>
      <c r="L64" s="28"/>
      <c r="M64" s="13"/>
      <c r="N64" s="28"/>
      <c r="O64" s="13"/>
      <c r="P64" s="28"/>
      <c r="Q64" s="20"/>
      <c r="R64" s="28"/>
      <c r="S64" s="20"/>
      <c r="T64" s="28"/>
      <c r="U64" s="13"/>
      <c r="V64" s="28"/>
      <c r="W64" s="13"/>
      <c r="X64" s="28"/>
      <c r="Y64" s="13"/>
      <c r="Z64" s="28"/>
      <c r="AA64" s="13"/>
      <c r="AB64" s="28"/>
      <c r="AC64" s="13"/>
      <c r="AD64" s="28"/>
      <c r="AE64" s="13"/>
      <c r="AF64" s="28"/>
      <c r="AG64" s="13"/>
      <c r="AH64" s="28"/>
      <c r="AI64" s="13"/>
      <c r="AJ64" s="28"/>
      <c r="AK64" s="13"/>
      <c r="AL64" s="28"/>
      <c r="AM64" s="13"/>
      <c r="AN64" s="28"/>
      <c r="AO64" s="13"/>
      <c r="AP64" s="28"/>
      <c r="AQ64" s="13"/>
      <c r="AR64" s="28"/>
      <c r="AS64" s="19">
        <f>SUM(H64,J64,L64,N64,P64,R64,T64,V64,X64,Z64,AB64,AD64,AF64,AH64,AJ64,AL64,AN64)</f>
        <v>0</v>
      </c>
      <c r="AT64" s="29" t="str">
        <f>IF(C64="","",DATE(YEAR(C64),MONTH(C64),1))</f>
        <v/>
      </c>
      <c r="AU64" s="28" t="str">
        <f>IF(AT64="","",TEXT(AT64,"mmmm yyyy"))</f>
        <v/>
      </c>
      <c r="AV64" s="29" t="str">
        <f>IF(C64="","",C64-WEEKDAY(C64,2)+1)</f>
        <v/>
      </c>
      <c r="AW64" s="29" t="str">
        <f>IF(AV64="","",AV64+6)</f>
        <v/>
      </c>
      <c r="AX64" s="28" t="str">
        <f>IF(AV64="","",TEXT(AV64,"dd/mm/yyyy")&amp;" - "&amp;TEXT(AW64,"dd/mm/yyyy"))</f>
        <v/>
      </c>
      <c r="AY64" s="28" t="str">
        <f>IF(B64="","",COUNTIFS($B$5:B64,B64,$AT$5:AT64,AT64))</f>
        <v/>
      </c>
      <c r="AZ64" s="28" t="str">
        <f>IF(B64="","",COUNTIFS($B$5:B64,B64,$AV$5:AV64,AV64))</f>
        <v/>
      </c>
      <c r="BA64" s="28" t="str">
        <f>IF(B64="","",TEXT(AY64,"00")&amp;"|"&amp;B64&amp;"|"&amp;TEXT(AT64,"yyyymmdd"))</f>
        <v/>
      </c>
      <c r="BB64" s="28" t="str">
        <f>IF(B64="","",TEXT(AZ64,"00")&amp;"|"&amp;B64&amp;"|"&amp;TEXT(AV64,"yyyymmdd"))</f>
        <v/>
      </c>
      <c r="BC64" s="28">
        <f>IF(OR(AQ64="YES",AQ64="Yes",AQ64="Y",AQ64=1),1,0)</f>
        <v>0</v>
      </c>
    </row>
    <row r="65" spans="1:55" ht="15" customHeight="1">
      <c r="A65" s="27"/>
      <c r="B65" s="28"/>
      <c r="C65" s="29"/>
      <c r="D65" s="30"/>
      <c r="E65" s="30"/>
      <c r="F65" s="28"/>
      <c r="G65" s="28"/>
      <c r="H65" s="28"/>
      <c r="I65" s="13"/>
      <c r="J65" s="28"/>
      <c r="K65" s="13"/>
      <c r="L65" s="28"/>
      <c r="M65" s="13"/>
      <c r="N65" s="28"/>
      <c r="O65" s="13"/>
      <c r="P65" s="28"/>
      <c r="Q65" s="20"/>
      <c r="R65" s="28"/>
      <c r="S65" s="20"/>
      <c r="T65" s="28"/>
      <c r="U65" s="13"/>
      <c r="V65" s="28"/>
      <c r="W65" s="13"/>
      <c r="X65" s="28"/>
      <c r="Y65" s="13"/>
      <c r="Z65" s="28"/>
      <c r="AA65" s="13"/>
      <c r="AB65" s="28"/>
      <c r="AC65" s="13"/>
      <c r="AD65" s="28"/>
      <c r="AE65" s="13"/>
      <c r="AF65" s="28"/>
      <c r="AG65" s="13"/>
      <c r="AH65" s="28"/>
      <c r="AI65" s="13"/>
      <c r="AJ65" s="28"/>
      <c r="AK65" s="13"/>
      <c r="AL65" s="28"/>
      <c r="AM65" s="13"/>
      <c r="AN65" s="28"/>
      <c r="AO65" s="13"/>
      <c r="AP65" s="28"/>
      <c r="AQ65" s="13"/>
      <c r="AR65" s="28"/>
      <c r="AS65" s="19">
        <f>SUM(H65,J65,L65,N65,P65,R65,T65,V65,X65,Z65,AB65,AD65,AF65,AH65,AJ65,AL65,AN65)</f>
        <v>0</v>
      </c>
      <c r="AT65" s="29" t="str">
        <f>IF(C65="","",DATE(YEAR(C65),MONTH(C65),1))</f>
        <v/>
      </c>
      <c r="AU65" s="28" t="str">
        <f>IF(AT65="","",TEXT(AT65,"mmmm yyyy"))</f>
        <v/>
      </c>
      <c r="AV65" s="29" t="str">
        <f>IF(C65="","",C65-WEEKDAY(C65,2)+1)</f>
        <v/>
      </c>
      <c r="AW65" s="29" t="str">
        <f>IF(AV65="","",AV65+6)</f>
        <v/>
      </c>
      <c r="AX65" s="28" t="str">
        <f>IF(AV65="","",TEXT(AV65,"dd/mm/yyyy")&amp;" - "&amp;TEXT(AW65,"dd/mm/yyyy"))</f>
        <v/>
      </c>
      <c r="AY65" s="28" t="str">
        <f>IF(B65="","",COUNTIFS($B$5:B65,B65,$AT$5:AT65,AT65))</f>
        <v/>
      </c>
      <c r="AZ65" s="28" t="str">
        <f>IF(B65="","",COUNTIFS($B$5:B65,B65,$AV$5:AV65,AV65))</f>
        <v/>
      </c>
      <c r="BA65" s="28" t="str">
        <f>IF(B65="","",TEXT(AY65,"00")&amp;"|"&amp;B65&amp;"|"&amp;TEXT(AT65,"yyyymmdd"))</f>
        <v/>
      </c>
      <c r="BB65" s="28" t="str">
        <f>IF(B65="","",TEXT(AZ65,"00")&amp;"|"&amp;B65&amp;"|"&amp;TEXT(AV65,"yyyymmdd"))</f>
        <v/>
      </c>
      <c r="BC65" s="28">
        <f>IF(OR(AQ65="YES",AQ65="Yes",AQ65="Y",AQ65=1),1,0)</f>
        <v>0</v>
      </c>
    </row>
    <row r="66" spans="1:55" ht="15" customHeight="1">
      <c r="A66" s="27"/>
      <c r="B66" s="28"/>
      <c r="C66" s="29"/>
      <c r="D66" s="30"/>
      <c r="E66" s="30"/>
      <c r="F66" s="28"/>
      <c r="G66" s="28"/>
      <c r="H66" s="28"/>
      <c r="I66" s="13"/>
      <c r="J66" s="28"/>
      <c r="K66" s="13"/>
      <c r="L66" s="28"/>
      <c r="M66" s="13"/>
      <c r="N66" s="28"/>
      <c r="O66" s="13"/>
      <c r="P66" s="28"/>
      <c r="Q66" s="20"/>
      <c r="R66" s="28"/>
      <c r="S66" s="20"/>
      <c r="T66" s="28"/>
      <c r="U66" s="13"/>
      <c r="V66" s="28"/>
      <c r="W66" s="13"/>
      <c r="X66" s="28"/>
      <c r="Y66" s="13"/>
      <c r="Z66" s="28"/>
      <c r="AA66" s="13"/>
      <c r="AB66" s="28"/>
      <c r="AC66" s="13"/>
      <c r="AD66" s="28"/>
      <c r="AE66" s="13"/>
      <c r="AF66" s="28"/>
      <c r="AG66" s="13"/>
      <c r="AH66" s="28"/>
      <c r="AI66" s="13"/>
      <c r="AJ66" s="28"/>
      <c r="AK66" s="13"/>
      <c r="AL66" s="28"/>
      <c r="AM66" s="13"/>
      <c r="AN66" s="28"/>
      <c r="AO66" s="13"/>
      <c r="AP66" s="28"/>
      <c r="AQ66" s="13"/>
      <c r="AR66" s="28"/>
      <c r="AS66" s="19">
        <f>SUM(H66,J66,L66,N66,P66,R66,T66,V66,X66,Z66,AB66,AD66,AF66,AH66,AJ66,AL66,AN66)</f>
        <v>0</v>
      </c>
      <c r="AT66" s="29" t="str">
        <f>IF(C66="","",DATE(YEAR(C66),MONTH(C66),1))</f>
        <v/>
      </c>
      <c r="AU66" s="28" t="str">
        <f>IF(AT66="","",TEXT(AT66,"mmmm yyyy"))</f>
        <v/>
      </c>
      <c r="AV66" s="29" t="str">
        <f>IF(C66="","",C66-WEEKDAY(C66,2)+1)</f>
        <v/>
      </c>
      <c r="AW66" s="29" t="str">
        <f>IF(AV66="","",AV66+6)</f>
        <v/>
      </c>
      <c r="AX66" s="28" t="str">
        <f>IF(AV66="","",TEXT(AV66,"dd/mm/yyyy")&amp;" - "&amp;TEXT(AW66,"dd/mm/yyyy"))</f>
        <v/>
      </c>
      <c r="AY66" s="28" t="str">
        <f>IF(B66="","",COUNTIFS($B$5:B66,B66,$AT$5:AT66,AT66))</f>
        <v/>
      </c>
      <c r="AZ66" s="28" t="str">
        <f>IF(B66="","",COUNTIFS($B$5:B66,B66,$AV$5:AV66,AV66))</f>
        <v/>
      </c>
      <c r="BA66" s="28" t="str">
        <f>IF(B66="","",TEXT(AY66,"00")&amp;"|"&amp;B66&amp;"|"&amp;TEXT(AT66,"yyyymmdd"))</f>
        <v/>
      </c>
      <c r="BB66" s="28" t="str">
        <f>IF(B66="","",TEXT(AZ66,"00")&amp;"|"&amp;B66&amp;"|"&amp;TEXT(AV66,"yyyymmdd"))</f>
        <v/>
      </c>
      <c r="BC66" s="28">
        <f>IF(OR(AQ66="YES",AQ66="Yes",AQ66="Y",AQ66=1),1,0)</f>
        <v>0</v>
      </c>
    </row>
    <row r="67" spans="1:55" ht="15" customHeight="1">
      <c r="A67" s="27"/>
      <c r="B67" s="28"/>
      <c r="C67" s="29"/>
      <c r="D67" s="30"/>
      <c r="E67" s="30"/>
      <c r="F67" s="28"/>
      <c r="G67" s="28"/>
      <c r="H67" s="28"/>
      <c r="I67" s="13"/>
      <c r="J67" s="28"/>
      <c r="K67" s="13"/>
      <c r="L67" s="28"/>
      <c r="M67" s="13"/>
      <c r="N67" s="28"/>
      <c r="O67" s="13"/>
      <c r="P67" s="28"/>
      <c r="Q67" s="20"/>
      <c r="R67" s="28"/>
      <c r="S67" s="20"/>
      <c r="T67" s="28"/>
      <c r="U67" s="13"/>
      <c r="V67" s="28"/>
      <c r="W67" s="13"/>
      <c r="X67" s="28"/>
      <c r="Y67" s="13"/>
      <c r="Z67" s="28"/>
      <c r="AA67" s="13"/>
      <c r="AB67" s="28"/>
      <c r="AC67" s="13"/>
      <c r="AD67" s="28"/>
      <c r="AE67" s="13"/>
      <c r="AF67" s="28"/>
      <c r="AG67" s="13"/>
      <c r="AH67" s="28"/>
      <c r="AI67" s="13"/>
      <c r="AJ67" s="28"/>
      <c r="AK67" s="13"/>
      <c r="AL67" s="28"/>
      <c r="AM67" s="13"/>
      <c r="AN67" s="28"/>
      <c r="AO67" s="13"/>
      <c r="AP67" s="28"/>
      <c r="AQ67" s="13"/>
      <c r="AR67" s="28"/>
      <c r="AS67" s="19">
        <f>SUM(H67,J67,L67,N67,P67,R67,T67,V67,X67,Z67,AB67,AD67,AF67,AH67,AJ67,AL67,AN67)</f>
        <v>0</v>
      </c>
      <c r="AT67" s="29" t="str">
        <f>IF(C67="","",DATE(YEAR(C67),MONTH(C67),1))</f>
        <v/>
      </c>
      <c r="AU67" s="28" t="str">
        <f>IF(AT67="","",TEXT(AT67,"mmmm yyyy"))</f>
        <v/>
      </c>
      <c r="AV67" s="29" t="str">
        <f>IF(C67="","",C67-WEEKDAY(C67,2)+1)</f>
        <v/>
      </c>
      <c r="AW67" s="29" t="str">
        <f>IF(AV67="","",AV67+6)</f>
        <v/>
      </c>
      <c r="AX67" s="28" t="str">
        <f>IF(AV67="","",TEXT(AV67,"dd/mm/yyyy")&amp;" - "&amp;TEXT(AW67,"dd/mm/yyyy"))</f>
        <v/>
      </c>
      <c r="AY67" s="28" t="str">
        <f>IF(B67="","",COUNTIFS($B$5:B67,B67,$AT$5:AT67,AT67))</f>
        <v/>
      </c>
      <c r="AZ67" s="28" t="str">
        <f>IF(B67="","",COUNTIFS($B$5:B67,B67,$AV$5:AV67,AV67))</f>
        <v/>
      </c>
      <c r="BA67" s="28" t="str">
        <f>IF(B67="","",TEXT(AY67,"00")&amp;"|"&amp;B67&amp;"|"&amp;TEXT(AT67,"yyyymmdd"))</f>
        <v/>
      </c>
      <c r="BB67" s="28" t="str">
        <f>IF(B67="","",TEXT(AZ67,"00")&amp;"|"&amp;B67&amp;"|"&amp;TEXT(AV67,"yyyymmdd"))</f>
        <v/>
      </c>
      <c r="BC67" s="28">
        <f>IF(OR(AQ67="YES",AQ67="Yes",AQ67="Y",AQ67=1),1,0)</f>
        <v>0</v>
      </c>
    </row>
    <row r="68" spans="1:55" ht="15" customHeight="1">
      <c r="A68" s="27"/>
      <c r="B68" s="28"/>
      <c r="C68" s="29"/>
      <c r="D68" s="30"/>
      <c r="E68" s="30"/>
      <c r="F68" s="28"/>
      <c r="G68" s="28"/>
      <c r="H68" s="28"/>
      <c r="I68" s="13"/>
      <c r="J68" s="28"/>
      <c r="K68" s="13"/>
      <c r="L68" s="28"/>
      <c r="M68" s="13"/>
      <c r="N68" s="28"/>
      <c r="O68" s="13"/>
      <c r="P68" s="28"/>
      <c r="Q68" s="20"/>
      <c r="R68" s="28"/>
      <c r="S68" s="20"/>
      <c r="T68" s="28"/>
      <c r="U68" s="13"/>
      <c r="V68" s="28"/>
      <c r="W68" s="13"/>
      <c r="X68" s="28"/>
      <c r="Y68" s="13"/>
      <c r="Z68" s="28"/>
      <c r="AA68" s="13"/>
      <c r="AB68" s="28"/>
      <c r="AC68" s="13"/>
      <c r="AD68" s="28"/>
      <c r="AE68" s="13"/>
      <c r="AF68" s="28"/>
      <c r="AG68" s="13"/>
      <c r="AH68" s="28"/>
      <c r="AI68" s="13"/>
      <c r="AJ68" s="28"/>
      <c r="AK68" s="13"/>
      <c r="AL68" s="28"/>
      <c r="AM68" s="13"/>
      <c r="AN68" s="28"/>
      <c r="AO68" s="13"/>
      <c r="AP68" s="28"/>
      <c r="AQ68" s="13"/>
      <c r="AR68" s="28"/>
      <c r="AS68" s="19">
        <f>SUM(H68,J68,L68,N68,P68,R68,T68,V68,X68,Z68,AB68,AD68,AF68,AH68,AJ68,AL68,AN68)</f>
        <v>0</v>
      </c>
      <c r="AT68" s="29" t="str">
        <f>IF(C68="","",DATE(YEAR(C68),MONTH(C68),1))</f>
        <v/>
      </c>
      <c r="AU68" s="28" t="str">
        <f>IF(AT68="","",TEXT(AT68,"mmmm yyyy"))</f>
        <v/>
      </c>
      <c r="AV68" s="29" t="str">
        <f>IF(C68="","",C68-WEEKDAY(C68,2)+1)</f>
        <v/>
      </c>
      <c r="AW68" s="29" t="str">
        <f>IF(AV68="","",AV68+6)</f>
        <v/>
      </c>
      <c r="AX68" s="28" t="str">
        <f>IF(AV68="","",TEXT(AV68,"dd/mm/yyyy")&amp;" - "&amp;TEXT(AW68,"dd/mm/yyyy"))</f>
        <v/>
      </c>
      <c r="AY68" s="28" t="str">
        <f>IF(B68="","",COUNTIFS($B$5:B68,B68,$AT$5:AT68,AT68))</f>
        <v/>
      </c>
      <c r="AZ68" s="28" t="str">
        <f>IF(B68="","",COUNTIFS($B$5:B68,B68,$AV$5:AV68,AV68))</f>
        <v/>
      </c>
      <c r="BA68" s="28" t="str">
        <f>IF(B68="","",TEXT(AY68,"00")&amp;"|"&amp;B68&amp;"|"&amp;TEXT(AT68,"yyyymmdd"))</f>
        <v/>
      </c>
      <c r="BB68" s="28" t="str">
        <f>IF(B68="","",TEXT(AZ68,"00")&amp;"|"&amp;B68&amp;"|"&amp;TEXT(AV68,"yyyymmdd"))</f>
        <v/>
      </c>
      <c r="BC68" s="28">
        <f>IF(OR(AQ68="YES",AQ68="Yes",AQ68="Y",AQ68=1),1,0)</f>
        <v>0</v>
      </c>
    </row>
    <row r="69" spans="1:55" ht="15" customHeight="1">
      <c r="A69" s="27"/>
      <c r="B69" s="28"/>
      <c r="C69" s="29"/>
      <c r="D69" s="30"/>
      <c r="E69" s="30"/>
      <c r="F69" s="28"/>
      <c r="G69" s="28"/>
      <c r="H69" s="28"/>
      <c r="I69" s="13"/>
      <c r="J69" s="28"/>
      <c r="K69" s="13"/>
      <c r="L69" s="28"/>
      <c r="M69" s="13"/>
      <c r="N69" s="28"/>
      <c r="O69" s="13"/>
      <c r="P69" s="28"/>
      <c r="Q69" s="20"/>
      <c r="R69" s="28"/>
      <c r="S69" s="20"/>
      <c r="T69" s="28"/>
      <c r="U69" s="13"/>
      <c r="V69" s="28"/>
      <c r="W69" s="13"/>
      <c r="X69" s="28"/>
      <c r="Y69" s="13"/>
      <c r="Z69" s="28"/>
      <c r="AA69" s="13"/>
      <c r="AB69" s="28"/>
      <c r="AC69" s="13"/>
      <c r="AD69" s="28"/>
      <c r="AE69" s="13"/>
      <c r="AF69" s="28"/>
      <c r="AG69" s="13"/>
      <c r="AH69" s="28"/>
      <c r="AI69" s="13"/>
      <c r="AJ69" s="28"/>
      <c r="AK69" s="13"/>
      <c r="AL69" s="28"/>
      <c r="AM69" s="13"/>
      <c r="AN69" s="28"/>
      <c r="AO69" s="13"/>
      <c r="AP69" s="28"/>
      <c r="AQ69" s="13"/>
      <c r="AR69" s="28"/>
      <c r="AS69" s="19">
        <f>SUM(H69,J69,L69,N69,P69,R69,T69,V69,X69,Z69,AB69,AD69,AF69,AH69,AJ69,AL69,AN69)</f>
        <v>0</v>
      </c>
      <c r="AT69" s="29" t="str">
        <f>IF(C69="","",DATE(YEAR(C69),MONTH(C69),1))</f>
        <v/>
      </c>
      <c r="AU69" s="28" t="str">
        <f>IF(AT69="","",TEXT(AT69,"mmmm yyyy"))</f>
        <v/>
      </c>
      <c r="AV69" s="29" t="str">
        <f>IF(C69="","",C69-WEEKDAY(C69,2)+1)</f>
        <v/>
      </c>
      <c r="AW69" s="29" t="str">
        <f>IF(AV69="","",AV69+6)</f>
        <v/>
      </c>
      <c r="AX69" s="28" t="str">
        <f>IF(AV69="","",TEXT(AV69,"dd/mm/yyyy")&amp;" - "&amp;TEXT(AW69,"dd/mm/yyyy"))</f>
        <v/>
      </c>
      <c r="AY69" s="28" t="str">
        <f>IF(B69="","",COUNTIFS($B$5:B69,B69,$AT$5:AT69,AT69))</f>
        <v/>
      </c>
      <c r="AZ69" s="28" t="str">
        <f>IF(B69="","",COUNTIFS($B$5:B69,B69,$AV$5:AV69,AV69))</f>
        <v/>
      </c>
      <c r="BA69" s="28" t="str">
        <f>IF(B69="","",TEXT(AY69,"00")&amp;"|"&amp;B69&amp;"|"&amp;TEXT(AT69,"yyyymmdd"))</f>
        <v/>
      </c>
      <c r="BB69" s="28" t="str">
        <f>IF(B69="","",TEXT(AZ69,"00")&amp;"|"&amp;B69&amp;"|"&amp;TEXT(AV69,"yyyymmdd"))</f>
        <v/>
      </c>
      <c r="BC69" s="28">
        <f>IF(OR(AQ69="YES",AQ69="Yes",AQ69="Y",AQ69=1),1,0)</f>
        <v>0</v>
      </c>
    </row>
    <row r="70" spans="1:55" ht="15" customHeight="1">
      <c r="A70" s="27"/>
      <c r="B70" s="28"/>
      <c r="C70" s="29"/>
      <c r="D70" s="30"/>
      <c r="E70" s="30"/>
      <c r="F70" s="28"/>
      <c r="G70" s="28"/>
      <c r="H70" s="28"/>
      <c r="I70" s="13"/>
      <c r="J70" s="28"/>
      <c r="K70" s="13"/>
      <c r="L70" s="28"/>
      <c r="M70" s="13"/>
      <c r="N70" s="28"/>
      <c r="O70" s="13"/>
      <c r="P70" s="28"/>
      <c r="Q70" s="20"/>
      <c r="R70" s="28"/>
      <c r="S70" s="20"/>
      <c r="T70" s="28"/>
      <c r="U70" s="13"/>
      <c r="V70" s="28"/>
      <c r="W70" s="13"/>
      <c r="X70" s="28"/>
      <c r="Y70" s="13"/>
      <c r="Z70" s="28"/>
      <c r="AA70" s="13"/>
      <c r="AB70" s="28"/>
      <c r="AC70" s="13"/>
      <c r="AD70" s="28"/>
      <c r="AE70" s="13"/>
      <c r="AF70" s="28"/>
      <c r="AG70" s="13"/>
      <c r="AH70" s="28"/>
      <c r="AI70" s="13"/>
      <c r="AJ70" s="28"/>
      <c r="AK70" s="13"/>
      <c r="AL70" s="28"/>
      <c r="AM70" s="13"/>
      <c r="AN70" s="28"/>
      <c r="AO70" s="13"/>
      <c r="AP70" s="28"/>
      <c r="AQ70" s="13"/>
      <c r="AR70" s="28"/>
      <c r="AS70" s="19">
        <f>SUM(H70,J70,L70,N70,P70,R70,T70,V70,X70,Z70,AB70,AD70,AF70,AH70,AJ70,AL70,AN70)</f>
        <v>0</v>
      </c>
      <c r="AT70" s="29" t="str">
        <f>IF(C70="","",DATE(YEAR(C70),MONTH(C70),1))</f>
        <v/>
      </c>
      <c r="AU70" s="28" t="str">
        <f>IF(AT70="","",TEXT(AT70,"mmmm yyyy"))</f>
        <v/>
      </c>
      <c r="AV70" s="29" t="str">
        <f>IF(C70="","",C70-WEEKDAY(C70,2)+1)</f>
        <v/>
      </c>
      <c r="AW70" s="29" t="str">
        <f>IF(AV70="","",AV70+6)</f>
        <v/>
      </c>
      <c r="AX70" s="28" t="str">
        <f>IF(AV70="","",TEXT(AV70,"dd/mm/yyyy")&amp;" - "&amp;TEXT(AW70,"dd/mm/yyyy"))</f>
        <v/>
      </c>
      <c r="AY70" s="28" t="str">
        <f>IF(B70="","",COUNTIFS($B$5:B70,B70,$AT$5:AT70,AT70))</f>
        <v/>
      </c>
      <c r="AZ70" s="28" t="str">
        <f>IF(B70="","",COUNTIFS($B$5:B70,B70,$AV$5:AV70,AV70))</f>
        <v/>
      </c>
      <c r="BA70" s="28" t="str">
        <f>IF(B70="","",TEXT(AY70,"00")&amp;"|"&amp;B70&amp;"|"&amp;TEXT(AT70,"yyyymmdd"))</f>
        <v/>
      </c>
      <c r="BB70" s="28" t="str">
        <f>IF(B70="","",TEXT(AZ70,"00")&amp;"|"&amp;B70&amp;"|"&amp;TEXT(AV70,"yyyymmdd"))</f>
        <v/>
      </c>
      <c r="BC70" s="28">
        <f>IF(OR(AQ70="YES",AQ70="Yes",AQ70="Y",AQ70=1),1,0)</f>
        <v>0</v>
      </c>
    </row>
    <row r="71" spans="1:55" ht="15" customHeight="1">
      <c r="A71" s="27"/>
      <c r="B71" s="28"/>
      <c r="C71" s="29"/>
      <c r="D71" s="30"/>
      <c r="E71" s="30"/>
      <c r="F71" s="28"/>
      <c r="G71" s="28"/>
      <c r="H71" s="28"/>
      <c r="I71" s="13"/>
      <c r="J71" s="28"/>
      <c r="K71" s="13"/>
      <c r="L71" s="28"/>
      <c r="M71" s="13"/>
      <c r="N71" s="28"/>
      <c r="O71" s="13"/>
      <c r="P71" s="28"/>
      <c r="Q71" s="20"/>
      <c r="R71" s="28"/>
      <c r="S71" s="20"/>
      <c r="T71" s="28"/>
      <c r="U71" s="13"/>
      <c r="V71" s="28"/>
      <c r="W71" s="13"/>
      <c r="X71" s="28"/>
      <c r="Y71" s="13"/>
      <c r="Z71" s="28"/>
      <c r="AA71" s="13"/>
      <c r="AB71" s="28"/>
      <c r="AC71" s="13"/>
      <c r="AD71" s="28"/>
      <c r="AE71" s="13"/>
      <c r="AF71" s="28"/>
      <c r="AG71" s="13"/>
      <c r="AH71" s="28"/>
      <c r="AI71" s="13"/>
      <c r="AJ71" s="28"/>
      <c r="AK71" s="13"/>
      <c r="AL71" s="28"/>
      <c r="AM71" s="13"/>
      <c r="AN71" s="28"/>
      <c r="AO71" s="13"/>
      <c r="AP71" s="28"/>
      <c r="AQ71" s="13"/>
      <c r="AR71" s="28"/>
      <c r="AS71" s="19">
        <f>SUM(H71,J71,L71,N71,P71,R71,T71,V71,X71,Z71,AB71,AD71,AF71,AH71,AJ71,AL71,AN71)</f>
        <v>0</v>
      </c>
      <c r="AT71" s="29" t="str">
        <f>IF(C71="","",DATE(YEAR(C71),MONTH(C71),1))</f>
        <v/>
      </c>
      <c r="AU71" s="28" t="str">
        <f>IF(AT71="","",TEXT(AT71,"mmmm yyyy"))</f>
        <v/>
      </c>
      <c r="AV71" s="29" t="str">
        <f>IF(C71="","",C71-WEEKDAY(C71,2)+1)</f>
        <v/>
      </c>
      <c r="AW71" s="29" t="str">
        <f>IF(AV71="","",AV71+6)</f>
        <v/>
      </c>
      <c r="AX71" s="28" t="str">
        <f>IF(AV71="","",TEXT(AV71,"dd/mm/yyyy")&amp;" - "&amp;TEXT(AW71,"dd/mm/yyyy"))</f>
        <v/>
      </c>
      <c r="AY71" s="28" t="str">
        <f>IF(B71="","",COUNTIFS($B$5:B71,B71,$AT$5:AT71,AT71))</f>
        <v/>
      </c>
      <c r="AZ71" s="28" t="str">
        <f>IF(B71="","",COUNTIFS($B$5:B71,B71,$AV$5:AV71,AV71))</f>
        <v/>
      </c>
      <c r="BA71" s="28" t="str">
        <f>IF(B71="","",TEXT(AY71,"00")&amp;"|"&amp;B71&amp;"|"&amp;TEXT(AT71,"yyyymmdd"))</f>
        <v/>
      </c>
      <c r="BB71" s="28" t="str">
        <f>IF(B71="","",TEXT(AZ71,"00")&amp;"|"&amp;B71&amp;"|"&amp;TEXT(AV71,"yyyymmdd"))</f>
        <v/>
      </c>
      <c r="BC71" s="28">
        <f>IF(OR(AQ71="YES",AQ71="Yes",AQ71="Y",AQ71=1),1,0)</f>
        <v>0</v>
      </c>
    </row>
    <row r="72" spans="1:55" ht="15" customHeight="1">
      <c r="A72" s="27"/>
      <c r="B72" s="28"/>
      <c r="C72" s="29"/>
      <c r="D72" s="30"/>
      <c r="E72" s="30"/>
      <c r="F72" s="28"/>
      <c r="G72" s="28"/>
      <c r="H72" s="28"/>
      <c r="I72" s="13"/>
      <c r="J72" s="28"/>
      <c r="K72" s="13"/>
      <c r="L72" s="28"/>
      <c r="M72" s="13"/>
      <c r="N72" s="28"/>
      <c r="O72" s="13"/>
      <c r="P72" s="28"/>
      <c r="Q72" s="20"/>
      <c r="R72" s="28"/>
      <c r="S72" s="20"/>
      <c r="T72" s="28"/>
      <c r="U72" s="13"/>
      <c r="V72" s="28"/>
      <c r="W72" s="13"/>
      <c r="X72" s="28"/>
      <c r="Y72" s="13"/>
      <c r="Z72" s="28"/>
      <c r="AA72" s="13"/>
      <c r="AB72" s="28"/>
      <c r="AC72" s="13"/>
      <c r="AD72" s="28"/>
      <c r="AE72" s="13"/>
      <c r="AF72" s="28"/>
      <c r="AG72" s="13"/>
      <c r="AH72" s="28"/>
      <c r="AI72" s="13"/>
      <c r="AJ72" s="28"/>
      <c r="AK72" s="13"/>
      <c r="AL72" s="28"/>
      <c r="AM72" s="13"/>
      <c r="AN72" s="28"/>
      <c r="AO72" s="13"/>
      <c r="AP72" s="28"/>
      <c r="AQ72" s="13"/>
      <c r="AR72" s="28"/>
      <c r="AS72" s="19">
        <f>SUM(H72,J72,L72,N72,P72,R72,T72,V72,X72,Z72,AB72,AD72,AF72,AH72,AJ72,AL72,AN72)</f>
        <v>0</v>
      </c>
      <c r="AT72" s="29" t="str">
        <f>IF(C72="","",DATE(YEAR(C72),MONTH(C72),1))</f>
        <v/>
      </c>
      <c r="AU72" s="28" t="str">
        <f>IF(AT72="","",TEXT(AT72,"mmmm yyyy"))</f>
        <v/>
      </c>
      <c r="AV72" s="29" t="str">
        <f>IF(C72="","",C72-WEEKDAY(C72,2)+1)</f>
        <v/>
      </c>
      <c r="AW72" s="29" t="str">
        <f>IF(AV72="","",AV72+6)</f>
        <v/>
      </c>
      <c r="AX72" s="28" t="str">
        <f>IF(AV72="","",TEXT(AV72,"dd/mm/yyyy")&amp;" - "&amp;TEXT(AW72,"dd/mm/yyyy"))</f>
        <v/>
      </c>
      <c r="AY72" s="28" t="str">
        <f>IF(B72="","",COUNTIFS($B$5:B72,B72,$AT$5:AT72,AT72))</f>
        <v/>
      </c>
      <c r="AZ72" s="28" t="str">
        <f>IF(B72="","",COUNTIFS($B$5:B72,B72,$AV$5:AV72,AV72))</f>
        <v/>
      </c>
      <c r="BA72" s="28" t="str">
        <f>IF(B72="","",TEXT(AY72,"00")&amp;"|"&amp;B72&amp;"|"&amp;TEXT(AT72,"yyyymmdd"))</f>
        <v/>
      </c>
      <c r="BB72" s="28" t="str">
        <f>IF(B72="","",TEXT(AZ72,"00")&amp;"|"&amp;B72&amp;"|"&amp;TEXT(AV72,"yyyymmdd"))</f>
        <v/>
      </c>
      <c r="BC72" s="28">
        <f>IF(OR(AQ72="YES",AQ72="Yes",AQ72="Y",AQ72=1),1,0)</f>
        <v>0</v>
      </c>
    </row>
    <row r="73" spans="1:55" ht="15" customHeight="1">
      <c r="A73" s="27"/>
      <c r="B73" s="28"/>
      <c r="C73" s="29"/>
      <c r="D73" s="30"/>
      <c r="E73" s="30"/>
      <c r="F73" s="28"/>
      <c r="G73" s="28"/>
      <c r="H73" s="28"/>
      <c r="I73" s="13"/>
      <c r="J73" s="28"/>
      <c r="K73" s="13"/>
      <c r="L73" s="28"/>
      <c r="M73" s="13"/>
      <c r="N73" s="28"/>
      <c r="O73" s="13"/>
      <c r="P73" s="28"/>
      <c r="Q73" s="20"/>
      <c r="R73" s="28"/>
      <c r="S73" s="20"/>
      <c r="T73" s="28"/>
      <c r="U73" s="13"/>
      <c r="V73" s="28"/>
      <c r="W73" s="13"/>
      <c r="X73" s="28"/>
      <c r="Y73" s="13"/>
      <c r="Z73" s="28"/>
      <c r="AA73" s="13"/>
      <c r="AB73" s="28"/>
      <c r="AC73" s="13"/>
      <c r="AD73" s="28"/>
      <c r="AE73" s="13"/>
      <c r="AF73" s="28"/>
      <c r="AG73" s="13"/>
      <c r="AH73" s="28"/>
      <c r="AI73" s="13"/>
      <c r="AJ73" s="28"/>
      <c r="AK73" s="13"/>
      <c r="AL73" s="28"/>
      <c r="AM73" s="13"/>
      <c r="AN73" s="28"/>
      <c r="AO73" s="13"/>
      <c r="AP73" s="28"/>
      <c r="AQ73" s="13"/>
      <c r="AR73" s="28"/>
      <c r="AS73" s="19">
        <f>SUM(H73,J73,L73,N73,P73,R73,T73,V73,X73,Z73,AB73,AD73,AF73,AH73,AJ73,AL73,AN73)</f>
        <v>0</v>
      </c>
      <c r="AT73" s="29" t="str">
        <f>IF(C73="","",DATE(YEAR(C73),MONTH(C73),1))</f>
        <v/>
      </c>
      <c r="AU73" s="28" t="str">
        <f>IF(AT73="","",TEXT(AT73,"mmmm yyyy"))</f>
        <v/>
      </c>
      <c r="AV73" s="29" t="str">
        <f>IF(C73="","",C73-WEEKDAY(C73,2)+1)</f>
        <v/>
      </c>
      <c r="AW73" s="29" t="str">
        <f>IF(AV73="","",AV73+6)</f>
        <v/>
      </c>
      <c r="AX73" s="28" t="str">
        <f>IF(AV73="","",TEXT(AV73,"dd/mm/yyyy")&amp;" - "&amp;TEXT(AW73,"dd/mm/yyyy"))</f>
        <v/>
      </c>
      <c r="AY73" s="28" t="str">
        <f>IF(B73="","",COUNTIFS($B$5:B73,B73,$AT$5:AT73,AT73))</f>
        <v/>
      </c>
      <c r="AZ73" s="28" t="str">
        <f>IF(B73="","",COUNTIFS($B$5:B73,B73,$AV$5:AV73,AV73))</f>
        <v/>
      </c>
      <c r="BA73" s="28" t="str">
        <f>IF(B73="","",TEXT(AY73,"00")&amp;"|"&amp;B73&amp;"|"&amp;TEXT(AT73,"yyyymmdd"))</f>
        <v/>
      </c>
      <c r="BB73" s="28" t="str">
        <f>IF(B73="","",TEXT(AZ73,"00")&amp;"|"&amp;B73&amp;"|"&amp;TEXT(AV73,"yyyymmdd"))</f>
        <v/>
      </c>
      <c r="BC73" s="28">
        <f>IF(OR(AQ73="YES",AQ73="Yes",AQ73="Y",AQ73=1),1,0)</f>
        <v>0</v>
      </c>
    </row>
    <row r="74" spans="1:55" ht="15" customHeight="1">
      <c r="A74" s="27"/>
      <c r="B74" s="28"/>
      <c r="C74" s="29"/>
      <c r="D74" s="30"/>
      <c r="E74" s="30"/>
      <c r="F74" s="28"/>
      <c r="G74" s="28"/>
      <c r="H74" s="28"/>
      <c r="I74" s="13"/>
      <c r="J74" s="28"/>
      <c r="K74" s="13"/>
      <c r="L74" s="28"/>
      <c r="M74" s="13"/>
      <c r="N74" s="28"/>
      <c r="O74" s="13"/>
      <c r="P74" s="28"/>
      <c r="Q74" s="20"/>
      <c r="R74" s="28"/>
      <c r="S74" s="20"/>
      <c r="T74" s="28"/>
      <c r="U74" s="13"/>
      <c r="V74" s="28"/>
      <c r="W74" s="13"/>
      <c r="X74" s="28"/>
      <c r="Y74" s="13"/>
      <c r="Z74" s="28"/>
      <c r="AA74" s="13"/>
      <c r="AB74" s="28"/>
      <c r="AC74" s="13"/>
      <c r="AD74" s="28"/>
      <c r="AE74" s="13"/>
      <c r="AF74" s="28"/>
      <c r="AG74" s="13"/>
      <c r="AH74" s="28"/>
      <c r="AI74" s="13"/>
      <c r="AJ74" s="28"/>
      <c r="AK74" s="13"/>
      <c r="AL74" s="28"/>
      <c r="AM74" s="13"/>
      <c r="AN74" s="28"/>
      <c r="AO74" s="13"/>
      <c r="AP74" s="28"/>
      <c r="AQ74" s="13"/>
      <c r="AR74" s="28"/>
      <c r="AS74" s="19">
        <f>SUM(H74,J74,L74,N74,P74,R74,T74,V74,X74,Z74,AB74,AD74,AF74,AH74,AJ74,AL74,AN74)</f>
        <v>0</v>
      </c>
      <c r="AT74" s="29" t="str">
        <f>IF(C74="","",DATE(YEAR(C74),MONTH(C74),1))</f>
        <v/>
      </c>
      <c r="AU74" s="28" t="str">
        <f>IF(AT74="","",TEXT(AT74,"mmmm yyyy"))</f>
        <v/>
      </c>
      <c r="AV74" s="29" t="str">
        <f>IF(C74="","",C74-WEEKDAY(C74,2)+1)</f>
        <v/>
      </c>
      <c r="AW74" s="29" t="str">
        <f>IF(AV74="","",AV74+6)</f>
        <v/>
      </c>
      <c r="AX74" s="28" t="str">
        <f>IF(AV74="","",TEXT(AV74,"dd/mm/yyyy")&amp;" - "&amp;TEXT(AW74,"dd/mm/yyyy"))</f>
        <v/>
      </c>
      <c r="AY74" s="28" t="str">
        <f>IF(B74="","",COUNTIFS($B$5:B74,B74,$AT$5:AT74,AT74))</f>
        <v/>
      </c>
      <c r="AZ74" s="28" t="str">
        <f>IF(B74="","",COUNTIFS($B$5:B74,B74,$AV$5:AV74,AV74))</f>
        <v/>
      </c>
      <c r="BA74" s="28" t="str">
        <f>IF(B74="","",TEXT(AY74,"00")&amp;"|"&amp;B74&amp;"|"&amp;TEXT(AT74,"yyyymmdd"))</f>
        <v/>
      </c>
      <c r="BB74" s="28" t="str">
        <f>IF(B74="","",TEXT(AZ74,"00")&amp;"|"&amp;B74&amp;"|"&amp;TEXT(AV74,"yyyymmdd"))</f>
        <v/>
      </c>
      <c r="BC74" s="28">
        <f>IF(OR(AQ74="YES",AQ74="Yes",AQ74="Y",AQ74=1),1,0)</f>
        <v>0</v>
      </c>
    </row>
    <row r="75" spans="1:55" ht="15" customHeight="1">
      <c r="A75" s="27"/>
      <c r="B75" s="28"/>
      <c r="C75" s="29"/>
      <c r="D75" s="30"/>
      <c r="E75" s="30"/>
      <c r="F75" s="28"/>
      <c r="G75" s="28"/>
      <c r="H75" s="28"/>
      <c r="I75" s="13"/>
      <c r="J75" s="28"/>
      <c r="K75" s="13"/>
      <c r="L75" s="28"/>
      <c r="M75" s="13"/>
      <c r="N75" s="28"/>
      <c r="O75" s="13"/>
      <c r="P75" s="28"/>
      <c r="Q75" s="20"/>
      <c r="R75" s="28"/>
      <c r="S75" s="20"/>
      <c r="T75" s="28"/>
      <c r="U75" s="13"/>
      <c r="V75" s="28"/>
      <c r="W75" s="13"/>
      <c r="X75" s="28"/>
      <c r="Y75" s="13"/>
      <c r="Z75" s="28"/>
      <c r="AA75" s="13"/>
      <c r="AB75" s="28"/>
      <c r="AC75" s="13"/>
      <c r="AD75" s="28"/>
      <c r="AE75" s="13"/>
      <c r="AF75" s="28"/>
      <c r="AG75" s="13"/>
      <c r="AH75" s="28"/>
      <c r="AI75" s="13"/>
      <c r="AJ75" s="28"/>
      <c r="AK75" s="13"/>
      <c r="AL75" s="28"/>
      <c r="AM75" s="13"/>
      <c r="AN75" s="28"/>
      <c r="AO75" s="13"/>
      <c r="AP75" s="28"/>
      <c r="AQ75" s="13"/>
      <c r="AR75" s="28"/>
      <c r="AS75" s="19">
        <f>SUM(H75,J75,L75,N75,P75,R75,T75,V75,X75,Z75,AB75,AD75,AF75,AH75,AJ75,AL75,AN75)</f>
        <v>0</v>
      </c>
      <c r="AT75" s="29" t="str">
        <f>IF(C75="","",DATE(YEAR(C75),MONTH(C75),1))</f>
        <v/>
      </c>
      <c r="AU75" s="28" t="str">
        <f>IF(AT75="","",TEXT(AT75,"mmmm yyyy"))</f>
        <v/>
      </c>
      <c r="AV75" s="29" t="str">
        <f>IF(C75="","",C75-WEEKDAY(C75,2)+1)</f>
        <v/>
      </c>
      <c r="AW75" s="29" t="str">
        <f>IF(AV75="","",AV75+6)</f>
        <v/>
      </c>
      <c r="AX75" s="28" t="str">
        <f>IF(AV75="","",TEXT(AV75,"dd/mm/yyyy")&amp;" - "&amp;TEXT(AW75,"dd/mm/yyyy"))</f>
        <v/>
      </c>
      <c r="AY75" s="28" t="str">
        <f>IF(B75="","",COUNTIFS($B$5:B75,B75,$AT$5:AT75,AT75))</f>
        <v/>
      </c>
      <c r="AZ75" s="28" t="str">
        <f>IF(B75="","",COUNTIFS($B$5:B75,B75,$AV$5:AV75,AV75))</f>
        <v/>
      </c>
      <c r="BA75" s="28" t="str">
        <f>IF(B75="","",TEXT(AY75,"00")&amp;"|"&amp;B75&amp;"|"&amp;TEXT(AT75,"yyyymmdd"))</f>
        <v/>
      </c>
      <c r="BB75" s="28" t="str">
        <f>IF(B75="","",TEXT(AZ75,"00")&amp;"|"&amp;B75&amp;"|"&amp;TEXT(AV75,"yyyymmdd"))</f>
        <v/>
      </c>
      <c r="BC75" s="28">
        <f>IF(OR(AQ75="YES",AQ75="Yes",AQ75="Y",AQ75=1),1,0)</f>
        <v>0</v>
      </c>
    </row>
    <row r="76" spans="1:55" ht="15" customHeight="1">
      <c r="A76" s="27"/>
      <c r="B76" s="28"/>
      <c r="C76" s="29"/>
      <c r="D76" s="30"/>
      <c r="E76" s="30"/>
      <c r="F76" s="28"/>
      <c r="G76" s="28"/>
      <c r="H76" s="28"/>
      <c r="I76" s="13"/>
      <c r="J76" s="28"/>
      <c r="K76" s="13"/>
      <c r="L76" s="28"/>
      <c r="M76" s="13"/>
      <c r="N76" s="28"/>
      <c r="O76" s="13"/>
      <c r="P76" s="28"/>
      <c r="Q76" s="20"/>
      <c r="R76" s="28"/>
      <c r="S76" s="20"/>
      <c r="T76" s="28"/>
      <c r="U76" s="13"/>
      <c r="V76" s="28"/>
      <c r="W76" s="13"/>
      <c r="X76" s="28"/>
      <c r="Y76" s="13"/>
      <c r="Z76" s="28"/>
      <c r="AA76" s="13"/>
      <c r="AB76" s="28"/>
      <c r="AC76" s="13"/>
      <c r="AD76" s="28"/>
      <c r="AE76" s="13"/>
      <c r="AF76" s="28"/>
      <c r="AG76" s="13"/>
      <c r="AH76" s="28"/>
      <c r="AI76" s="13"/>
      <c r="AJ76" s="28"/>
      <c r="AK76" s="13"/>
      <c r="AL76" s="28"/>
      <c r="AM76" s="13"/>
      <c r="AN76" s="28"/>
      <c r="AO76" s="13"/>
      <c r="AP76" s="28"/>
      <c r="AQ76" s="13"/>
      <c r="AR76" s="28"/>
      <c r="AS76" s="19">
        <f>SUM(H76,J76,L76,N76,P76,R76,T76,V76,X76,Z76,AB76,AD76,AF76,AH76,AJ76,AL76,AN76)</f>
        <v>0</v>
      </c>
      <c r="AT76" s="29" t="str">
        <f>IF(C76="","",DATE(YEAR(C76),MONTH(C76),1))</f>
        <v/>
      </c>
      <c r="AU76" s="28" t="str">
        <f>IF(AT76="","",TEXT(AT76,"mmmm yyyy"))</f>
        <v/>
      </c>
      <c r="AV76" s="29" t="str">
        <f>IF(C76="","",C76-WEEKDAY(C76,2)+1)</f>
        <v/>
      </c>
      <c r="AW76" s="29" t="str">
        <f>IF(AV76="","",AV76+6)</f>
        <v/>
      </c>
      <c r="AX76" s="28" t="str">
        <f>IF(AV76="","",TEXT(AV76,"dd/mm/yyyy")&amp;" - "&amp;TEXT(AW76,"dd/mm/yyyy"))</f>
        <v/>
      </c>
      <c r="AY76" s="28" t="str">
        <f>IF(B76="","",COUNTIFS($B$5:B76,B76,$AT$5:AT76,AT76))</f>
        <v/>
      </c>
      <c r="AZ76" s="28" t="str">
        <f>IF(B76="","",COUNTIFS($B$5:B76,B76,$AV$5:AV76,AV76))</f>
        <v/>
      </c>
      <c r="BA76" s="28" t="str">
        <f>IF(B76="","",TEXT(AY76,"00")&amp;"|"&amp;B76&amp;"|"&amp;TEXT(AT76,"yyyymmdd"))</f>
        <v/>
      </c>
      <c r="BB76" s="28" t="str">
        <f>IF(B76="","",TEXT(AZ76,"00")&amp;"|"&amp;B76&amp;"|"&amp;TEXT(AV76,"yyyymmdd"))</f>
        <v/>
      </c>
      <c r="BC76" s="28">
        <f>IF(OR(AQ76="YES",AQ76="Yes",AQ76="Y",AQ76=1),1,0)</f>
        <v>0</v>
      </c>
    </row>
    <row r="77" spans="1:55" ht="15" customHeight="1">
      <c r="A77" s="27"/>
      <c r="B77" s="28"/>
      <c r="C77" s="29"/>
      <c r="D77" s="30"/>
      <c r="E77" s="30"/>
      <c r="F77" s="28"/>
      <c r="G77" s="28"/>
      <c r="H77" s="28"/>
      <c r="I77" s="13"/>
      <c r="J77" s="28"/>
      <c r="K77" s="13"/>
      <c r="L77" s="28"/>
      <c r="M77" s="13"/>
      <c r="N77" s="28"/>
      <c r="O77" s="13"/>
      <c r="P77" s="28"/>
      <c r="Q77" s="20"/>
      <c r="R77" s="28"/>
      <c r="S77" s="20"/>
      <c r="T77" s="28"/>
      <c r="U77" s="13"/>
      <c r="V77" s="28"/>
      <c r="W77" s="13"/>
      <c r="X77" s="28"/>
      <c r="Y77" s="13"/>
      <c r="Z77" s="28"/>
      <c r="AA77" s="13"/>
      <c r="AB77" s="28"/>
      <c r="AC77" s="13"/>
      <c r="AD77" s="28"/>
      <c r="AE77" s="13"/>
      <c r="AF77" s="28"/>
      <c r="AG77" s="13"/>
      <c r="AH77" s="28"/>
      <c r="AI77" s="13"/>
      <c r="AJ77" s="28"/>
      <c r="AK77" s="13"/>
      <c r="AL77" s="28"/>
      <c r="AM77" s="13"/>
      <c r="AN77" s="28"/>
      <c r="AO77" s="13"/>
      <c r="AP77" s="28"/>
      <c r="AQ77" s="13"/>
      <c r="AR77" s="28"/>
      <c r="AS77" s="19">
        <f>SUM(H77,J77,L77,N77,P77,R77,T77,V77,X77,Z77,AB77,AD77,AF77,AH77,AJ77,AL77,AN77)</f>
        <v>0</v>
      </c>
      <c r="AT77" s="29" t="str">
        <f>IF(C77="","",DATE(YEAR(C77),MONTH(C77),1))</f>
        <v/>
      </c>
      <c r="AU77" s="28" t="str">
        <f>IF(AT77="","",TEXT(AT77,"mmmm yyyy"))</f>
        <v/>
      </c>
      <c r="AV77" s="29" t="str">
        <f>IF(C77="","",C77-WEEKDAY(C77,2)+1)</f>
        <v/>
      </c>
      <c r="AW77" s="29" t="str">
        <f>IF(AV77="","",AV77+6)</f>
        <v/>
      </c>
      <c r="AX77" s="28" t="str">
        <f>IF(AV77="","",TEXT(AV77,"dd/mm/yyyy")&amp;" - "&amp;TEXT(AW77,"dd/mm/yyyy"))</f>
        <v/>
      </c>
      <c r="AY77" s="28" t="str">
        <f>IF(B77="","",COUNTIFS($B$5:B77,B77,$AT$5:AT77,AT77))</f>
        <v/>
      </c>
      <c r="AZ77" s="28" t="str">
        <f>IF(B77="","",COUNTIFS($B$5:B77,B77,$AV$5:AV77,AV77))</f>
        <v/>
      </c>
      <c r="BA77" s="28" t="str">
        <f>IF(B77="","",TEXT(AY77,"00")&amp;"|"&amp;B77&amp;"|"&amp;TEXT(AT77,"yyyymmdd"))</f>
        <v/>
      </c>
      <c r="BB77" s="28" t="str">
        <f>IF(B77="","",TEXT(AZ77,"00")&amp;"|"&amp;B77&amp;"|"&amp;TEXT(AV77,"yyyymmdd"))</f>
        <v/>
      </c>
      <c r="BC77" s="28">
        <f>IF(OR(AQ77="YES",AQ77="Yes",AQ77="Y",AQ77=1),1,0)</f>
        <v>0</v>
      </c>
    </row>
    <row r="78" spans="1:55" ht="15" customHeight="1">
      <c r="A78" s="27"/>
      <c r="B78" s="28"/>
      <c r="C78" s="29"/>
      <c r="D78" s="30"/>
      <c r="E78" s="30"/>
      <c r="F78" s="28"/>
      <c r="G78" s="28"/>
      <c r="H78" s="28"/>
      <c r="I78" s="13"/>
      <c r="J78" s="28"/>
      <c r="K78" s="13"/>
      <c r="L78" s="28"/>
      <c r="M78" s="13"/>
      <c r="N78" s="28"/>
      <c r="O78" s="13"/>
      <c r="P78" s="28"/>
      <c r="Q78" s="20"/>
      <c r="R78" s="28"/>
      <c r="S78" s="20"/>
      <c r="T78" s="28"/>
      <c r="U78" s="13"/>
      <c r="V78" s="28"/>
      <c r="W78" s="13"/>
      <c r="X78" s="28"/>
      <c r="Y78" s="13"/>
      <c r="Z78" s="28"/>
      <c r="AA78" s="13"/>
      <c r="AB78" s="28"/>
      <c r="AC78" s="13"/>
      <c r="AD78" s="28"/>
      <c r="AE78" s="13"/>
      <c r="AF78" s="28"/>
      <c r="AG78" s="13"/>
      <c r="AH78" s="28"/>
      <c r="AI78" s="13"/>
      <c r="AJ78" s="28"/>
      <c r="AK78" s="13"/>
      <c r="AL78" s="28"/>
      <c r="AM78" s="13"/>
      <c r="AN78" s="28"/>
      <c r="AO78" s="13"/>
      <c r="AP78" s="28"/>
      <c r="AQ78" s="13"/>
      <c r="AR78" s="28"/>
      <c r="AS78" s="19">
        <f>SUM(H78,J78,L78,N78,P78,R78,T78,V78,X78,Z78,AB78,AD78,AF78,AH78,AJ78,AL78,AN78)</f>
        <v>0</v>
      </c>
      <c r="AT78" s="29" t="str">
        <f>IF(C78="","",DATE(YEAR(C78),MONTH(C78),1))</f>
        <v/>
      </c>
      <c r="AU78" s="28" t="str">
        <f>IF(AT78="","",TEXT(AT78,"mmmm yyyy"))</f>
        <v/>
      </c>
      <c r="AV78" s="29" t="str">
        <f>IF(C78="","",C78-WEEKDAY(C78,2)+1)</f>
        <v/>
      </c>
      <c r="AW78" s="29" t="str">
        <f>IF(AV78="","",AV78+6)</f>
        <v/>
      </c>
      <c r="AX78" s="28" t="str">
        <f>IF(AV78="","",TEXT(AV78,"dd/mm/yyyy")&amp;" - "&amp;TEXT(AW78,"dd/mm/yyyy"))</f>
        <v/>
      </c>
      <c r="AY78" s="28" t="str">
        <f>IF(B78="","",COUNTIFS($B$5:B78,B78,$AT$5:AT78,AT78))</f>
        <v/>
      </c>
      <c r="AZ78" s="28" t="str">
        <f>IF(B78="","",COUNTIFS($B$5:B78,B78,$AV$5:AV78,AV78))</f>
        <v/>
      </c>
      <c r="BA78" s="28" t="str">
        <f>IF(B78="","",TEXT(AY78,"00")&amp;"|"&amp;B78&amp;"|"&amp;TEXT(AT78,"yyyymmdd"))</f>
        <v/>
      </c>
      <c r="BB78" s="28" t="str">
        <f>IF(B78="","",TEXT(AZ78,"00")&amp;"|"&amp;B78&amp;"|"&amp;TEXT(AV78,"yyyymmdd"))</f>
        <v/>
      </c>
      <c r="BC78" s="28">
        <f>IF(OR(AQ78="YES",AQ78="Yes",AQ78="Y",AQ78=1),1,0)</f>
        <v>0</v>
      </c>
    </row>
    <row r="79" spans="1:55" ht="15" customHeight="1">
      <c r="A79" s="27"/>
      <c r="B79" s="28"/>
      <c r="C79" s="29"/>
      <c r="D79" s="30"/>
      <c r="E79" s="30"/>
      <c r="F79" s="28"/>
      <c r="G79" s="28"/>
      <c r="H79" s="28"/>
      <c r="I79" s="13"/>
      <c r="J79" s="28"/>
      <c r="K79" s="13"/>
      <c r="L79" s="28"/>
      <c r="M79" s="13"/>
      <c r="N79" s="28"/>
      <c r="O79" s="13"/>
      <c r="P79" s="28"/>
      <c r="Q79" s="20"/>
      <c r="R79" s="28"/>
      <c r="S79" s="20"/>
      <c r="T79" s="28"/>
      <c r="U79" s="13"/>
      <c r="V79" s="28"/>
      <c r="W79" s="13"/>
      <c r="X79" s="28"/>
      <c r="Y79" s="13"/>
      <c r="Z79" s="28"/>
      <c r="AA79" s="13"/>
      <c r="AB79" s="28"/>
      <c r="AC79" s="13"/>
      <c r="AD79" s="28"/>
      <c r="AE79" s="13"/>
      <c r="AF79" s="28"/>
      <c r="AG79" s="13"/>
      <c r="AH79" s="28"/>
      <c r="AI79" s="13"/>
      <c r="AJ79" s="28"/>
      <c r="AK79" s="13"/>
      <c r="AL79" s="28"/>
      <c r="AM79" s="13"/>
      <c r="AN79" s="28"/>
      <c r="AO79" s="13"/>
      <c r="AP79" s="28"/>
      <c r="AQ79" s="13"/>
      <c r="AR79" s="28"/>
      <c r="AS79" s="19">
        <f>SUM(H79,J79,L79,N79,P79,R79,T79,V79,X79,Z79,AB79,AD79,AF79,AH79,AJ79,AL79,AN79)</f>
        <v>0</v>
      </c>
      <c r="AT79" s="29" t="str">
        <f>IF(C79="","",DATE(YEAR(C79),MONTH(C79),1))</f>
        <v/>
      </c>
      <c r="AU79" s="28" t="str">
        <f>IF(AT79="","",TEXT(AT79,"mmmm yyyy"))</f>
        <v/>
      </c>
      <c r="AV79" s="29" t="str">
        <f>IF(C79="","",C79-WEEKDAY(C79,2)+1)</f>
        <v/>
      </c>
      <c r="AW79" s="29" t="str">
        <f>IF(AV79="","",AV79+6)</f>
        <v/>
      </c>
      <c r="AX79" s="28" t="str">
        <f>IF(AV79="","",TEXT(AV79,"dd/mm/yyyy")&amp;" - "&amp;TEXT(AW79,"dd/mm/yyyy"))</f>
        <v/>
      </c>
      <c r="AY79" s="28" t="str">
        <f>IF(B79="","",COUNTIFS($B$5:B79,B79,$AT$5:AT79,AT79))</f>
        <v/>
      </c>
      <c r="AZ79" s="28" t="str">
        <f>IF(B79="","",COUNTIFS($B$5:B79,B79,$AV$5:AV79,AV79))</f>
        <v/>
      </c>
      <c r="BA79" s="28" t="str">
        <f>IF(B79="","",TEXT(AY79,"00")&amp;"|"&amp;B79&amp;"|"&amp;TEXT(AT79,"yyyymmdd"))</f>
        <v/>
      </c>
      <c r="BB79" s="28" t="str">
        <f>IF(B79="","",TEXT(AZ79,"00")&amp;"|"&amp;B79&amp;"|"&amp;TEXT(AV79,"yyyymmdd"))</f>
        <v/>
      </c>
      <c r="BC79" s="28">
        <f>IF(OR(AQ79="YES",AQ79="Yes",AQ79="Y",AQ79=1),1,0)</f>
        <v>0</v>
      </c>
    </row>
    <row r="80" spans="1:55" ht="15" customHeight="1">
      <c r="A80" s="27"/>
      <c r="B80" s="28"/>
      <c r="C80" s="29"/>
      <c r="D80" s="30"/>
      <c r="E80" s="30"/>
      <c r="F80" s="28"/>
      <c r="G80" s="28"/>
      <c r="H80" s="28"/>
      <c r="I80" s="13"/>
      <c r="J80" s="28"/>
      <c r="K80" s="13"/>
      <c r="L80" s="28"/>
      <c r="M80" s="13"/>
      <c r="N80" s="28"/>
      <c r="O80" s="13"/>
      <c r="P80" s="28"/>
      <c r="Q80" s="20"/>
      <c r="R80" s="28"/>
      <c r="S80" s="20"/>
      <c r="T80" s="28"/>
      <c r="U80" s="13"/>
      <c r="V80" s="28"/>
      <c r="W80" s="13"/>
      <c r="X80" s="28"/>
      <c r="Y80" s="13"/>
      <c r="Z80" s="28"/>
      <c r="AA80" s="13"/>
      <c r="AB80" s="28"/>
      <c r="AC80" s="13"/>
      <c r="AD80" s="28"/>
      <c r="AE80" s="13"/>
      <c r="AF80" s="28"/>
      <c r="AG80" s="13"/>
      <c r="AH80" s="28"/>
      <c r="AI80" s="13"/>
      <c r="AJ80" s="28"/>
      <c r="AK80" s="13"/>
      <c r="AL80" s="28"/>
      <c r="AM80" s="13"/>
      <c r="AN80" s="28"/>
      <c r="AO80" s="13"/>
      <c r="AP80" s="28"/>
      <c r="AQ80" s="13"/>
      <c r="AR80" s="28"/>
      <c r="AS80" s="19">
        <f>SUM(H80,J80,L80,N80,P80,R80,T80,V80,X80,Z80,AB80,AD80,AF80,AH80,AJ80,AL80,AN80)</f>
        <v>0</v>
      </c>
      <c r="AT80" s="29" t="str">
        <f>IF(C80="","",DATE(YEAR(C80),MONTH(C80),1))</f>
        <v/>
      </c>
      <c r="AU80" s="28" t="str">
        <f>IF(AT80="","",TEXT(AT80,"mmmm yyyy"))</f>
        <v/>
      </c>
      <c r="AV80" s="29" t="str">
        <f>IF(C80="","",C80-WEEKDAY(C80,2)+1)</f>
        <v/>
      </c>
      <c r="AW80" s="29" t="str">
        <f>IF(AV80="","",AV80+6)</f>
        <v/>
      </c>
      <c r="AX80" s="28" t="str">
        <f>IF(AV80="","",TEXT(AV80,"dd/mm/yyyy")&amp;" - "&amp;TEXT(AW80,"dd/mm/yyyy"))</f>
        <v/>
      </c>
      <c r="AY80" s="28" t="str">
        <f>IF(B80="","",COUNTIFS($B$5:B80,B80,$AT$5:AT80,AT80))</f>
        <v/>
      </c>
      <c r="AZ80" s="28" t="str">
        <f>IF(B80="","",COUNTIFS($B$5:B80,B80,$AV$5:AV80,AV80))</f>
        <v/>
      </c>
      <c r="BA80" s="28" t="str">
        <f>IF(B80="","",TEXT(AY80,"00")&amp;"|"&amp;B80&amp;"|"&amp;TEXT(AT80,"yyyymmdd"))</f>
        <v/>
      </c>
      <c r="BB80" s="28" t="str">
        <f>IF(B80="","",TEXT(AZ80,"00")&amp;"|"&amp;B80&amp;"|"&amp;TEXT(AV80,"yyyymmdd"))</f>
        <v/>
      </c>
      <c r="BC80" s="28">
        <f>IF(OR(AQ80="YES",AQ80="Yes",AQ80="Y",AQ80=1),1,0)</f>
        <v>0</v>
      </c>
    </row>
    <row r="81" spans="1:55" ht="15" customHeight="1">
      <c r="A81" s="27"/>
      <c r="B81" s="28"/>
      <c r="C81" s="29"/>
      <c r="D81" s="30"/>
      <c r="E81" s="30"/>
      <c r="F81" s="28"/>
      <c r="G81" s="28"/>
      <c r="H81" s="28"/>
      <c r="I81" s="13"/>
      <c r="J81" s="28"/>
      <c r="K81" s="13"/>
      <c r="L81" s="28"/>
      <c r="M81" s="13"/>
      <c r="N81" s="28"/>
      <c r="O81" s="13"/>
      <c r="P81" s="28"/>
      <c r="Q81" s="20"/>
      <c r="R81" s="28"/>
      <c r="S81" s="20"/>
      <c r="T81" s="28"/>
      <c r="U81" s="13"/>
      <c r="V81" s="28"/>
      <c r="W81" s="13"/>
      <c r="X81" s="28"/>
      <c r="Y81" s="13"/>
      <c r="Z81" s="28"/>
      <c r="AA81" s="13"/>
      <c r="AB81" s="28"/>
      <c r="AC81" s="13"/>
      <c r="AD81" s="28"/>
      <c r="AE81" s="13"/>
      <c r="AF81" s="28"/>
      <c r="AG81" s="13"/>
      <c r="AH81" s="28"/>
      <c r="AI81" s="13"/>
      <c r="AJ81" s="28"/>
      <c r="AK81" s="13"/>
      <c r="AL81" s="28"/>
      <c r="AM81" s="13"/>
      <c r="AN81" s="28"/>
      <c r="AO81" s="13"/>
      <c r="AP81" s="28"/>
      <c r="AQ81" s="13"/>
      <c r="AR81" s="28"/>
      <c r="AS81" s="19">
        <f>SUM(H81,J81,L81,N81,P81,R81,T81,V81,X81,Z81,AB81,AD81,AF81,AH81,AJ81,AL81,AN81)</f>
        <v>0</v>
      </c>
      <c r="AT81" s="29" t="str">
        <f>IF(C81="","",DATE(YEAR(C81),MONTH(C81),1))</f>
        <v/>
      </c>
      <c r="AU81" s="28" t="str">
        <f>IF(AT81="","",TEXT(AT81,"mmmm yyyy"))</f>
        <v/>
      </c>
      <c r="AV81" s="29" t="str">
        <f>IF(C81="","",C81-WEEKDAY(C81,2)+1)</f>
        <v/>
      </c>
      <c r="AW81" s="29" t="str">
        <f>IF(AV81="","",AV81+6)</f>
        <v/>
      </c>
      <c r="AX81" s="28" t="str">
        <f>IF(AV81="","",TEXT(AV81,"dd/mm/yyyy")&amp;" - "&amp;TEXT(AW81,"dd/mm/yyyy"))</f>
        <v/>
      </c>
      <c r="AY81" s="28" t="str">
        <f>IF(B81="","",COUNTIFS($B$5:B81,B81,$AT$5:AT81,AT81))</f>
        <v/>
      </c>
      <c r="AZ81" s="28" t="str">
        <f>IF(B81="","",COUNTIFS($B$5:B81,B81,$AV$5:AV81,AV81))</f>
        <v/>
      </c>
      <c r="BA81" s="28" t="str">
        <f>IF(B81="","",TEXT(AY81,"00")&amp;"|"&amp;B81&amp;"|"&amp;TEXT(AT81,"yyyymmdd"))</f>
        <v/>
      </c>
      <c r="BB81" s="28" t="str">
        <f>IF(B81="","",TEXT(AZ81,"00")&amp;"|"&amp;B81&amp;"|"&amp;TEXT(AV81,"yyyymmdd"))</f>
        <v/>
      </c>
      <c r="BC81" s="28">
        <f>IF(OR(AQ81="YES",AQ81="Yes",AQ81="Y",AQ81=1),1,0)</f>
        <v>0</v>
      </c>
    </row>
    <row r="82" spans="1:55" ht="15" customHeight="1">
      <c r="A82" s="27"/>
      <c r="B82" s="28"/>
      <c r="C82" s="29"/>
      <c r="D82" s="30"/>
      <c r="E82" s="30"/>
      <c r="F82" s="28"/>
      <c r="G82" s="28"/>
      <c r="H82" s="28"/>
      <c r="I82" s="13"/>
      <c r="J82" s="28"/>
      <c r="K82" s="13"/>
      <c r="L82" s="28"/>
      <c r="M82" s="13"/>
      <c r="N82" s="28"/>
      <c r="O82" s="13"/>
      <c r="P82" s="28"/>
      <c r="Q82" s="20"/>
      <c r="R82" s="28"/>
      <c r="S82" s="20"/>
      <c r="T82" s="28"/>
      <c r="U82" s="13"/>
      <c r="V82" s="28"/>
      <c r="W82" s="13"/>
      <c r="X82" s="28"/>
      <c r="Y82" s="13"/>
      <c r="Z82" s="28"/>
      <c r="AA82" s="13"/>
      <c r="AB82" s="28"/>
      <c r="AC82" s="13"/>
      <c r="AD82" s="28"/>
      <c r="AE82" s="13"/>
      <c r="AF82" s="28"/>
      <c r="AG82" s="13"/>
      <c r="AH82" s="28"/>
      <c r="AI82" s="13"/>
      <c r="AJ82" s="28"/>
      <c r="AK82" s="13"/>
      <c r="AL82" s="28"/>
      <c r="AM82" s="13"/>
      <c r="AN82" s="28"/>
      <c r="AO82" s="13"/>
      <c r="AP82" s="28"/>
      <c r="AQ82" s="13"/>
      <c r="AR82" s="28"/>
      <c r="AS82" s="19">
        <f>SUM(H82,J82,L82,N82,P82,R82,T82,V82,X82,Z82,AB82,AD82,AF82,AH82,AJ82,AL82,AN82)</f>
        <v>0</v>
      </c>
      <c r="AT82" s="29" t="str">
        <f>IF(C82="","",DATE(YEAR(C82),MONTH(C82),1))</f>
        <v/>
      </c>
      <c r="AU82" s="28" t="str">
        <f>IF(AT82="","",TEXT(AT82,"mmmm yyyy"))</f>
        <v/>
      </c>
      <c r="AV82" s="29" t="str">
        <f>IF(C82="","",C82-WEEKDAY(C82,2)+1)</f>
        <v/>
      </c>
      <c r="AW82" s="29" t="str">
        <f>IF(AV82="","",AV82+6)</f>
        <v/>
      </c>
      <c r="AX82" s="28" t="str">
        <f>IF(AV82="","",TEXT(AV82,"dd/mm/yyyy")&amp;" - "&amp;TEXT(AW82,"dd/mm/yyyy"))</f>
        <v/>
      </c>
      <c r="AY82" s="28" t="str">
        <f>IF(B82="","",COUNTIFS($B$5:B82,B82,$AT$5:AT82,AT82))</f>
        <v/>
      </c>
      <c r="AZ82" s="28" t="str">
        <f>IF(B82="","",COUNTIFS($B$5:B82,B82,$AV$5:AV82,AV82))</f>
        <v/>
      </c>
      <c r="BA82" s="28" t="str">
        <f>IF(B82="","",TEXT(AY82,"00")&amp;"|"&amp;B82&amp;"|"&amp;TEXT(AT82,"yyyymmdd"))</f>
        <v/>
      </c>
      <c r="BB82" s="28" t="str">
        <f>IF(B82="","",TEXT(AZ82,"00")&amp;"|"&amp;B82&amp;"|"&amp;TEXT(AV82,"yyyymmdd"))</f>
        <v/>
      </c>
      <c r="BC82" s="28">
        <f>IF(OR(AQ82="YES",AQ82="Yes",AQ82="Y",AQ82=1),1,0)</f>
        <v>0</v>
      </c>
    </row>
    <row r="83" spans="1:55" ht="15" customHeight="1">
      <c r="A83" s="27"/>
      <c r="B83" s="28"/>
      <c r="C83" s="29"/>
      <c r="D83" s="30"/>
      <c r="E83" s="30"/>
      <c r="F83" s="28"/>
      <c r="G83" s="28"/>
      <c r="H83" s="28"/>
      <c r="I83" s="13"/>
      <c r="J83" s="28"/>
      <c r="K83" s="13"/>
      <c r="L83" s="28"/>
      <c r="M83" s="13"/>
      <c r="N83" s="28"/>
      <c r="O83" s="13"/>
      <c r="P83" s="28"/>
      <c r="Q83" s="20"/>
      <c r="R83" s="28"/>
      <c r="S83" s="20"/>
      <c r="T83" s="28"/>
      <c r="U83" s="13"/>
      <c r="V83" s="28"/>
      <c r="W83" s="13"/>
      <c r="X83" s="28"/>
      <c r="Y83" s="13"/>
      <c r="Z83" s="28"/>
      <c r="AA83" s="13"/>
      <c r="AB83" s="28"/>
      <c r="AC83" s="13"/>
      <c r="AD83" s="28"/>
      <c r="AE83" s="13"/>
      <c r="AF83" s="28"/>
      <c r="AG83" s="13"/>
      <c r="AH83" s="28"/>
      <c r="AI83" s="13"/>
      <c r="AJ83" s="28"/>
      <c r="AK83" s="13"/>
      <c r="AL83" s="28"/>
      <c r="AM83" s="13"/>
      <c r="AN83" s="28"/>
      <c r="AO83" s="13"/>
      <c r="AP83" s="28"/>
      <c r="AQ83" s="13"/>
      <c r="AR83" s="28"/>
      <c r="AS83" s="19">
        <f>SUM(H83,J83,L83,N83,P83,R83,T83,V83,X83,Z83,AB83,AD83,AF83,AH83,AJ83,AL83,AN83)</f>
        <v>0</v>
      </c>
      <c r="AT83" s="29" t="str">
        <f>IF(C83="","",DATE(YEAR(C83),MONTH(C83),1))</f>
        <v/>
      </c>
      <c r="AU83" s="28" t="str">
        <f>IF(AT83="","",TEXT(AT83,"mmmm yyyy"))</f>
        <v/>
      </c>
      <c r="AV83" s="29" t="str">
        <f>IF(C83="","",C83-WEEKDAY(C83,2)+1)</f>
        <v/>
      </c>
      <c r="AW83" s="29" t="str">
        <f>IF(AV83="","",AV83+6)</f>
        <v/>
      </c>
      <c r="AX83" s="28" t="str">
        <f>IF(AV83="","",TEXT(AV83,"dd/mm/yyyy")&amp;" - "&amp;TEXT(AW83,"dd/mm/yyyy"))</f>
        <v/>
      </c>
      <c r="AY83" s="28" t="str">
        <f>IF(B83="","",COUNTIFS($B$5:B83,B83,$AT$5:AT83,AT83))</f>
        <v/>
      </c>
      <c r="AZ83" s="28" t="str">
        <f>IF(B83="","",COUNTIFS($B$5:B83,B83,$AV$5:AV83,AV83))</f>
        <v/>
      </c>
      <c r="BA83" s="28" t="str">
        <f>IF(B83="","",TEXT(AY83,"00")&amp;"|"&amp;B83&amp;"|"&amp;TEXT(AT83,"yyyymmdd"))</f>
        <v/>
      </c>
      <c r="BB83" s="28" t="str">
        <f>IF(B83="","",TEXT(AZ83,"00")&amp;"|"&amp;B83&amp;"|"&amp;TEXT(AV83,"yyyymmdd"))</f>
        <v/>
      </c>
      <c r="BC83" s="28">
        <f>IF(OR(AQ83="YES",AQ83="Yes",AQ83="Y",AQ83=1),1,0)</f>
        <v>0</v>
      </c>
    </row>
    <row r="84" spans="1:55" ht="15" customHeight="1">
      <c r="A84" s="27"/>
      <c r="B84" s="28"/>
      <c r="C84" s="29"/>
      <c r="D84" s="30"/>
      <c r="E84" s="30"/>
      <c r="F84" s="28"/>
      <c r="G84" s="28"/>
      <c r="H84" s="28"/>
      <c r="I84" s="13"/>
      <c r="J84" s="28"/>
      <c r="K84" s="13"/>
      <c r="L84" s="28"/>
      <c r="M84" s="13"/>
      <c r="N84" s="28"/>
      <c r="O84" s="13"/>
      <c r="P84" s="28"/>
      <c r="Q84" s="20"/>
      <c r="R84" s="28"/>
      <c r="S84" s="20"/>
      <c r="T84" s="28"/>
      <c r="U84" s="13"/>
      <c r="V84" s="28"/>
      <c r="W84" s="13"/>
      <c r="X84" s="28"/>
      <c r="Y84" s="13"/>
      <c r="Z84" s="28"/>
      <c r="AA84" s="13"/>
      <c r="AB84" s="28"/>
      <c r="AC84" s="13"/>
      <c r="AD84" s="28"/>
      <c r="AE84" s="13"/>
      <c r="AF84" s="28"/>
      <c r="AG84" s="13"/>
      <c r="AH84" s="28"/>
      <c r="AI84" s="13"/>
      <c r="AJ84" s="28"/>
      <c r="AK84" s="13"/>
      <c r="AL84" s="28"/>
      <c r="AM84" s="13"/>
      <c r="AN84" s="28"/>
      <c r="AO84" s="13"/>
      <c r="AP84" s="28"/>
      <c r="AQ84" s="13"/>
      <c r="AR84" s="28"/>
      <c r="AS84" s="19">
        <f>SUM(H84,J84,L84,N84,P84,R84,T84,V84,X84,Z84,AB84,AD84,AF84,AH84,AJ84,AL84,AN84)</f>
        <v>0</v>
      </c>
      <c r="AT84" s="29" t="str">
        <f>IF(C84="","",DATE(YEAR(C84),MONTH(C84),1))</f>
        <v/>
      </c>
      <c r="AU84" s="28" t="str">
        <f>IF(AT84="","",TEXT(AT84,"mmmm yyyy"))</f>
        <v/>
      </c>
      <c r="AV84" s="29" t="str">
        <f>IF(C84="","",C84-WEEKDAY(C84,2)+1)</f>
        <v/>
      </c>
      <c r="AW84" s="29" t="str">
        <f>IF(AV84="","",AV84+6)</f>
        <v/>
      </c>
      <c r="AX84" s="28" t="str">
        <f>IF(AV84="","",TEXT(AV84,"dd/mm/yyyy")&amp;" - "&amp;TEXT(AW84,"dd/mm/yyyy"))</f>
        <v/>
      </c>
      <c r="AY84" s="28" t="str">
        <f>IF(B84="","",COUNTIFS($B$5:B84,B84,$AT$5:AT84,AT84))</f>
        <v/>
      </c>
      <c r="AZ84" s="28" t="str">
        <f>IF(B84="","",COUNTIFS($B$5:B84,B84,$AV$5:AV84,AV84))</f>
        <v/>
      </c>
      <c r="BA84" s="28" t="str">
        <f>IF(B84="","",TEXT(AY84,"00")&amp;"|"&amp;B84&amp;"|"&amp;TEXT(AT84,"yyyymmdd"))</f>
        <v/>
      </c>
      <c r="BB84" s="28" t="str">
        <f>IF(B84="","",TEXT(AZ84,"00")&amp;"|"&amp;B84&amp;"|"&amp;TEXT(AV84,"yyyymmdd"))</f>
        <v/>
      </c>
      <c r="BC84" s="28">
        <f>IF(OR(AQ84="YES",AQ84="Yes",AQ84="Y",AQ84=1),1,0)</f>
        <v>0</v>
      </c>
    </row>
    <row r="85" spans="1:55" ht="15" customHeight="1">
      <c r="A85" s="27"/>
      <c r="B85" s="28"/>
      <c r="C85" s="29"/>
      <c r="D85" s="30"/>
      <c r="E85" s="30"/>
      <c r="F85" s="28"/>
      <c r="G85" s="28"/>
      <c r="H85" s="28"/>
      <c r="I85" s="13"/>
      <c r="J85" s="28"/>
      <c r="K85" s="13"/>
      <c r="L85" s="28"/>
      <c r="M85" s="13"/>
      <c r="N85" s="28"/>
      <c r="O85" s="13"/>
      <c r="P85" s="28"/>
      <c r="Q85" s="20"/>
      <c r="R85" s="28"/>
      <c r="S85" s="20"/>
      <c r="T85" s="28"/>
      <c r="U85" s="13"/>
      <c r="V85" s="28"/>
      <c r="W85" s="13"/>
      <c r="X85" s="28"/>
      <c r="Y85" s="13"/>
      <c r="Z85" s="28"/>
      <c r="AA85" s="13"/>
      <c r="AB85" s="28"/>
      <c r="AC85" s="13"/>
      <c r="AD85" s="28"/>
      <c r="AE85" s="13"/>
      <c r="AF85" s="28"/>
      <c r="AG85" s="13"/>
      <c r="AH85" s="28"/>
      <c r="AI85" s="13"/>
      <c r="AJ85" s="28"/>
      <c r="AK85" s="13"/>
      <c r="AL85" s="28"/>
      <c r="AM85" s="13"/>
      <c r="AN85" s="28"/>
      <c r="AO85" s="13"/>
      <c r="AP85" s="28"/>
      <c r="AQ85" s="13"/>
      <c r="AR85" s="28"/>
      <c r="AS85" s="19">
        <f>SUM(H85,J85,L85,N85,P85,R85,T85,V85,X85,Z85,AB85,AD85,AF85,AH85,AJ85,AL85,AN85)</f>
        <v>0</v>
      </c>
      <c r="AT85" s="29" t="str">
        <f>IF(C85="","",DATE(YEAR(C85),MONTH(C85),1))</f>
        <v/>
      </c>
      <c r="AU85" s="28" t="str">
        <f>IF(AT85="","",TEXT(AT85,"mmmm yyyy"))</f>
        <v/>
      </c>
      <c r="AV85" s="29" t="str">
        <f>IF(C85="","",C85-WEEKDAY(C85,2)+1)</f>
        <v/>
      </c>
      <c r="AW85" s="29" t="str">
        <f>IF(AV85="","",AV85+6)</f>
        <v/>
      </c>
      <c r="AX85" s="28" t="str">
        <f>IF(AV85="","",TEXT(AV85,"dd/mm/yyyy")&amp;" - "&amp;TEXT(AW85,"dd/mm/yyyy"))</f>
        <v/>
      </c>
      <c r="AY85" s="28" t="str">
        <f>IF(B85="","",COUNTIFS($B$5:B85,B85,$AT$5:AT85,AT85))</f>
        <v/>
      </c>
      <c r="AZ85" s="28" t="str">
        <f>IF(B85="","",COUNTIFS($B$5:B85,B85,$AV$5:AV85,AV85))</f>
        <v/>
      </c>
      <c r="BA85" s="28" t="str">
        <f>IF(B85="","",TEXT(AY85,"00")&amp;"|"&amp;B85&amp;"|"&amp;TEXT(AT85,"yyyymmdd"))</f>
        <v/>
      </c>
      <c r="BB85" s="28" t="str">
        <f>IF(B85="","",TEXT(AZ85,"00")&amp;"|"&amp;B85&amp;"|"&amp;TEXT(AV85,"yyyymmdd"))</f>
        <v/>
      </c>
      <c r="BC85" s="28">
        <f>IF(OR(AQ85="YES",AQ85="Yes",AQ85="Y",AQ85=1),1,0)</f>
        <v>0</v>
      </c>
    </row>
    <row r="86" spans="1:55" ht="15" customHeight="1">
      <c r="A86" s="27"/>
      <c r="B86" s="28"/>
      <c r="C86" s="29"/>
      <c r="D86" s="30"/>
      <c r="E86" s="30"/>
      <c r="F86" s="28"/>
      <c r="G86" s="28"/>
      <c r="H86" s="28"/>
      <c r="I86" s="13"/>
      <c r="J86" s="28"/>
      <c r="K86" s="13"/>
      <c r="L86" s="28"/>
      <c r="M86" s="13"/>
      <c r="N86" s="28"/>
      <c r="O86" s="13"/>
      <c r="P86" s="28"/>
      <c r="Q86" s="20"/>
      <c r="R86" s="28"/>
      <c r="S86" s="20"/>
      <c r="T86" s="28"/>
      <c r="U86" s="13"/>
      <c r="V86" s="28"/>
      <c r="W86" s="13"/>
      <c r="X86" s="28"/>
      <c r="Y86" s="13"/>
      <c r="Z86" s="28"/>
      <c r="AA86" s="13"/>
      <c r="AB86" s="28"/>
      <c r="AC86" s="13"/>
      <c r="AD86" s="28"/>
      <c r="AE86" s="13"/>
      <c r="AF86" s="28"/>
      <c r="AG86" s="13"/>
      <c r="AH86" s="28"/>
      <c r="AI86" s="13"/>
      <c r="AJ86" s="28"/>
      <c r="AK86" s="13"/>
      <c r="AL86" s="28"/>
      <c r="AM86" s="13"/>
      <c r="AN86" s="28"/>
      <c r="AO86" s="13"/>
      <c r="AP86" s="28"/>
      <c r="AQ86" s="13"/>
      <c r="AR86" s="28"/>
      <c r="AS86" s="19">
        <f>SUM(H86,J86,L86,N86,P86,R86,T86,V86,X86,Z86,AB86,AD86,AF86,AH86,AJ86,AL86,AN86)</f>
        <v>0</v>
      </c>
      <c r="AT86" s="29" t="str">
        <f>IF(C86="","",DATE(YEAR(C86),MONTH(C86),1))</f>
        <v/>
      </c>
      <c r="AU86" s="28" t="str">
        <f>IF(AT86="","",TEXT(AT86,"mmmm yyyy"))</f>
        <v/>
      </c>
      <c r="AV86" s="29" t="str">
        <f>IF(C86="","",C86-WEEKDAY(C86,2)+1)</f>
        <v/>
      </c>
      <c r="AW86" s="29" t="str">
        <f>IF(AV86="","",AV86+6)</f>
        <v/>
      </c>
      <c r="AX86" s="28" t="str">
        <f>IF(AV86="","",TEXT(AV86,"dd/mm/yyyy")&amp;" - "&amp;TEXT(AW86,"dd/mm/yyyy"))</f>
        <v/>
      </c>
      <c r="AY86" s="28" t="str">
        <f>IF(B86="","",COUNTIFS($B$5:B86,B86,$AT$5:AT86,AT86))</f>
        <v/>
      </c>
      <c r="AZ86" s="28" t="str">
        <f>IF(B86="","",COUNTIFS($B$5:B86,B86,$AV$5:AV86,AV86))</f>
        <v/>
      </c>
      <c r="BA86" s="28" t="str">
        <f>IF(B86="","",TEXT(AY86,"00")&amp;"|"&amp;B86&amp;"|"&amp;TEXT(AT86,"yyyymmdd"))</f>
        <v/>
      </c>
      <c r="BB86" s="28" t="str">
        <f>IF(B86="","",TEXT(AZ86,"00")&amp;"|"&amp;B86&amp;"|"&amp;TEXT(AV86,"yyyymmdd"))</f>
        <v/>
      </c>
      <c r="BC86" s="28">
        <f>IF(OR(AQ86="YES",AQ86="Yes",AQ86="Y",AQ86=1),1,0)</f>
        <v>0</v>
      </c>
    </row>
    <row r="87" spans="1:55" ht="15" customHeight="1">
      <c r="A87" s="27"/>
      <c r="B87" s="28"/>
      <c r="C87" s="29"/>
      <c r="D87" s="30"/>
      <c r="E87" s="30"/>
      <c r="F87" s="28"/>
      <c r="G87" s="28"/>
      <c r="H87" s="28"/>
      <c r="I87" s="13"/>
      <c r="J87" s="28"/>
      <c r="K87" s="13"/>
      <c r="L87" s="28"/>
      <c r="M87" s="13"/>
      <c r="N87" s="28"/>
      <c r="O87" s="13"/>
      <c r="P87" s="28"/>
      <c r="Q87" s="20"/>
      <c r="R87" s="28"/>
      <c r="S87" s="20"/>
      <c r="T87" s="28"/>
      <c r="U87" s="13"/>
      <c r="V87" s="28"/>
      <c r="W87" s="13"/>
      <c r="X87" s="28"/>
      <c r="Y87" s="13"/>
      <c r="Z87" s="28"/>
      <c r="AA87" s="13"/>
      <c r="AB87" s="28"/>
      <c r="AC87" s="13"/>
      <c r="AD87" s="28"/>
      <c r="AE87" s="13"/>
      <c r="AF87" s="28"/>
      <c r="AG87" s="13"/>
      <c r="AH87" s="28"/>
      <c r="AI87" s="13"/>
      <c r="AJ87" s="28"/>
      <c r="AK87" s="13"/>
      <c r="AL87" s="28"/>
      <c r="AM87" s="13"/>
      <c r="AN87" s="28"/>
      <c r="AO87" s="13"/>
      <c r="AP87" s="28"/>
      <c r="AQ87" s="13"/>
      <c r="AR87" s="28"/>
      <c r="AS87" s="19">
        <f>SUM(H87,J87,L87,N87,P87,R87,T87,V87,X87,Z87,AB87,AD87,AF87,AH87,AJ87,AL87,AN87)</f>
        <v>0</v>
      </c>
      <c r="AT87" s="29" t="str">
        <f>IF(C87="","",DATE(YEAR(C87),MONTH(C87),1))</f>
        <v/>
      </c>
      <c r="AU87" s="28" t="str">
        <f>IF(AT87="","",TEXT(AT87,"mmmm yyyy"))</f>
        <v/>
      </c>
      <c r="AV87" s="29" t="str">
        <f>IF(C87="","",C87-WEEKDAY(C87,2)+1)</f>
        <v/>
      </c>
      <c r="AW87" s="29" t="str">
        <f>IF(AV87="","",AV87+6)</f>
        <v/>
      </c>
      <c r="AX87" s="28" t="str">
        <f>IF(AV87="","",TEXT(AV87,"dd/mm/yyyy")&amp;" - "&amp;TEXT(AW87,"dd/mm/yyyy"))</f>
        <v/>
      </c>
      <c r="AY87" s="28" t="str">
        <f>IF(B87="","",COUNTIFS($B$5:B87,B87,$AT$5:AT87,AT87))</f>
        <v/>
      </c>
      <c r="AZ87" s="28" t="str">
        <f>IF(B87="","",COUNTIFS($B$5:B87,B87,$AV$5:AV87,AV87))</f>
        <v/>
      </c>
      <c r="BA87" s="28" t="str">
        <f>IF(B87="","",TEXT(AY87,"00")&amp;"|"&amp;B87&amp;"|"&amp;TEXT(AT87,"yyyymmdd"))</f>
        <v/>
      </c>
      <c r="BB87" s="28" t="str">
        <f>IF(B87="","",TEXT(AZ87,"00")&amp;"|"&amp;B87&amp;"|"&amp;TEXT(AV87,"yyyymmdd"))</f>
        <v/>
      </c>
      <c r="BC87" s="28">
        <f>IF(OR(AQ87="YES",AQ87="Yes",AQ87="Y",AQ87=1),1,0)</f>
        <v>0</v>
      </c>
    </row>
    <row r="88" spans="1:55" ht="15" customHeight="1">
      <c r="A88" s="27"/>
      <c r="B88" s="28"/>
      <c r="C88" s="29"/>
      <c r="D88" s="30"/>
      <c r="E88" s="30"/>
      <c r="F88" s="28"/>
      <c r="G88" s="28"/>
      <c r="H88" s="28"/>
      <c r="I88" s="13"/>
      <c r="J88" s="28"/>
      <c r="K88" s="13"/>
      <c r="L88" s="28"/>
      <c r="M88" s="13"/>
      <c r="N88" s="28"/>
      <c r="O88" s="13"/>
      <c r="P88" s="28"/>
      <c r="Q88" s="20"/>
      <c r="R88" s="28"/>
      <c r="S88" s="20"/>
      <c r="T88" s="28"/>
      <c r="U88" s="13"/>
      <c r="V88" s="28"/>
      <c r="W88" s="13"/>
      <c r="X88" s="28"/>
      <c r="Y88" s="13"/>
      <c r="Z88" s="28"/>
      <c r="AA88" s="13"/>
      <c r="AB88" s="28"/>
      <c r="AC88" s="13"/>
      <c r="AD88" s="28"/>
      <c r="AE88" s="13"/>
      <c r="AF88" s="28"/>
      <c r="AG88" s="13"/>
      <c r="AH88" s="28"/>
      <c r="AI88" s="13"/>
      <c r="AJ88" s="28"/>
      <c r="AK88" s="13"/>
      <c r="AL88" s="28"/>
      <c r="AM88" s="13"/>
      <c r="AN88" s="28"/>
      <c r="AO88" s="13"/>
      <c r="AP88" s="28"/>
      <c r="AQ88" s="13"/>
      <c r="AR88" s="28"/>
      <c r="AS88" s="19">
        <f>SUM(H88,J88,L88,N88,P88,R88,T88,V88,X88,Z88,AB88,AD88,AF88,AH88,AJ88,AL88,AN88)</f>
        <v>0</v>
      </c>
      <c r="AT88" s="29" t="str">
        <f>IF(C88="","",DATE(YEAR(C88),MONTH(C88),1))</f>
        <v/>
      </c>
      <c r="AU88" s="28" t="str">
        <f>IF(AT88="","",TEXT(AT88,"mmmm yyyy"))</f>
        <v/>
      </c>
      <c r="AV88" s="29" t="str">
        <f>IF(C88="","",C88-WEEKDAY(C88,2)+1)</f>
        <v/>
      </c>
      <c r="AW88" s="29" t="str">
        <f>IF(AV88="","",AV88+6)</f>
        <v/>
      </c>
      <c r="AX88" s="28" t="str">
        <f>IF(AV88="","",TEXT(AV88,"dd/mm/yyyy")&amp;" - "&amp;TEXT(AW88,"dd/mm/yyyy"))</f>
        <v/>
      </c>
      <c r="AY88" s="28" t="str">
        <f>IF(B88="","",COUNTIFS($B$5:B88,B88,$AT$5:AT88,AT88))</f>
        <v/>
      </c>
      <c r="AZ88" s="28" t="str">
        <f>IF(B88="","",COUNTIFS($B$5:B88,B88,$AV$5:AV88,AV88))</f>
        <v/>
      </c>
      <c r="BA88" s="28" t="str">
        <f>IF(B88="","",TEXT(AY88,"00")&amp;"|"&amp;B88&amp;"|"&amp;TEXT(AT88,"yyyymmdd"))</f>
        <v/>
      </c>
      <c r="BB88" s="28" t="str">
        <f>IF(B88="","",TEXT(AZ88,"00")&amp;"|"&amp;B88&amp;"|"&amp;TEXT(AV88,"yyyymmdd"))</f>
        <v/>
      </c>
      <c r="BC88" s="28">
        <f>IF(OR(AQ88="YES",AQ88="Yes",AQ88="Y",AQ88=1),1,0)</f>
        <v>0</v>
      </c>
    </row>
    <row r="89" spans="1:55" ht="15" customHeight="1">
      <c r="A89" s="27"/>
      <c r="B89" s="28"/>
      <c r="C89" s="29"/>
      <c r="D89" s="30"/>
      <c r="E89" s="30"/>
      <c r="F89" s="28"/>
      <c r="G89" s="28"/>
      <c r="H89" s="28"/>
      <c r="I89" s="13"/>
      <c r="J89" s="28"/>
      <c r="K89" s="13"/>
      <c r="L89" s="28"/>
      <c r="M89" s="13"/>
      <c r="N89" s="28"/>
      <c r="O89" s="13"/>
      <c r="P89" s="28"/>
      <c r="Q89" s="20"/>
      <c r="R89" s="28"/>
      <c r="S89" s="20"/>
      <c r="T89" s="28"/>
      <c r="U89" s="13"/>
      <c r="V89" s="28"/>
      <c r="W89" s="13"/>
      <c r="X89" s="28"/>
      <c r="Y89" s="13"/>
      <c r="Z89" s="28"/>
      <c r="AA89" s="13"/>
      <c r="AB89" s="28"/>
      <c r="AC89" s="13"/>
      <c r="AD89" s="28"/>
      <c r="AE89" s="13"/>
      <c r="AF89" s="28"/>
      <c r="AG89" s="13"/>
      <c r="AH89" s="28"/>
      <c r="AI89" s="13"/>
      <c r="AJ89" s="28"/>
      <c r="AK89" s="13"/>
      <c r="AL89" s="28"/>
      <c r="AM89" s="13"/>
      <c r="AN89" s="28"/>
      <c r="AO89" s="13"/>
      <c r="AP89" s="28"/>
      <c r="AQ89" s="13"/>
      <c r="AR89" s="28"/>
      <c r="AS89" s="19">
        <f>SUM(H89,J89,L89,N89,P89,R89,T89,V89,X89,Z89,AB89,AD89,AF89,AH89,AJ89,AL89,AN89)</f>
        <v>0</v>
      </c>
      <c r="AT89" s="29" t="str">
        <f>IF(C89="","",DATE(YEAR(C89),MONTH(C89),1))</f>
        <v/>
      </c>
      <c r="AU89" s="28" t="str">
        <f>IF(AT89="","",TEXT(AT89,"mmmm yyyy"))</f>
        <v/>
      </c>
      <c r="AV89" s="29" t="str">
        <f>IF(C89="","",C89-WEEKDAY(C89,2)+1)</f>
        <v/>
      </c>
      <c r="AW89" s="29" t="str">
        <f>IF(AV89="","",AV89+6)</f>
        <v/>
      </c>
      <c r="AX89" s="28" t="str">
        <f>IF(AV89="","",TEXT(AV89,"dd/mm/yyyy")&amp;" - "&amp;TEXT(AW89,"dd/mm/yyyy"))</f>
        <v/>
      </c>
      <c r="AY89" s="28" t="str">
        <f>IF(B89="","",COUNTIFS($B$5:B89,B89,$AT$5:AT89,AT89))</f>
        <v/>
      </c>
      <c r="AZ89" s="28" t="str">
        <f>IF(B89="","",COUNTIFS($B$5:B89,B89,$AV$5:AV89,AV89))</f>
        <v/>
      </c>
      <c r="BA89" s="28" t="str">
        <f>IF(B89="","",TEXT(AY89,"00")&amp;"|"&amp;B89&amp;"|"&amp;TEXT(AT89,"yyyymmdd"))</f>
        <v/>
      </c>
      <c r="BB89" s="28" t="str">
        <f>IF(B89="","",TEXT(AZ89,"00")&amp;"|"&amp;B89&amp;"|"&amp;TEXT(AV89,"yyyymmdd"))</f>
        <v/>
      </c>
      <c r="BC89" s="28">
        <f>IF(OR(AQ89="YES",AQ89="Yes",AQ89="Y",AQ89=1),1,0)</f>
        <v>0</v>
      </c>
    </row>
    <row r="90" spans="1:55" ht="15" customHeight="1">
      <c r="A90" s="27"/>
      <c r="B90" s="28"/>
      <c r="C90" s="29"/>
      <c r="D90" s="30"/>
      <c r="E90" s="30"/>
      <c r="F90" s="28"/>
      <c r="G90" s="28"/>
      <c r="H90" s="28"/>
      <c r="I90" s="13"/>
      <c r="J90" s="28"/>
      <c r="K90" s="13"/>
      <c r="L90" s="28"/>
      <c r="M90" s="13"/>
      <c r="N90" s="28"/>
      <c r="O90" s="13"/>
      <c r="P90" s="28"/>
      <c r="Q90" s="20"/>
      <c r="R90" s="28"/>
      <c r="S90" s="20"/>
      <c r="T90" s="28"/>
      <c r="U90" s="13"/>
      <c r="V90" s="28"/>
      <c r="W90" s="13"/>
      <c r="X90" s="28"/>
      <c r="Y90" s="13"/>
      <c r="Z90" s="28"/>
      <c r="AA90" s="13"/>
      <c r="AB90" s="28"/>
      <c r="AC90" s="13"/>
      <c r="AD90" s="28"/>
      <c r="AE90" s="13"/>
      <c r="AF90" s="28"/>
      <c r="AG90" s="13"/>
      <c r="AH90" s="28"/>
      <c r="AI90" s="13"/>
      <c r="AJ90" s="28"/>
      <c r="AK90" s="13"/>
      <c r="AL90" s="28"/>
      <c r="AM90" s="13"/>
      <c r="AN90" s="28"/>
      <c r="AO90" s="13"/>
      <c r="AP90" s="28"/>
      <c r="AQ90" s="13"/>
      <c r="AR90" s="28"/>
      <c r="AS90" s="19">
        <f>SUM(H90,J90,L90,N90,P90,R90,T90,V90,X90,Z90,AB90,AD90,AF90,AH90,AJ90,AL90,AN90)</f>
        <v>0</v>
      </c>
      <c r="AT90" s="29" t="str">
        <f>IF(C90="","",DATE(YEAR(C90),MONTH(C90),1))</f>
        <v/>
      </c>
      <c r="AU90" s="28" t="str">
        <f>IF(AT90="","",TEXT(AT90,"mmmm yyyy"))</f>
        <v/>
      </c>
      <c r="AV90" s="29" t="str">
        <f>IF(C90="","",C90-WEEKDAY(C90,2)+1)</f>
        <v/>
      </c>
      <c r="AW90" s="29" t="str">
        <f>IF(AV90="","",AV90+6)</f>
        <v/>
      </c>
      <c r="AX90" s="28" t="str">
        <f>IF(AV90="","",TEXT(AV90,"dd/mm/yyyy")&amp;" - "&amp;TEXT(AW90,"dd/mm/yyyy"))</f>
        <v/>
      </c>
      <c r="AY90" s="28" t="str">
        <f>IF(B90="","",COUNTIFS($B$5:B90,B90,$AT$5:AT90,AT90))</f>
        <v/>
      </c>
      <c r="AZ90" s="28" t="str">
        <f>IF(B90="","",COUNTIFS($B$5:B90,B90,$AV$5:AV90,AV90))</f>
        <v/>
      </c>
      <c r="BA90" s="28" t="str">
        <f>IF(B90="","",TEXT(AY90,"00")&amp;"|"&amp;B90&amp;"|"&amp;TEXT(AT90,"yyyymmdd"))</f>
        <v/>
      </c>
      <c r="BB90" s="28" t="str">
        <f>IF(B90="","",TEXT(AZ90,"00")&amp;"|"&amp;B90&amp;"|"&amp;TEXT(AV90,"yyyymmdd"))</f>
        <v/>
      </c>
      <c r="BC90" s="28">
        <f>IF(OR(AQ90="YES",AQ90="Yes",AQ90="Y",AQ90=1),1,0)</f>
        <v>0</v>
      </c>
    </row>
    <row r="91" spans="1:55" ht="15" customHeight="1">
      <c r="A91" s="27"/>
      <c r="B91" s="28"/>
      <c r="C91" s="29"/>
      <c r="D91" s="30"/>
      <c r="E91" s="30"/>
      <c r="F91" s="28"/>
      <c r="G91" s="28"/>
      <c r="H91" s="28"/>
      <c r="I91" s="13"/>
      <c r="J91" s="28"/>
      <c r="K91" s="13"/>
      <c r="L91" s="28"/>
      <c r="M91" s="13"/>
      <c r="N91" s="28"/>
      <c r="O91" s="13"/>
      <c r="P91" s="28"/>
      <c r="Q91" s="20"/>
      <c r="R91" s="28"/>
      <c r="S91" s="20"/>
      <c r="T91" s="28"/>
      <c r="U91" s="13"/>
      <c r="V91" s="28"/>
      <c r="W91" s="13"/>
      <c r="X91" s="28"/>
      <c r="Y91" s="13"/>
      <c r="Z91" s="28"/>
      <c r="AA91" s="13"/>
      <c r="AB91" s="28"/>
      <c r="AC91" s="13"/>
      <c r="AD91" s="28"/>
      <c r="AE91" s="13"/>
      <c r="AF91" s="28"/>
      <c r="AG91" s="13"/>
      <c r="AH91" s="28"/>
      <c r="AI91" s="13"/>
      <c r="AJ91" s="28"/>
      <c r="AK91" s="13"/>
      <c r="AL91" s="28"/>
      <c r="AM91" s="13"/>
      <c r="AN91" s="28"/>
      <c r="AO91" s="13"/>
      <c r="AP91" s="28"/>
      <c r="AQ91" s="13"/>
      <c r="AR91" s="28"/>
      <c r="AS91" s="19">
        <f>SUM(H91,J91,L91,N91,P91,R91,T91,V91,X91,Z91,AB91,AD91,AF91,AH91,AJ91,AL91,AN91)</f>
        <v>0</v>
      </c>
      <c r="AT91" s="29" t="str">
        <f>IF(C91="","",DATE(YEAR(C91),MONTH(C91),1))</f>
        <v/>
      </c>
      <c r="AU91" s="28" t="str">
        <f>IF(AT91="","",TEXT(AT91,"mmmm yyyy"))</f>
        <v/>
      </c>
      <c r="AV91" s="29" t="str">
        <f>IF(C91="","",C91-WEEKDAY(C91,2)+1)</f>
        <v/>
      </c>
      <c r="AW91" s="29" t="str">
        <f>IF(AV91="","",AV91+6)</f>
        <v/>
      </c>
      <c r="AX91" s="28" t="str">
        <f>IF(AV91="","",TEXT(AV91,"dd/mm/yyyy")&amp;" - "&amp;TEXT(AW91,"dd/mm/yyyy"))</f>
        <v/>
      </c>
      <c r="AY91" s="28" t="str">
        <f>IF(B91="","",COUNTIFS($B$5:B91,B91,$AT$5:AT91,AT91))</f>
        <v/>
      </c>
      <c r="AZ91" s="28" t="str">
        <f>IF(B91="","",COUNTIFS($B$5:B91,B91,$AV$5:AV91,AV91))</f>
        <v/>
      </c>
      <c r="BA91" s="28" t="str">
        <f>IF(B91="","",TEXT(AY91,"00")&amp;"|"&amp;B91&amp;"|"&amp;TEXT(AT91,"yyyymmdd"))</f>
        <v/>
      </c>
      <c r="BB91" s="28" t="str">
        <f>IF(B91="","",TEXT(AZ91,"00")&amp;"|"&amp;B91&amp;"|"&amp;TEXT(AV91,"yyyymmdd"))</f>
        <v/>
      </c>
      <c r="BC91" s="28">
        <f>IF(OR(AQ91="YES",AQ91="Yes",AQ91="Y",AQ91=1),1,0)</f>
        <v>0</v>
      </c>
    </row>
    <row r="92" spans="1:55" ht="15" customHeight="1">
      <c r="A92" s="27"/>
      <c r="B92" s="28"/>
      <c r="C92" s="29"/>
      <c r="D92" s="30"/>
      <c r="E92" s="30"/>
      <c r="F92" s="28"/>
      <c r="G92" s="28"/>
      <c r="H92" s="28"/>
      <c r="I92" s="13"/>
      <c r="J92" s="28"/>
      <c r="K92" s="13"/>
      <c r="L92" s="28"/>
      <c r="M92" s="13"/>
      <c r="N92" s="28"/>
      <c r="O92" s="13"/>
      <c r="P92" s="28"/>
      <c r="Q92" s="20"/>
      <c r="R92" s="28"/>
      <c r="S92" s="20"/>
      <c r="T92" s="28"/>
      <c r="U92" s="13"/>
      <c r="V92" s="28"/>
      <c r="W92" s="13"/>
      <c r="X92" s="28"/>
      <c r="Y92" s="13"/>
      <c r="Z92" s="28"/>
      <c r="AA92" s="13"/>
      <c r="AB92" s="28"/>
      <c r="AC92" s="13"/>
      <c r="AD92" s="28"/>
      <c r="AE92" s="13"/>
      <c r="AF92" s="28"/>
      <c r="AG92" s="13"/>
      <c r="AH92" s="28"/>
      <c r="AI92" s="13"/>
      <c r="AJ92" s="28"/>
      <c r="AK92" s="13"/>
      <c r="AL92" s="28"/>
      <c r="AM92" s="13"/>
      <c r="AN92" s="28"/>
      <c r="AO92" s="13"/>
      <c r="AP92" s="28"/>
      <c r="AQ92" s="13"/>
      <c r="AR92" s="28"/>
      <c r="AS92" s="19">
        <f>SUM(H92,J92,L92,N92,P92,R92,T92,V92,X92,Z92,AB92,AD92,AF92,AH92,AJ92,AL92,AN92)</f>
        <v>0</v>
      </c>
      <c r="AT92" s="29" t="str">
        <f>IF(C92="","",DATE(YEAR(C92),MONTH(C92),1))</f>
        <v/>
      </c>
      <c r="AU92" s="28" t="str">
        <f>IF(AT92="","",TEXT(AT92,"mmmm yyyy"))</f>
        <v/>
      </c>
      <c r="AV92" s="29" t="str">
        <f>IF(C92="","",C92-WEEKDAY(C92,2)+1)</f>
        <v/>
      </c>
      <c r="AW92" s="29" t="str">
        <f>IF(AV92="","",AV92+6)</f>
        <v/>
      </c>
      <c r="AX92" s="28" t="str">
        <f>IF(AV92="","",TEXT(AV92,"dd/mm/yyyy")&amp;" - "&amp;TEXT(AW92,"dd/mm/yyyy"))</f>
        <v/>
      </c>
      <c r="AY92" s="28" t="str">
        <f>IF(B92="","",COUNTIFS($B$5:B92,B92,$AT$5:AT92,AT92))</f>
        <v/>
      </c>
      <c r="AZ92" s="28" t="str">
        <f>IF(B92="","",COUNTIFS($B$5:B92,B92,$AV$5:AV92,AV92))</f>
        <v/>
      </c>
      <c r="BA92" s="28" t="str">
        <f>IF(B92="","",TEXT(AY92,"00")&amp;"|"&amp;B92&amp;"|"&amp;TEXT(AT92,"yyyymmdd"))</f>
        <v/>
      </c>
      <c r="BB92" s="28" t="str">
        <f>IF(B92="","",TEXT(AZ92,"00")&amp;"|"&amp;B92&amp;"|"&amp;TEXT(AV92,"yyyymmdd"))</f>
        <v/>
      </c>
      <c r="BC92" s="28">
        <f>IF(OR(AQ92="YES",AQ92="Yes",AQ92="Y",AQ92=1),1,0)</f>
        <v>0</v>
      </c>
    </row>
    <row r="93" spans="1:55" ht="15" customHeight="1">
      <c r="A93" s="27"/>
      <c r="B93" s="28"/>
      <c r="C93" s="29"/>
      <c r="D93" s="30"/>
      <c r="E93" s="30"/>
      <c r="F93" s="28"/>
      <c r="G93" s="28"/>
      <c r="H93" s="28"/>
      <c r="I93" s="13"/>
      <c r="J93" s="28"/>
      <c r="K93" s="13"/>
      <c r="L93" s="28"/>
      <c r="M93" s="13"/>
      <c r="N93" s="28"/>
      <c r="O93" s="13"/>
      <c r="P93" s="28"/>
      <c r="Q93" s="20"/>
      <c r="R93" s="28"/>
      <c r="S93" s="20"/>
      <c r="T93" s="28"/>
      <c r="U93" s="13"/>
      <c r="V93" s="28"/>
      <c r="W93" s="13"/>
      <c r="X93" s="28"/>
      <c r="Y93" s="13"/>
      <c r="Z93" s="28"/>
      <c r="AA93" s="13"/>
      <c r="AB93" s="28"/>
      <c r="AC93" s="13"/>
      <c r="AD93" s="28"/>
      <c r="AE93" s="13"/>
      <c r="AF93" s="28"/>
      <c r="AG93" s="13"/>
      <c r="AH93" s="28"/>
      <c r="AI93" s="13"/>
      <c r="AJ93" s="28"/>
      <c r="AK93" s="13"/>
      <c r="AL93" s="28"/>
      <c r="AM93" s="13"/>
      <c r="AN93" s="28"/>
      <c r="AO93" s="13"/>
      <c r="AP93" s="28"/>
      <c r="AQ93" s="13"/>
      <c r="AR93" s="28"/>
      <c r="AS93" s="19">
        <f>SUM(H93,J93,L93,N93,P93,R93,T93,V93,X93,Z93,AB93,AD93,AF93,AH93,AJ93,AL93,AN93)</f>
        <v>0</v>
      </c>
      <c r="AT93" s="29" t="str">
        <f>IF(C93="","",DATE(YEAR(C93),MONTH(C93),1))</f>
        <v/>
      </c>
      <c r="AU93" s="28" t="str">
        <f>IF(AT93="","",TEXT(AT93,"mmmm yyyy"))</f>
        <v/>
      </c>
      <c r="AV93" s="29" t="str">
        <f>IF(C93="","",C93-WEEKDAY(C93,2)+1)</f>
        <v/>
      </c>
      <c r="AW93" s="29" t="str">
        <f>IF(AV93="","",AV93+6)</f>
        <v/>
      </c>
      <c r="AX93" s="28" t="str">
        <f>IF(AV93="","",TEXT(AV93,"dd/mm/yyyy")&amp;" - "&amp;TEXT(AW93,"dd/mm/yyyy"))</f>
        <v/>
      </c>
      <c r="AY93" s="28" t="str">
        <f>IF(B93="","",COUNTIFS($B$5:B93,B93,$AT$5:AT93,AT93))</f>
        <v/>
      </c>
      <c r="AZ93" s="28" t="str">
        <f>IF(B93="","",COUNTIFS($B$5:B93,B93,$AV$5:AV93,AV93))</f>
        <v/>
      </c>
      <c r="BA93" s="28" t="str">
        <f>IF(B93="","",TEXT(AY93,"00")&amp;"|"&amp;B93&amp;"|"&amp;TEXT(AT93,"yyyymmdd"))</f>
        <v/>
      </c>
      <c r="BB93" s="28" t="str">
        <f>IF(B93="","",TEXT(AZ93,"00")&amp;"|"&amp;B93&amp;"|"&amp;TEXT(AV93,"yyyymmdd"))</f>
        <v/>
      </c>
      <c r="BC93" s="28">
        <f>IF(OR(AQ93="YES",AQ93="Yes",AQ93="Y",AQ93=1),1,0)</f>
        <v>0</v>
      </c>
    </row>
    <row r="94" spans="1:55" ht="15" customHeight="1">
      <c r="A94" s="27"/>
      <c r="B94" s="28"/>
      <c r="C94" s="29"/>
      <c r="D94" s="30"/>
      <c r="E94" s="30"/>
      <c r="F94" s="28"/>
      <c r="G94" s="28"/>
      <c r="H94" s="28"/>
      <c r="I94" s="13"/>
      <c r="J94" s="28"/>
      <c r="K94" s="13"/>
      <c r="L94" s="28"/>
      <c r="M94" s="13"/>
      <c r="N94" s="28"/>
      <c r="O94" s="13"/>
      <c r="P94" s="28"/>
      <c r="Q94" s="20"/>
      <c r="R94" s="28"/>
      <c r="S94" s="20"/>
      <c r="T94" s="28"/>
      <c r="U94" s="13"/>
      <c r="V94" s="28"/>
      <c r="W94" s="13"/>
      <c r="X94" s="28"/>
      <c r="Y94" s="13"/>
      <c r="Z94" s="28"/>
      <c r="AA94" s="13"/>
      <c r="AB94" s="28"/>
      <c r="AC94" s="13"/>
      <c r="AD94" s="28"/>
      <c r="AE94" s="13"/>
      <c r="AF94" s="28"/>
      <c r="AG94" s="13"/>
      <c r="AH94" s="28"/>
      <c r="AI94" s="13"/>
      <c r="AJ94" s="28"/>
      <c r="AK94" s="13"/>
      <c r="AL94" s="28"/>
      <c r="AM94" s="13"/>
      <c r="AN94" s="28"/>
      <c r="AO94" s="13"/>
      <c r="AP94" s="28"/>
      <c r="AQ94" s="13"/>
      <c r="AR94" s="28"/>
      <c r="AS94" s="19">
        <f>SUM(H94,J94,L94,N94,P94,R94,T94,V94,X94,Z94,AB94,AD94,AF94,AH94,AJ94,AL94,AN94)</f>
        <v>0</v>
      </c>
      <c r="AT94" s="29" t="str">
        <f>IF(C94="","",DATE(YEAR(C94),MONTH(C94),1))</f>
        <v/>
      </c>
      <c r="AU94" s="28" t="str">
        <f>IF(AT94="","",TEXT(AT94,"mmmm yyyy"))</f>
        <v/>
      </c>
      <c r="AV94" s="29" t="str">
        <f>IF(C94="","",C94-WEEKDAY(C94,2)+1)</f>
        <v/>
      </c>
      <c r="AW94" s="29" t="str">
        <f>IF(AV94="","",AV94+6)</f>
        <v/>
      </c>
      <c r="AX94" s="28" t="str">
        <f>IF(AV94="","",TEXT(AV94,"dd/mm/yyyy")&amp;" - "&amp;TEXT(AW94,"dd/mm/yyyy"))</f>
        <v/>
      </c>
      <c r="AY94" s="28" t="str">
        <f>IF(B94="","",COUNTIFS($B$5:B94,B94,$AT$5:AT94,AT94))</f>
        <v/>
      </c>
      <c r="AZ94" s="28" t="str">
        <f>IF(B94="","",COUNTIFS($B$5:B94,B94,$AV$5:AV94,AV94))</f>
        <v/>
      </c>
      <c r="BA94" s="28" t="str">
        <f>IF(B94="","",TEXT(AY94,"00")&amp;"|"&amp;B94&amp;"|"&amp;TEXT(AT94,"yyyymmdd"))</f>
        <v/>
      </c>
      <c r="BB94" s="28" t="str">
        <f>IF(B94="","",TEXT(AZ94,"00")&amp;"|"&amp;B94&amp;"|"&amp;TEXT(AV94,"yyyymmdd"))</f>
        <v/>
      </c>
      <c r="BC94" s="28">
        <f>IF(OR(AQ94="YES",AQ94="Yes",AQ94="Y",AQ94=1),1,0)</f>
        <v>0</v>
      </c>
    </row>
    <row r="95" spans="1:55" ht="15" customHeight="1">
      <c r="A95" s="27"/>
      <c r="B95" s="28"/>
      <c r="C95" s="29"/>
      <c r="D95" s="30"/>
      <c r="E95" s="30"/>
      <c r="F95" s="28"/>
      <c r="G95" s="28"/>
      <c r="H95" s="28"/>
      <c r="I95" s="13"/>
      <c r="J95" s="28"/>
      <c r="K95" s="13"/>
      <c r="L95" s="28"/>
      <c r="M95" s="13"/>
      <c r="N95" s="28"/>
      <c r="O95" s="13"/>
      <c r="P95" s="28"/>
      <c r="Q95" s="20"/>
      <c r="R95" s="28"/>
      <c r="S95" s="20"/>
      <c r="T95" s="28"/>
      <c r="U95" s="13"/>
      <c r="V95" s="28"/>
      <c r="W95" s="13"/>
      <c r="X95" s="28"/>
      <c r="Y95" s="13"/>
      <c r="Z95" s="28"/>
      <c r="AA95" s="13"/>
      <c r="AB95" s="28"/>
      <c r="AC95" s="13"/>
      <c r="AD95" s="28"/>
      <c r="AE95" s="13"/>
      <c r="AF95" s="28"/>
      <c r="AG95" s="13"/>
      <c r="AH95" s="28"/>
      <c r="AI95" s="13"/>
      <c r="AJ95" s="28"/>
      <c r="AK95" s="13"/>
      <c r="AL95" s="28"/>
      <c r="AM95" s="13"/>
      <c r="AN95" s="28"/>
      <c r="AO95" s="13"/>
      <c r="AP95" s="28"/>
      <c r="AQ95" s="13"/>
      <c r="AR95" s="28"/>
      <c r="AS95" s="19">
        <f>SUM(H95,J95,L95,N95,P95,R95,T95,V95,X95,Z95,AB95,AD95,AF95,AH95,AJ95,AL95,AN95)</f>
        <v>0</v>
      </c>
      <c r="AT95" s="29" t="str">
        <f>IF(C95="","",DATE(YEAR(C95),MONTH(C95),1))</f>
        <v/>
      </c>
      <c r="AU95" s="28" t="str">
        <f>IF(AT95="","",TEXT(AT95,"mmmm yyyy"))</f>
        <v/>
      </c>
      <c r="AV95" s="29" t="str">
        <f>IF(C95="","",C95-WEEKDAY(C95,2)+1)</f>
        <v/>
      </c>
      <c r="AW95" s="29" t="str">
        <f>IF(AV95="","",AV95+6)</f>
        <v/>
      </c>
      <c r="AX95" s="28" t="str">
        <f>IF(AV95="","",TEXT(AV95,"dd/mm/yyyy")&amp;" - "&amp;TEXT(AW95,"dd/mm/yyyy"))</f>
        <v/>
      </c>
      <c r="AY95" s="28" t="str">
        <f>IF(B95="","",COUNTIFS($B$5:B95,B95,$AT$5:AT95,AT95))</f>
        <v/>
      </c>
      <c r="AZ95" s="28" t="str">
        <f>IF(B95="","",COUNTIFS($B$5:B95,B95,$AV$5:AV95,AV95))</f>
        <v/>
      </c>
      <c r="BA95" s="28" t="str">
        <f>IF(B95="","",TEXT(AY95,"00")&amp;"|"&amp;B95&amp;"|"&amp;TEXT(AT95,"yyyymmdd"))</f>
        <v/>
      </c>
      <c r="BB95" s="28" t="str">
        <f>IF(B95="","",TEXT(AZ95,"00")&amp;"|"&amp;B95&amp;"|"&amp;TEXT(AV95,"yyyymmdd"))</f>
        <v/>
      </c>
      <c r="BC95" s="28">
        <f>IF(OR(AQ95="YES",AQ95="Yes",AQ95="Y",AQ95=1),1,0)</f>
        <v>0</v>
      </c>
    </row>
    <row r="96" spans="1:55" ht="15" customHeight="1">
      <c r="A96" s="27"/>
      <c r="B96" s="28"/>
      <c r="C96" s="29"/>
      <c r="D96" s="30"/>
      <c r="E96" s="30"/>
      <c r="F96" s="28"/>
      <c r="G96" s="28"/>
      <c r="H96" s="28"/>
      <c r="I96" s="13"/>
      <c r="J96" s="28"/>
      <c r="K96" s="13"/>
      <c r="L96" s="28"/>
      <c r="M96" s="13"/>
      <c r="N96" s="28"/>
      <c r="O96" s="13"/>
      <c r="P96" s="28"/>
      <c r="Q96" s="20"/>
      <c r="R96" s="28"/>
      <c r="S96" s="20"/>
      <c r="T96" s="28"/>
      <c r="U96" s="13"/>
      <c r="V96" s="28"/>
      <c r="W96" s="13"/>
      <c r="X96" s="28"/>
      <c r="Y96" s="13"/>
      <c r="Z96" s="28"/>
      <c r="AA96" s="13"/>
      <c r="AB96" s="28"/>
      <c r="AC96" s="13"/>
      <c r="AD96" s="28"/>
      <c r="AE96" s="13"/>
      <c r="AF96" s="28"/>
      <c r="AG96" s="13"/>
      <c r="AH96" s="28"/>
      <c r="AI96" s="13"/>
      <c r="AJ96" s="28"/>
      <c r="AK96" s="13"/>
      <c r="AL96" s="28"/>
      <c r="AM96" s="13"/>
      <c r="AN96" s="28"/>
      <c r="AO96" s="13"/>
      <c r="AP96" s="28"/>
      <c r="AQ96" s="13"/>
      <c r="AR96" s="28"/>
      <c r="AS96" s="19">
        <f>SUM(H96,J96,L96,N96,P96,R96,T96,V96,X96,Z96,AB96,AD96,AF96,AH96,AJ96,AL96,AN96)</f>
        <v>0</v>
      </c>
      <c r="AT96" s="29" t="str">
        <f>IF(C96="","",DATE(YEAR(C96),MONTH(C96),1))</f>
        <v/>
      </c>
      <c r="AU96" s="28" t="str">
        <f>IF(AT96="","",TEXT(AT96,"mmmm yyyy"))</f>
        <v/>
      </c>
      <c r="AV96" s="29" t="str">
        <f>IF(C96="","",C96-WEEKDAY(C96,2)+1)</f>
        <v/>
      </c>
      <c r="AW96" s="29" t="str">
        <f>IF(AV96="","",AV96+6)</f>
        <v/>
      </c>
      <c r="AX96" s="28" t="str">
        <f>IF(AV96="","",TEXT(AV96,"dd/mm/yyyy")&amp;" - "&amp;TEXT(AW96,"dd/mm/yyyy"))</f>
        <v/>
      </c>
      <c r="AY96" s="28" t="str">
        <f>IF(B96="","",COUNTIFS($B$5:B96,B96,$AT$5:AT96,AT96))</f>
        <v/>
      </c>
      <c r="AZ96" s="28" t="str">
        <f>IF(B96="","",COUNTIFS($B$5:B96,B96,$AV$5:AV96,AV96))</f>
        <v/>
      </c>
      <c r="BA96" s="28" t="str">
        <f>IF(B96="","",TEXT(AY96,"00")&amp;"|"&amp;B96&amp;"|"&amp;TEXT(AT96,"yyyymmdd"))</f>
        <v/>
      </c>
      <c r="BB96" s="28" t="str">
        <f>IF(B96="","",TEXT(AZ96,"00")&amp;"|"&amp;B96&amp;"|"&amp;TEXT(AV96,"yyyymmdd"))</f>
        <v/>
      </c>
      <c r="BC96" s="28">
        <f>IF(OR(AQ96="YES",AQ96="Yes",AQ96="Y",AQ96=1),1,0)</f>
        <v>0</v>
      </c>
    </row>
    <row r="97" spans="1:55" ht="15" customHeight="1">
      <c r="A97" s="27"/>
      <c r="B97" s="28"/>
      <c r="C97" s="29"/>
      <c r="D97" s="30"/>
      <c r="E97" s="30"/>
      <c r="F97" s="28"/>
      <c r="G97" s="28"/>
      <c r="H97" s="28"/>
      <c r="I97" s="13"/>
      <c r="J97" s="28"/>
      <c r="K97" s="13"/>
      <c r="L97" s="28"/>
      <c r="M97" s="13"/>
      <c r="N97" s="28"/>
      <c r="O97" s="13"/>
      <c r="P97" s="28"/>
      <c r="Q97" s="20"/>
      <c r="R97" s="28"/>
      <c r="S97" s="20"/>
      <c r="T97" s="28"/>
      <c r="U97" s="13"/>
      <c r="V97" s="28"/>
      <c r="W97" s="13"/>
      <c r="X97" s="28"/>
      <c r="Y97" s="13"/>
      <c r="Z97" s="28"/>
      <c r="AA97" s="13"/>
      <c r="AB97" s="28"/>
      <c r="AC97" s="13"/>
      <c r="AD97" s="28"/>
      <c r="AE97" s="13"/>
      <c r="AF97" s="28"/>
      <c r="AG97" s="13"/>
      <c r="AH97" s="28"/>
      <c r="AI97" s="13"/>
      <c r="AJ97" s="28"/>
      <c r="AK97" s="13"/>
      <c r="AL97" s="28"/>
      <c r="AM97" s="13"/>
      <c r="AN97" s="28"/>
      <c r="AO97" s="13"/>
      <c r="AP97" s="28"/>
      <c r="AQ97" s="13"/>
      <c r="AR97" s="28"/>
      <c r="AS97" s="19">
        <f>SUM(H97,J97,L97,N97,P97,R97,T97,V97,X97,Z97,AB97,AD97,AF97,AH97,AJ97,AL97,AN97)</f>
        <v>0</v>
      </c>
      <c r="AT97" s="29" t="str">
        <f>IF(C97="","",DATE(YEAR(C97),MONTH(C97),1))</f>
        <v/>
      </c>
      <c r="AU97" s="28" t="str">
        <f>IF(AT97="","",TEXT(AT97,"mmmm yyyy"))</f>
        <v/>
      </c>
      <c r="AV97" s="29" t="str">
        <f>IF(C97="","",C97-WEEKDAY(C97,2)+1)</f>
        <v/>
      </c>
      <c r="AW97" s="29" t="str">
        <f>IF(AV97="","",AV97+6)</f>
        <v/>
      </c>
      <c r="AX97" s="28" t="str">
        <f>IF(AV97="","",TEXT(AV97,"dd/mm/yyyy")&amp;" - "&amp;TEXT(AW97,"dd/mm/yyyy"))</f>
        <v/>
      </c>
      <c r="AY97" s="28" t="str">
        <f>IF(B97="","",COUNTIFS($B$5:B97,B97,$AT$5:AT97,AT97))</f>
        <v/>
      </c>
      <c r="AZ97" s="28" t="str">
        <f>IF(B97="","",COUNTIFS($B$5:B97,B97,$AV$5:AV97,AV97))</f>
        <v/>
      </c>
      <c r="BA97" s="28" t="str">
        <f>IF(B97="","",TEXT(AY97,"00")&amp;"|"&amp;B97&amp;"|"&amp;TEXT(AT97,"yyyymmdd"))</f>
        <v/>
      </c>
      <c r="BB97" s="28" t="str">
        <f>IF(B97="","",TEXT(AZ97,"00")&amp;"|"&amp;B97&amp;"|"&amp;TEXT(AV97,"yyyymmdd"))</f>
        <v/>
      </c>
      <c r="BC97" s="28">
        <f>IF(OR(AQ97="YES",AQ97="Yes",AQ97="Y",AQ97=1),1,0)</f>
        <v>0</v>
      </c>
    </row>
    <row r="98" spans="1:55" ht="15" customHeight="1">
      <c r="A98" s="27"/>
      <c r="B98" s="28"/>
      <c r="C98" s="29"/>
      <c r="D98" s="30"/>
      <c r="E98" s="30"/>
      <c r="F98" s="28"/>
      <c r="G98" s="28"/>
      <c r="H98" s="28"/>
      <c r="I98" s="13"/>
      <c r="J98" s="28"/>
      <c r="K98" s="13"/>
      <c r="L98" s="28"/>
      <c r="M98" s="13"/>
      <c r="N98" s="28"/>
      <c r="O98" s="13"/>
      <c r="P98" s="28"/>
      <c r="Q98" s="20"/>
      <c r="R98" s="28"/>
      <c r="S98" s="20"/>
      <c r="T98" s="28"/>
      <c r="U98" s="13"/>
      <c r="V98" s="28"/>
      <c r="W98" s="13"/>
      <c r="X98" s="28"/>
      <c r="Y98" s="13"/>
      <c r="Z98" s="28"/>
      <c r="AA98" s="13"/>
      <c r="AB98" s="28"/>
      <c r="AC98" s="13"/>
      <c r="AD98" s="28"/>
      <c r="AE98" s="13"/>
      <c r="AF98" s="28"/>
      <c r="AG98" s="13"/>
      <c r="AH98" s="28"/>
      <c r="AI98" s="13"/>
      <c r="AJ98" s="28"/>
      <c r="AK98" s="13"/>
      <c r="AL98" s="28"/>
      <c r="AM98" s="13"/>
      <c r="AN98" s="28"/>
      <c r="AO98" s="13"/>
      <c r="AP98" s="28"/>
      <c r="AQ98" s="13"/>
      <c r="AR98" s="28"/>
      <c r="AS98" s="19">
        <f>SUM(H98,J98,L98,N98,P98,R98,T98,V98,X98,Z98,AB98,AD98,AF98,AH98,AJ98,AL98,AN98)</f>
        <v>0</v>
      </c>
      <c r="AT98" s="29" t="str">
        <f>IF(C98="","",DATE(YEAR(C98),MONTH(C98),1))</f>
        <v/>
      </c>
      <c r="AU98" s="28" t="str">
        <f>IF(AT98="","",TEXT(AT98,"mmmm yyyy"))</f>
        <v/>
      </c>
      <c r="AV98" s="29" t="str">
        <f>IF(C98="","",C98-WEEKDAY(C98,2)+1)</f>
        <v/>
      </c>
      <c r="AW98" s="29" t="str">
        <f>IF(AV98="","",AV98+6)</f>
        <v/>
      </c>
      <c r="AX98" s="28" t="str">
        <f>IF(AV98="","",TEXT(AV98,"dd/mm/yyyy")&amp;" - "&amp;TEXT(AW98,"dd/mm/yyyy"))</f>
        <v/>
      </c>
      <c r="AY98" s="28" t="str">
        <f>IF(B98="","",COUNTIFS($B$5:B98,B98,$AT$5:AT98,AT98))</f>
        <v/>
      </c>
      <c r="AZ98" s="28" t="str">
        <f>IF(B98="","",COUNTIFS($B$5:B98,B98,$AV$5:AV98,AV98))</f>
        <v/>
      </c>
      <c r="BA98" s="28" t="str">
        <f>IF(B98="","",TEXT(AY98,"00")&amp;"|"&amp;B98&amp;"|"&amp;TEXT(AT98,"yyyymmdd"))</f>
        <v/>
      </c>
      <c r="BB98" s="28" t="str">
        <f>IF(B98="","",TEXT(AZ98,"00")&amp;"|"&amp;B98&amp;"|"&amp;TEXT(AV98,"yyyymmdd"))</f>
        <v/>
      </c>
      <c r="BC98" s="28">
        <f>IF(OR(AQ98="YES",AQ98="Yes",AQ98="Y",AQ98=1),1,0)</f>
        <v>0</v>
      </c>
    </row>
    <row r="99" spans="1:55" ht="15" customHeight="1">
      <c r="A99" s="27"/>
      <c r="B99" s="28"/>
      <c r="C99" s="29"/>
      <c r="D99" s="30"/>
      <c r="E99" s="30"/>
      <c r="F99" s="28"/>
      <c r="G99" s="28"/>
      <c r="H99" s="28"/>
      <c r="I99" s="13"/>
      <c r="J99" s="28"/>
      <c r="K99" s="13"/>
      <c r="L99" s="28"/>
      <c r="M99" s="13"/>
      <c r="N99" s="28"/>
      <c r="O99" s="13"/>
      <c r="P99" s="28"/>
      <c r="Q99" s="20"/>
      <c r="R99" s="28"/>
      <c r="S99" s="20"/>
      <c r="T99" s="28"/>
      <c r="U99" s="13"/>
      <c r="V99" s="28"/>
      <c r="W99" s="13"/>
      <c r="X99" s="28"/>
      <c r="Y99" s="13"/>
      <c r="Z99" s="28"/>
      <c r="AA99" s="13"/>
      <c r="AB99" s="28"/>
      <c r="AC99" s="13"/>
      <c r="AD99" s="28"/>
      <c r="AE99" s="13"/>
      <c r="AF99" s="28"/>
      <c r="AG99" s="13"/>
      <c r="AH99" s="28"/>
      <c r="AI99" s="13"/>
      <c r="AJ99" s="28"/>
      <c r="AK99" s="13"/>
      <c r="AL99" s="28"/>
      <c r="AM99" s="13"/>
      <c r="AN99" s="28"/>
      <c r="AO99" s="13"/>
      <c r="AP99" s="28"/>
      <c r="AQ99" s="13"/>
      <c r="AR99" s="28"/>
      <c r="AS99" s="19">
        <f>SUM(H99,J99,L99,N99,P99,R99,T99,V99,X99,Z99,AB99,AD99,AF99,AH99,AJ99,AL99,AN99)</f>
        <v>0</v>
      </c>
      <c r="AT99" s="29" t="str">
        <f>IF(C99="","",DATE(YEAR(C99),MONTH(C99),1))</f>
        <v/>
      </c>
      <c r="AU99" s="28" t="str">
        <f>IF(AT99="","",TEXT(AT99,"mmmm yyyy"))</f>
        <v/>
      </c>
      <c r="AV99" s="29" t="str">
        <f>IF(C99="","",C99-WEEKDAY(C99,2)+1)</f>
        <v/>
      </c>
      <c r="AW99" s="29" t="str">
        <f>IF(AV99="","",AV99+6)</f>
        <v/>
      </c>
      <c r="AX99" s="28" t="str">
        <f>IF(AV99="","",TEXT(AV99,"dd/mm/yyyy")&amp;" - "&amp;TEXT(AW99,"dd/mm/yyyy"))</f>
        <v/>
      </c>
      <c r="AY99" s="28" t="str">
        <f>IF(B99="","",COUNTIFS($B$5:B99,B99,$AT$5:AT99,AT99))</f>
        <v/>
      </c>
      <c r="AZ99" s="28" t="str">
        <f>IF(B99="","",COUNTIFS($B$5:B99,B99,$AV$5:AV99,AV99))</f>
        <v/>
      </c>
      <c r="BA99" s="28" t="str">
        <f>IF(B99="","",TEXT(AY99,"00")&amp;"|"&amp;B99&amp;"|"&amp;TEXT(AT99,"yyyymmdd"))</f>
        <v/>
      </c>
      <c r="BB99" s="28" t="str">
        <f>IF(B99="","",TEXT(AZ99,"00")&amp;"|"&amp;B99&amp;"|"&amp;TEXT(AV99,"yyyymmdd"))</f>
        <v/>
      </c>
      <c r="BC99" s="28">
        <f>IF(OR(AQ99="YES",AQ99="Yes",AQ99="Y",AQ99=1),1,0)</f>
        <v>0</v>
      </c>
    </row>
    <row r="100" spans="1:55" ht="15" customHeight="1">
      <c r="A100" s="27"/>
      <c r="B100" s="28"/>
      <c r="C100" s="29"/>
      <c r="D100" s="30"/>
      <c r="E100" s="30"/>
      <c r="F100" s="28"/>
      <c r="G100" s="28"/>
      <c r="H100" s="28"/>
      <c r="I100" s="13"/>
      <c r="J100" s="28"/>
      <c r="K100" s="13"/>
      <c r="L100" s="28"/>
      <c r="M100" s="13"/>
      <c r="N100" s="28"/>
      <c r="O100" s="13"/>
      <c r="P100" s="28"/>
      <c r="Q100" s="20"/>
      <c r="R100" s="28"/>
      <c r="S100" s="20"/>
      <c r="T100" s="28"/>
      <c r="U100" s="13"/>
      <c r="V100" s="28"/>
      <c r="W100" s="13"/>
      <c r="X100" s="28"/>
      <c r="Y100" s="13"/>
      <c r="Z100" s="28"/>
      <c r="AA100" s="13"/>
      <c r="AB100" s="28"/>
      <c r="AC100" s="13"/>
      <c r="AD100" s="28"/>
      <c r="AE100" s="13"/>
      <c r="AF100" s="28"/>
      <c r="AG100" s="13"/>
      <c r="AH100" s="28"/>
      <c r="AI100" s="13"/>
      <c r="AJ100" s="28"/>
      <c r="AK100" s="13"/>
      <c r="AL100" s="28"/>
      <c r="AM100" s="13"/>
      <c r="AN100" s="28"/>
      <c r="AO100" s="13"/>
      <c r="AP100" s="28"/>
      <c r="AQ100" s="13"/>
      <c r="AR100" s="28"/>
      <c r="AS100" s="19">
        <f>SUM(H100,J100,L100,N100,P100,R100,T100,V100,X100,Z100,AB100,AD100,AF100,AH100,AJ100,AL100,AN100)</f>
        <v>0</v>
      </c>
      <c r="AT100" s="29" t="str">
        <f>IF(C100="","",DATE(YEAR(C100),MONTH(C100),1))</f>
        <v/>
      </c>
      <c r="AU100" s="28" t="str">
        <f>IF(AT100="","",TEXT(AT100,"mmmm yyyy"))</f>
        <v/>
      </c>
      <c r="AV100" s="29" t="str">
        <f>IF(C100="","",C100-WEEKDAY(C100,2)+1)</f>
        <v/>
      </c>
      <c r="AW100" s="29" t="str">
        <f>IF(AV100="","",AV100+6)</f>
        <v/>
      </c>
      <c r="AX100" s="28" t="str">
        <f>IF(AV100="","",TEXT(AV100,"dd/mm/yyyy")&amp;" - "&amp;TEXT(AW100,"dd/mm/yyyy"))</f>
        <v/>
      </c>
      <c r="AY100" s="28" t="str">
        <f>IF(B100="","",COUNTIFS($B$5:B100,B100,$AT$5:AT100,AT100))</f>
        <v/>
      </c>
      <c r="AZ100" s="28" t="str">
        <f>IF(B100="","",COUNTIFS($B$5:B100,B100,$AV$5:AV100,AV100))</f>
        <v/>
      </c>
      <c r="BA100" s="28" t="str">
        <f>IF(B100="","",TEXT(AY100,"00")&amp;"|"&amp;B100&amp;"|"&amp;TEXT(AT100,"yyyymmdd"))</f>
        <v/>
      </c>
      <c r="BB100" s="28" t="str">
        <f>IF(B100="","",TEXT(AZ100,"00")&amp;"|"&amp;B100&amp;"|"&amp;TEXT(AV100,"yyyymmdd"))</f>
        <v/>
      </c>
      <c r="BC100" s="28">
        <f>IF(OR(AQ100="YES",AQ100="Yes",AQ100="Y",AQ100=1),1,0)</f>
        <v>0</v>
      </c>
    </row>
    <row r="101" spans="1:55" ht="15" customHeight="1">
      <c r="A101" s="27"/>
      <c r="B101" s="28"/>
      <c r="C101" s="29"/>
      <c r="D101" s="30"/>
      <c r="E101" s="30"/>
      <c r="F101" s="28"/>
      <c r="G101" s="28"/>
      <c r="H101" s="28"/>
      <c r="I101" s="13"/>
      <c r="J101" s="28"/>
      <c r="K101" s="13"/>
      <c r="L101" s="28"/>
      <c r="M101" s="13"/>
      <c r="N101" s="28"/>
      <c r="O101" s="13"/>
      <c r="P101" s="28"/>
      <c r="Q101" s="20"/>
      <c r="R101" s="28"/>
      <c r="S101" s="20"/>
      <c r="T101" s="28"/>
      <c r="U101" s="13"/>
      <c r="V101" s="28"/>
      <c r="W101" s="13"/>
      <c r="X101" s="28"/>
      <c r="Y101" s="13"/>
      <c r="Z101" s="28"/>
      <c r="AA101" s="13"/>
      <c r="AB101" s="28"/>
      <c r="AC101" s="13"/>
      <c r="AD101" s="28"/>
      <c r="AE101" s="13"/>
      <c r="AF101" s="28"/>
      <c r="AG101" s="13"/>
      <c r="AH101" s="28"/>
      <c r="AI101" s="13"/>
      <c r="AJ101" s="28"/>
      <c r="AK101" s="13"/>
      <c r="AL101" s="28"/>
      <c r="AM101" s="13"/>
      <c r="AN101" s="28"/>
      <c r="AO101" s="13"/>
      <c r="AP101" s="28"/>
      <c r="AQ101" s="13"/>
      <c r="AR101" s="28"/>
      <c r="AS101" s="19">
        <f>SUM(H101,J101,L101,N101,P101,R101,T101,V101,X101,Z101,AB101,AD101,AF101,AH101,AJ101,AL101,AN101)</f>
        <v>0</v>
      </c>
      <c r="AT101" s="29" t="str">
        <f>IF(C101="","",DATE(YEAR(C101),MONTH(C101),1))</f>
        <v/>
      </c>
      <c r="AU101" s="28" t="str">
        <f>IF(AT101="","",TEXT(AT101,"mmmm yyyy"))</f>
        <v/>
      </c>
      <c r="AV101" s="29" t="str">
        <f>IF(C101="","",C101-WEEKDAY(C101,2)+1)</f>
        <v/>
      </c>
      <c r="AW101" s="29" t="str">
        <f>IF(AV101="","",AV101+6)</f>
        <v/>
      </c>
      <c r="AX101" s="28" t="str">
        <f>IF(AV101="","",TEXT(AV101,"dd/mm/yyyy")&amp;" - "&amp;TEXT(AW101,"dd/mm/yyyy"))</f>
        <v/>
      </c>
      <c r="AY101" s="28" t="str">
        <f>IF(B101="","",COUNTIFS($B$5:B101,B101,$AT$5:AT101,AT101))</f>
        <v/>
      </c>
      <c r="AZ101" s="28" t="str">
        <f>IF(B101="","",COUNTIFS($B$5:B101,B101,$AV$5:AV101,AV101))</f>
        <v/>
      </c>
      <c r="BA101" s="28" t="str">
        <f>IF(B101="","",TEXT(AY101,"00")&amp;"|"&amp;B101&amp;"|"&amp;TEXT(AT101,"yyyymmdd"))</f>
        <v/>
      </c>
      <c r="BB101" s="28" t="str">
        <f>IF(B101="","",TEXT(AZ101,"00")&amp;"|"&amp;B101&amp;"|"&amp;TEXT(AV101,"yyyymmdd"))</f>
        <v/>
      </c>
      <c r="BC101" s="28">
        <f>IF(OR(AQ101="YES",AQ101="Yes",AQ101="Y",AQ101=1),1,0)</f>
        <v>0</v>
      </c>
    </row>
    <row r="102" spans="1:55" ht="15" customHeight="1">
      <c r="A102" s="27"/>
      <c r="B102" s="28"/>
      <c r="C102" s="29"/>
      <c r="D102" s="30"/>
      <c r="E102" s="30"/>
      <c r="F102" s="28"/>
      <c r="G102" s="28"/>
      <c r="H102" s="28"/>
      <c r="I102" s="13"/>
      <c r="J102" s="28"/>
      <c r="K102" s="13"/>
      <c r="L102" s="28"/>
      <c r="M102" s="13"/>
      <c r="N102" s="28"/>
      <c r="O102" s="13"/>
      <c r="P102" s="28"/>
      <c r="Q102" s="20"/>
      <c r="R102" s="28"/>
      <c r="S102" s="20"/>
      <c r="T102" s="28"/>
      <c r="U102" s="13"/>
      <c r="V102" s="28"/>
      <c r="W102" s="13"/>
      <c r="X102" s="28"/>
      <c r="Y102" s="13"/>
      <c r="Z102" s="28"/>
      <c r="AA102" s="13"/>
      <c r="AB102" s="28"/>
      <c r="AC102" s="13"/>
      <c r="AD102" s="28"/>
      <c r="AE102" s="13"/>
      <c r="AF102" s="28"/>
      <c r="AG102" s="13"/>
      <c r="AH102" s="28"/>
      <c r="AI102" s="13"/>
      <c r="AJ102" s="28"/>
      <c r="AK102" s="13"/>
      <c r="AL102" s="28"/>
      <c r="AM102" s="13"/>
      <c r="AN102" s="28"/>
      <c r="AO102" s="13"/>
      <c r="AP102" s="28"/>
      <c r="AQ102" s="13"/>
      <c r="AR102" s="28"/>
      <c r="AS102" s="19">
        <f>SUM(H102,J102,L102,N102,P102,R102,T102,V102,X102,Z102,AB102,AD102,AF102,AH102,AJ102,AL102,AN102)</f>
        <v>0</v>
      </c>
      <c r="AT102" s="29" t="str">
        <f>IF(C102="","",DATE(YEAR(C102),MONTH(C102),1))</f>
        <v/>
      </c>
      <c r="AU102" s="28" t="str">
        <f>IF(AT102="","",TEXT(AT102,"mmmm yyyy"))</f>
        <v/>
      </c>
      <c r="AV102" s="29" t="str">
        <f>IF(C102="","",C102-WEEKDAY(C102,2)+1)</f>
        <v/>
      </c>
      <c r="AW102" s="29" t="str">
        <f>IF(AV102="","",AV102+6)</f>
        <v/>
      </c>
      <c r="AX102" s="28" t="str">
        <f>IF(AV102="","",TEXT(AV102,"dd/mm/yyyy")&amp;" - "&amp;TEXT(AW102,"dd/mm/yyyy"))</f>
        <v/>
      </c>
      <c r="AY102" s="28" t="str">
        <f>IF(B102="","",COUNTIFS($B$5:B102,B102,$AT$5:AT102,AT102))</f>
        <v/>
      </c>
      <c r="AZ102" s="28" t="str">
        <f>IF(B102="","",COUNTIFS($B$5:B102,B102,$AV$5:AV102,AV102))</f>
        <v/>
      </c>
      <c r="BA102" s="28" t="str">
        <f>IF(B102="","",TEXT(AY102,"00")&amp;"|"&amp;B102&amp;"|"&amp;TEXT(AT102,"yyyymmdd"))</f>
        <v/>
      </c>
      <c r="BB102" s="28" t="str">
        <f>IF(B102="","",TEXT(AZ102,"00")&amp;"|"&amp;B102&amp;"|"&amp;TEXT(AV102,"yyyymmdd"))</f>
        <v/>
      </c>
      <c r="BC102" s="28">
        <f>IF(OR(AQ102="YES",AQ102="Yes",AQ102="Y",AQ102=1),1,0)</f>
        <v>0</v>
      </c>
    </row>
    <row r="103" spans="1:55" ht="15" customHeight="1">
      <c r="A103" s="27"/>
      <c r="B103" s="28"/>
      <c r="C103" s="29"/>
      <c r="D103" s="30"/>
      <c r="E103" s="30"/>
      <c r="F103" s="28"/>
      <c r="G103" s="28"/>
      <c r="H103" s="28"/>
      <c r="I103" s="13"/>
      <c r="J103" s="28"/>
      <c r="K103" s="13"/>
      <c r="L103" s="28"/>
      <c r="M103" s="13"/>
      <c r="N103" s="28"/>
      <c r="O103" s="13"/>
      <c r="P103" s="28"/>
      <c r="Q103" s="20"/>
      <c r="R103" s="28"/>
      <c r="S103" s="20"/>
      <c r="T103" s="28"/>
      <c r="U103" s="13"/>
      <c r="V103" s="28"/>
      <c r="W103" s="13"/>
      <c r="X103" s="28"/>
      <c r="Y103" s="13"/>
      <c r="Z103" s="28"/>
      <c r="AA103" s="13"/>
      <c r="AB103" s="28"/>
      <c r="AC103" s="13"/>
      <c r="AD103" s="28"/>
      <c r="AE103" s="13"/>
      <c r="AF103" s="28"/>
      <c r="AG103" s="13"/>
      <c r="AH103" s="28"/>
      <c r="AI103" s="13"/>
      <c r="AJ103" s="28"/>
      <c r="AK103" s="13"/>
      <c r="AL103" s="28"/>
      <c r="AM103" s="13"/>
      <c r="AN103" s="28"/>
      <c r="AO103" s="13"/>
      <c r="AP103" s="28"/>
      <c r="AQ103" s="13"/>
      <c r="AR103" s="28"/>
      <c r="AS103" s="19">
        <f>SUM(H103,J103,L103,N103,P103,R103,T103,V103,X103,Z103,AB103,AD103,AF103,AH103,AJ103,AL103,AN103)</f>
        <v>0</v>
      </c>
      <c r="AT103" s="29" t="str">
        <f>IF(C103="","",DATE(YEAR(C103),MONTH(C103),1))</f>
        <v/>
      </c>
      <c r="AU103" s="28" t="str">
        <f>IF(AT103="","",TEXT(AT103,"mmmm yyyy"))</f>
        <v/>
      </c>
      <c r="AV103" s="29" t="str">
        <f>IF(C103="","",C103-WEEKDAY(C103,2)+1)</f>
        <v/>
      </c>
      <c r="AW103" s="29" t="str">
        <f>IF(AV103="","",AV103+6)</f>
        <v/>
      </c>
      <c r="AX103" s="28" t="str">
        <f>IF(AV103="","",TEXT(AV103,"dd/mm/yyyy")&amp;" - "&amp;TEXT(AW103,"dd/mm/yyyy"))</f>
        <v/>
      </c>
      <c r="AY103" s="28" t="str">
        <f>IF(B103="","",COUNTIFS($B$5:B103,B103,$AT$5:AT103,AT103))</f>
        <v/>
      </c>
      <c r="AZ103" s="28" t="str">
        <f>IF(B103="","",COUNTIFS($B$5:B103,B103,$AV$5:AV103,AV103))</f>
        <v/>
      </c>
      <c r="BA103" s="28" t="str">
        <f>IF(B103="","",TEXT(AY103,"00")&amp;"|"&amp;B103&amp;"|"&amp;TEXT(AT103,"yyyymmdd"))</f>
        <v/>
      </c>
      <c r="BB103" s="28" t="str">
        <f>IF(B103="","",TEXT(AZ103,"00")&amp;"|"&amp;B103&amp;"|"&amp;TEXT(AV103,"yyyymmdd"))</f>
        <v/>
      </c>
      <c r="BC103" s="28">
        <f>IF(OR(AQ103="YES",AQ103="Yes",AQ103="Y",AQ103=1),1,0)</f>
        <v>0</v>
      </c>
    </row>
    <row r="104" spans="1:55" ht="15" customHeight="1">
      <c r="A104" s="27"/>
      <c r="B104" s="28"/>
      <c r="C104" s="29"/>
      <c r="D104" s="30"/>
      <c r="E104" s="30"/>
      <c r="F104" s="28"/>
      <c r="G104" s="28"/>
      <c r="H104" s="28"/>
      <c r="I104" s="13"/>
      <c r="J104" s="28"/>
      <c r="K104" s="13"/>
      <c r="L104" s="28"/>
      <c r="M104" s="13"/>
      <c r="N104" s="28"/>
      <c r="O104" s="13"/>
      <c r="P104" s="28"/>
      <c r="Q104" s="20"/>
      <c r="R104" s="28"/>
      <c r="S104" s="20"/>
      <c r="T104" s="28"/>
      <c r="U104" s="13"/>
      <c r="V104" s="28"/>
      <c r="W104" s="13"/>
      <c r="X104" s="28"/>
      <c r="Y104" s="13"/>
      <c r="Z104" s="28"/>
      <c r="AA104" s="13"/>
      <c r="AB104" s="28"/>
      <c r="AC104" s="13"/>
      <c r="AD104" s="28"/>
      <c r="AE104" s="13"/>
      <c r="AF104" s="28"/>
      <c r="AG104" s="13"/>
      <c r="AH104" s="28"/>
      <c r="AI104" s="13"/>
      <c r="AJ104" s="28"/>
      <c r="AK104" s="13"/>
      <c r="AL104" s="28"/>
      <c r="AM104" s="13"/>
      <c r="AN104" s="28"/>
      <c r="AO104" s="13"/>
      <c r="AP104" s="28"/>
      <c r="AQ104" s="13"/>
      <c r="AR104" s="28"/>
      <c r="AS104" s="19">
        <f>SUM(H104,J104,L104,N104,P104,R104,T104,V104,X104,Z104,AB104,AD104,AF104,AH104,AJ104,AL104,AN104)</f>
        <v>0</v>
      </c>
      <c r="AT104" s="29" t="str">
        <f>IF(C104="","",DATE(YEAR(C104),MONTH(C104),1))</f>
        <v/>
      </c>
      <c r="AU104" s="28" t="str">
        <f>IF(AT104="","",TEXT(AT104,"mmmm yyyy"))</f>
        <v/>
      </c>
      <c r="AV104" s="29" t="str">
        <f>IF(C104="","",C104-WEEKDAY(C104,2)+1)</f>
        <v/>
      </c>
      <c r="AW104" s="29" t="str">
        <f>IF(AV104="","",AV104+6)</f>
        <v/>
      </c>
      <c r="AX104" s="28" t="str">
        <f>IF(AV104="","",TEXT(AV104,"dd/mm/yyyy")&amp;" - "&amp;TEXT(AW104,"dd/mm/yyyy"))</f>
        <v/>
      </c>
      <c r="AY104" s="28" t="str">
        <f>IF(B104="","",COUNTIFS($B$5:B104,B104,$AT$5:AT104,AT104))</f>
        <v/>
      </c>
      <c r="AZ104" s="28" t="str">
        <f>IF(B104="","",COUNTIFS($B$5:B104,B104,$AV$5:AV104,AV104))</f>
        <v/>
      </c>
      <c r="BA104" s="28" t="str">
        <f>IF(B104="","",TEXT(AY104,"00")&amp;"|"&amp;B104&amp;"|"&amp;TEXT(AT104,"yyyymmdd"))</f>
        <v/>
      </c>
      <c r="BB104" s="28" t="str">
        <f>IF(B104="","",TEXT(AZ104,"00")&amp;"|"&amp;B104&amp;"|"&amp;TEXT(AV104,"yyyymmdd"))</f>
        <v/>
      </c>
      <c r="BC104" s="28">
        <f>IF(OR(AQ104="YES",AQ104="Yes",AQ104="Y",AQ104=1),1,0)</f>
        <v>0</v>
      </c>
    </row>
    <row r="105" spans="1:55" ht="15" customHeight="1">
      <c r="A105" s="27"/>
      <c r="B105" s="28"/>
      <c r="C105" s="29"/>
      <c r="D105" s="30"/>
      <c r="E105" s="30"/>
      <c r="F105" s="28"/>
      <c r="G105" s="28"/>
      <c r="H105" s="28"/>
      <c r="I105" s="13"/>
      <c r="J105" s="28"/>
      <c r="K105" s="13"/>
      <c r="L105" s="28"/>
      <c r="M105" s="13"/>
      <c r="N105" s="28"/>
      <c r="O105" s="13"/>
      <c r="P105" s="28"/>
      <c r="Q105" s="20"/>
      <c r="R105" s="28"/>
      <c r="S105" s="20"/>
      <c r="T105" s="28"/>
      <c r="U105" s="13"/>
      <c r="V105" s="28"/>
      <c r="W105" s="13"/>
      <c r="X105" s="28"/>
      <c r="Y105" s="13"/>
      <c r="Z105" s="28"/>
      <c r="AA105" s="13"/>
      <c r="AB105" s="28"/>
      <c r="AC105" s="13"/>
      <c r="AD105" s="28"/>
      <c r="AE105" s="13"/>
      <c r="AF105" s="28"/>
      <c r="AG105" s="13"/>
      <c r="AH105" s="28"/>
      <c r="AI105" s="13"/>
      <c r="AJ105" s="28"/>
      <c r="AK105" s="13"/>
      <c r="AL105" s="28"/>
      <c r="AM105" s="13"/>
      <c r="AN105" s="28"/>
      <c r="AO105" s="13"/>
      <c r="AP105" s="28"/>
      <c r="AQ105" s="13"/>
      <c r="AR105" s="28"/>
      <c r="AS105" s="19">
        <f>SUM(H105,J105,L105,N105,P105,R105,T105,V105,X105,Z105,AB105,AD105,AF105,AH105,AJ105,AL105,AN105)</f>
        <v>0</v>
      </c>
      <c r="AT105" s="29" t="str">
        <f>IF(C105="","",DATE(YEAR(C105),MONTH(C105),1))</f>
        <v/>
      </c>
      <c r="AU105" s="28" t="str">
        <f>IF(AT105="","",TEXT(AT105,"mmmm yyyy"))</f>
        <v/>
      </c>
      <c r="AV105" s="29" t="str">
        <f>IF(C105="","",C105-WEEKDAY(C105,2)+1)</f>
        <v/>
      </c>
      <c r="AW105" s="29" t="str">
        <f>IF(AV105="","",AV105+6)</f>
        <v/>
      </c>
      <c r="AX105" s="28" t="str">
        <f>IF(AV105="","",TEXT(AV105,"dd/mm/yyyy")&amp;" - "&amp;TEXT(AW105,"dd/mm/yyyy"))</f>
        <v/>
      </c>
      <c r="AY105" s="28" t="str">
        <f>IF(B105="","",COUNTIFS($B$5:B105,B105,$AT$5:AT105,AT105))</f>
        <v/>
      </c>
      <c r="AZ105" s="28" t="str">
        <f>IF(B105="","",COUNTIFS($B$5:B105,B105,$AV$5:AV105,AV105))</f>
        <v/>
      </c>
      <c r="BA105" s="28" t="str">
        <f>IF(B105="","",TEXT(AY105,"00")&amp;"|"&amp;B105&amp;"|"&amp;TEXT(AT105,"yyyymmdd"))</f>
        <v/>
      </c>
      <c r="BB105" s="28" t="str">
        <f>IF(B105="","",TEXT(AZ105,"00")&amp;"|"&amp;B105&amp;"|"&amp;TEXT(AV105,"yyyymmdd"))</f>
        <v/>
      </c>
      <c r="BC105" s="28">
        <f>IF(OR(AQ105="YES",AQ105="Yes",AQ105="Y",AQ105=1),1,0)</f>
        <v>0</v>
      </c>
    </row>
    <row r="106" spans="1:55" ht="15" customHeight="1">
      <c r="A106" s="27"/>
      <c r="B106" s="28"/>
      <c r="C106" s="29"/>
      <c r="D106" s="30"/>
      <c r="E106" s="30"/>
      <c r="F106" s="28"/>
      <c r="G106" s="28"/>
      <c r="H106" s="28"/>
      <c r="I106" s="13"/>
      <c r="J106" s="28"/>
      <c r="K106" s="13"/>
      <c r="L106" s="28"/>
      <c r="M106" s="13"/>
      <c r="N106" s="28"/>
      <c r="O106" s="13"/>
      <c r="P106" s="28"/>
      <c r="Q106" s="20"/>
      <c r="R106" s="28"/>
      <c r="S106" s="20"/>
      <c r="T106" s="28"/>
      <c r="U106" s="13"/>
      <c r="V106" s="28"/>
      <c r="W106" s="13"/>
      <c r="X106" s="28"/>
      <c r="Y106" s="13"/>
      <c r="Z106" s="28"/>
      <c r="AA106" s="13"/>
      <c r="AB106" s="28"/>
      <c r="AC106" s="13"/>
      <c r="AD106" s="28"/>
      <c r="AE106" s="13"/>
      <c r="AF106" s="28"/>
      <c r="AG106" s="13"/>
      <c r="AH106" s="28"/>
      <c r="AI106" s="13"/>
      <c r="AJ106" s="28"/>
      <c r="AK106" s="13"/>
      <c r="AL106" s="28"/>
      <c r="AM106" s="13"/>
      <c r="AN106" s="28"/>
      <c r="AO106" s="13"/>
      <c r="AP106" s="28"/>
      <c r="AQ106" s="13"/>
      <c r="AR106" s="28"/>
      <c r="AS106" s="19">
        <f>SUM(H106,J106,L106,N106,P106,R106,T106,V106,X106,Z106,AB106,AD106,AF106,AH106,AJ106,AL106,AN106)</f>
        <v>0</v>
      </c>
      <c r="AT106" s="29" t="str">
        <f>IF(C106="","",DATE(YEAR(C106),MONTH(C106),1))</f>
        <v/>
      </c>
      <c r="AU106" s="28" t="str">
        <f>IF(AT106="","",TEXT(AT106,"mmmm yyyy"))</f>
        <v/>
      </c>
      <c r="AV106" s="29" t="str">
        <f>IF(C106="","",C106-WEEKDAY(C106,2)+1)</f>
        <v/>
      </c>
      <c r="AW106" s="29" t="str">
        <f>IF(AV106="","",AV106+6)</f>
        <v/>
      </c>
      <c r="AX106" s="28" t="str">
        <f>IF(AV106="","",TEXT(AV106,"dd/mm/yyyy")&amp;" - "&amp;TEXT(AW106,"dd/mm/yyyy"))</f>
        <v/>
      </c>
      <c r="AY106" s="28" t="str">
        <f>IF(B106="","",COUNTIFS($B$5:B106,B106,$AT$5:AT106,AT106))</f>
        <v/>
      </c>
      <c r="AZ106" s="28" t="str">
        <f>IF(B106="","",COUNTIFS($B$5:B106,B106,$AV$5:AV106,AV106))</f>
        <v/>
      </c>
      <c r="BA106" s="28" t="str">
        <f>IF(B106="","",TEXT(AY106,"00")&amp;"|"&amp;B106&amp;"|"&amp;TEXT(AT106,"yyyymmdd"))</f>
        <v/>
      </c>
      <c r="BB106" s="28" t="str">
        <f>IF(B106="","",TEXT(AZ106,"00")&amp;"|"&amp;B106&amp;"|"&amp;TEXT(AV106,"yyyymmdd"))</f>
        <v/>
      </c>
      <c r="BC106" s="28">
        <f>IF(OR(AQ106="YES",AQ106="Yes",AQ106="Y",AQ106=1),1,0)</f>
        <v>0</v>
      </c>
    </row>
    <row r="107" spans="1:55" ht="15" customHeight="1">
      <c r="A107" s="27"/>
      <c r="B107" s="28"/>
      <c r="C107" s="29"/>
      <c r="D107" s="30"/>
      <c r="E107" s="30"/>
      <c r="F107" s="28"/>
      <c r="G107" s="28"/>
      <c r="H107" s="28"/>
      <c r="I107" s="13"/>
      <c r="J107" s="28"/>
      <c r="K107" s="13"/>
      <c r="L107" s="28"/>
      <c r="M107" s="13"/>
      <c r="N107" s="28"/>
      <c r="O107" s="13"/>
      <c r="P107" s="28"/>
      <c r="Q107" s="20"/>
      <c r="R107" s="28"/>
      <c r="S107" s="20"/>
      <c r="T107" s="28"/>
      <c r="U107" s="13"/>
      <c r="V107" s="28"/>
      <c r="W107" s="13"/>
      <c r="X107" s="28"/>
      <c r="Y107" s="13"/>
      <c r="Z107" s="28"/>
      <c r="AA107" s="13"/>
      <c r="AB107" s="28"/>
      <c r="AC107" s="13"/>
      <c r="AD107" s="28"/>
      <c r="AE107" s="13"/>
      <c r="AF107" s="28"/>
      <c r="AG107" s="13"/>
      <c r="AH107" s="28"/>
      <c r="AI107" s="13"/>
      <c r="AJ107" s="28"/>
      <c r="AK107" s="13"/>
      <c r="AL107" s="28"/>
      <c r="AM107" s="13"/>
      <c r="AN107" s="28"/>
      <c r="AO107" s="13"/>
      <c r="AP107" s="28"/>
      <c r="AQ107" s="13"/>
      <c r="AR107" s="28"/>
      <c r="AS107" s="19">
        <f>SUM(H107,J107,L107,N107,P107,R107,T107,V107,X107,Z107,AB107,AD107,AF107,AH107,AJ107,AL107,AN107)</f>
        <v>0</v>
      </c>
      <c r="AT107" s="29" t="str">
        <f>IF(C107="","",DATE(YEAR(C107),MONTH(C107),1))</f>
        <v/>
      </c>
      <c r="AU107" s="28" t="str">
        <f>IF(AT107="","",TEXT(AT107,"mmmm yyyy"))</f>
        <v/>
      </c>
      <c r="AV107" s="29" t="str">
        <f>IF(C107="","",C107-WEEKDAY(C107,2)+1)</f>
        <v/>
      </c>
      <c r="AW107" s="29" t="str">
        <f>IF(AV107="","",AV107+6)</f>
        <v/>
      </c>
      <c r="AX107" s="28" t="str">
        <f>IF(AV107="","",TEXT(AV107,"dd/mm/yyyy")&amp;" - "&amp;TEXT(AW107,"dd/mm/yyyy"))</f>
        <v/>
      </c>
      <c r="AY107" s="28" t="str">
        <f>IF(B107="","",COUNTIFS($B$5:B107,B107,$AT$5:AT107,AT107))</f>
        <v/>
      </c>
      <c r="AZ107" s="28" t="str">
        <f>IF(B107="","",COUNTIFS($B$5:B107,B107,$AV$5:AV107,AV107))</f>
        <v/>
      </c>
      <c r="BA107" s="28" t="str">
        <f>IF(B107="","",TEXT(AY107,"00")&amp;"|"&amp;B107&amp;"|"&amp;TEXT(AT107,"yyyymmdd"))</f>
        <v/>
      </c>
      <c r="BB107" s="28" t="str">
        <f>IF(B107="","",TEXT(AZ107,"00")&amp;"|"&amp;B107&amp;"|"&amp;TEXT(AV107,"yyyymmdd"))</f>
        <v/>
      </c>
      <c r="BC107" s="28">
        <f>IF(OR(AQ107="YES",AQ107="Yes",AQ107="Y",AQ107=1),1,0)</f>
        <v>0</v>
      </c>
    </row>
    <row r="108" spans="1:55" ht="15" customHeight="1">
      <c r="A108" s="27"/>
      <c r="B108" s="28"/>
      <c r="C108" s="29"/>
      <c r="D108" s="30"/>
      <c r="E108" s="30"/>
      <c r="F108" s="28"/>
      <c r="G108" s="28"/>
      <c r="H108" s="28"/>
      <c r="I108" s="13"/>
      <c r="J108" s="28"/>
      <c r="K108" s="13"/>
      <c r="L108" s="28"/>
      <c r="M108" s="13"/>
      <c r="N108" s="28"/>
      <c r="O108" s="13"/>
      <c r="P108" s="28"/>
      <c r="Q108" s="20"/>
      <c r="R108" s="28"/>
      <c r="S108" s="20"/>
      <c r="T108" s="28"/>
      <c r="U108" s="13"/>
      <c r="V108" s="28"/>
      <c r="W108" s="13"/>
      <c r="X108" s="28"/>
      <c r="Y108" s="13"/>
      <c r="Z108" s="28"/>
      <c r="AA108" s="13"/>
      <c r="AB108" s="28"/>
      <c r="AC108" s="13"/>
      <c r="AD108" s="28"/>
      <c r="AE108" s="13"/>
      <c r="AF108" s="28"/>
      <c r="AG108" s="13"/>
      <c r="AH108" s="28"/>
      <c r="AI108" s="13"/>
      <c r="AJ108" s="28"/>
      <c r="AK108" s="13"/>
      <c r="AL108" s="28"/>
      <c r="AM108" s="13"/>
      <c r="AN108" s="28"/>
      <c r="AO108" s="13"/>
      <c r="AP108" s="28"/>
      <c r="AQ108" s="13"/>
      <c r="AR108" s="28"/>
      <c r="AS108" s="19">
        <f>SUM(H108,J108,L108,N108,P108,R108,T108,V108,X108,Z108,AB108,AD108,AF108,AH108,AJ108,AL108,AN108)</f>
        <v>0</v>
      </c>
      <c r="AT108" s="29" t="str">
        <f>IF(C108="","",DATE(YEAR(C108),MONTH(C108),1))</f>
        <v/>
      </c>
      <c r="AU108" s="28" t="str">
        <f>IF(AT108="","",TEXT(AT108,"mmmm yyyy"))</f>
        <v/>
      </c>
      <c r="AV108" s="29" t="str">
        <f>IF(C108="","",C108-WEEKDAY(C108,2)+1)</f>
        <v/>
      </c>
      <c r="AW108" s="29" t="str">
        <f>IF(AV108="","",AV108+6)</f>
        <v/>
      </c>
      <c r="AX108" s="28" t="str">
        <f>IF(AV108="","",TEXT(AV108,"dd/mm/yyyy")&amp;" - "&amp;TEXT(AW108,"dd/mm/yyyy"))</f>
        <v/>
      </c>
      <c r="AY108" s="28" t="str">
        <f>IF(B108="","",COUNTIFS($B$5:B108,B108,$AT$5:AT108,AT108))</f>
        <v/>
      </c>
      <c r="AZ108" s="28" t="str">
        <f>IF(B108="","",COUNTIFS($B$5:B108,B108,$AV$5:AV108,AV108))</f>
        <v/>
      </c>
      <c r="BA108" s="28" t="str">
        <f>IF(B108="","",TEXT(AY108,"00")&amp;"|"&amp;B108&amp;"|"&amp;TEXT(AT108,"yyyymmdd"))</f>
        <v/>
      </c>
      <c r="BB108" s="28" t="str">
        <f>IF(B108="","",TEXT(AZ108,"00")&amp;"|"&amp;B108&amp;"|"&amp;TEXT(AV108,"yyyymmdd"))</f>
        <v/>
      </c>
      <c r="BC108" s="28">
        <f>IF(OR(AQ108="YES",AQ108="Yes",AQ108="Y",AQ108=1),1,0)</f>
        <v>0</v>
      </c>
    </row>
    <row r="109" spans="1:55" ht="15" customHeight="1">
      <c r="A109" s="27"/>
      <c r="B109" s="28"/>
      <c r="C109" s="29"/>
      <c r="D109" s="30"/>
      <c r="E109" s="30"/>
      <c r="F109" s="28"/>
      <c r="G109" s="28"/>
      <c r="H109" s="28"/>
      <c r="I109" s="13"/>
      <c r="J109" s="28"/>
      <c r="K109" s="13"/>
      <c r="L109" s="28"/>
      <c r="M109" s="13"/>
      <c r="N109" s="28"/>
      <c r="O109" s="13"/>
      <c r="P109" s="28"/>
      <c r="Q109" s="20"/>
      <c r="R109" s="28"/>
      <c r="S109" s="20"/>
      <c r="T109" s="28"/>
      <c r="U109" s="13"/>
      <c r="V109" s="28"/>
      <c r="W109" s="13"/>
      <c r="X109" s="28"/>
      <c r="Y109" s="13"/>
      <c r="Z109" s="28"/>
      <c r="AA109" s="13"/>
      <c r="AB109" s="28"/>
      <c r="AC109" s="13"/>
      <c r="AD109" s="28"/>
      <c r="AE109" s="13"/>
      <c r="AF109" s="28"/>
      <c r="AG109" s="13"/>
      <c r="AH109" s="28"/>
      <c r="AI109" s="13"/>
      <c r="AJ109" s="28"/>
      <c r="AK109" s="13"/>
      <c r="AL109" s="28"/>
      <c r="AM109" s="13"/>
      <c r="AN109" s="28"/>
      <c r="AO109" s="13"/>
      <c r="AP109" s="28"/>
      <c r="AQ109" s="13"/>
      <c r="AR109" s="28"/>
      <c r="AS109" s="19">
        <f>SUM(H109,J109,L109,N109,P109,R109,T109,V109,X109,Z109,AB109,AD109,AF109,AH109,AJ109,AL109,AN109)</f>
        <v>0</v>
      </c>
      <c r="AT109" s="29" t="str">
        <f>IF(C109="","",DATE(YEAR(C109),MONTH(C109),1))</f>
        <v/>
      </c>
      <c r="AU109" s="28" t="str">
        <f>IF(AT109="","",TEXT(AT109,"mmmm yyyy"))</f>
        <v/>
      </c>
      <c r="AV109" s="29" t="str">
        <f>IF(C109="","",C109-WEEKDAY(C109,2)+1)</f>
        <v/>
      </c>
      <c r="AW109" s="29" t="str">
        <f>IF(AV109="","",AV109+6)</f>
        <v/>
      </c>
      <c r="AX109" s="28" t="str">
        <f>IF(AV109="","",TEXT(AV109,"dd/mm/yyyy")&amp;" - "&amp;TEXT(AW109,"dd/mm/yyyy"))</f>
        <v/>
      </c>
      <c r="AY109" s="28" t="str">
        <f>IF(B109="","",COUNTIFS($B$5:B109,B109,$AT$5:AT109,AT109))</f>
        <v/>
      </c>
      <c r="AZ109" s="28" t="str">
        <f>IF(B109="","",COUNTIFS($B$5:B109,B109,$AV$5:AV109,AV109))</f>
        <v/>
      </c>
      <c r="BA109" s="28" t="str">
        <f>IF(B109="","",TEXT(AY109,"00")&amp;"|"&amp;B109&amp;"|"&amp;TEXT(AT109,"yyyymmdd"))</f>
        <v/>
      </c>
      <c r="BB109" s="28" t="str">
        <f>IF(B109="","",TEXT(AZ109,"00")&amp;"|"&amp;B109&amp;"|"&amp;TEXT(AV109,"yyyymmdd"))</f>
        <v/>
      </c>
      <c r="BC109" s="28">
        <f>IF(OR(AQ109="YES",AQ109="Yes",AQ109="Y",AQ109=1),1,0)</f>
        <v>0</v>
      </c>
    </row>
    <row r="110" spans="1:55" ht="15" customHeight="1">
      <c r="A110" s="27"/>
      <c r="B110" s="28"/>
      <c r="C110" s="29"/>
      <c r="D110" s="30"/>
      <c r="E110" s="30"/>
      <c r="F110" s="28"/>
      <c r="G110" s="28"/>
      <c r="H110" s="28"/>
      <c r="I110" s="13"/>
      <c r="J110" s="28"/>
      <c r="K110" s="13"/>
      <c r="L110" s="28"/>
      <c r="M110" s="13"/>
      <c r="N110" s="28"/>
      <c r="O110" s="13"/>
      <c r="P110" s="28"/>
      <c r="Q110" s="20"/>
      <c r="R110" s="28"/>
      <c r="S110" s="20"/>
      <c r="T110" s="28"/>
      <c r="U110" s="13"/>
      <c r="V110" s="28"/>
      <c r="W110" s="13"/>
      <c r="X110" s="28"/>
      <c r="Y110" s="13"/>
      <c r="Z110" s="28"/>
      <c r="AA110" s="13"/>
      <c r="AB110" s="28"/>
      <c r="AC110" s="13"/>
      <c r="AD110" s="28"/>
      <c r="AE110" s="13"/>
      <c r="AF110" s="28"/>
      <c r="AG110" s="13"/>
      <c r="AH110" s="28"/>
      <c r="AI110" s="13"/>
      <c r="AJ110" s="28"/>
      <c r="AK110" s="13"/>
      <c r="AL110" s="28"/>
      <c r="AM110" s="13"/>
      <c r="AN110" s="28"/>
      <c r="AO110" s="13"/>
      <c r="AP110" s="28"/>
      <c r="AQ110" s="13"/>
      <c r="AR110" s="28"/>
      <c r="AS110" s="19">
        <f>SUM(H110,J110,L110,N110,P110,R110,T110,V110,X110,Z110,AB110,AD110,AF110,AH110,AJ110,AL110,AN110)</f>
        <v>0</v>
      </c>
      <c r="AT110" s="29" t="str">
        <f>IF(C110="","",DATE(YEAR(C110),MONTH(C110),1))</f>
        <v/>
      </c>
      <c r="AU110" s="28" t="str">
        <f>IF(AT110="","",TEXT(AT110,"mmmm yyyy"))</f>
        <v/>
      </c>
      <c r="AV110" s="29" t="str">
        <f>IF(C110="","",C110-WEEKDAY(C110,2)+1)</f>
        <v/>
      </c>
      <c r="AW110" s="29" t="str">
        <f>IF(AV110="","",AV110+6)</f>
        <v/>
      </c>
      <c r="AX110" s="28" t="str">
        <f>IF(AV110="","",TEXT(AV110,"dd/mm/yyyy")&amp;" - "&amp;TEXT(AW110,"dd/mm/yyyy"))</f>
        <v/>
      </c>
      <c r="AY110" s="28" t="str">
        <f>IF(B110="","",COUNTIFS($B$5:B110,B110,$AT$5:AT110,AT110))</f>
        <v/>
      </c>
      <c r="AZ110" s="28" t="str">
        <f>IF(B110="","",COUNTIFS($B$5:B110,B110,$AV$5:AV110,AV110))</f>
        <v/>
      </c>
      <c r="BA110" s="28" t="str">
        <f>IF(B110="","",TEXT(AY110,"00")&amp;"|"&amp;B110&amp;"|"&amp;TEXT(AT110,"yyyymmdd"))</f>
        <v/>
      </c>
      <c r="BB110" s="28" t="str">
        <f>IF(B110="","",TEXT(AZ110,"00")&amp;"|"&amp;B110&amp;"|"&amp;TEXT(AV110,"yyyymmdd"))</f>
        <v/>
      </c>
      <c r="BC110" s="28">
        <f>IF(OR(AQ110="YES",AQ110="Yes",AQ110="Y",AQ110=1),1,0)</f>
        <v>0</v>
      </c>
    </row>
    <row r="111" spans="1:55" ht="15" customHeight="1">
      <c r="A111" s="27"/>
      <c r="B111" s="28"/>
      <c r="C111" s="29"/>
      <c r="D111" s="30"/>
      <c r="E111" s="30"/>
      <c r="F111" s="28"/>
      <c r="G111" s="28"/>
      <c r="H111" s="28"/>
      <c r="I111" s="13"/>
      <c r="J111" s="28"/>
      <c r="K111" s="13"/>
      <c r="L111" s="28"/>
      <c r="M111" s="13"/>
      <c r="N111" s="28"/>
      <c r="O111" s="13"/>
      <c r="P111" s="28"/>
      <c r="Q111" s="20"/>
      <c r="R111" s="28"/>
      <c r="S111" s="20"/>
      <c r="T111" s="28"/>
      <c r="U111" s="13"/>
      <c r="V111" s="28"/>
      <c r="W111" s="13"/>
      <c r="X111" s="28"/>
      <c r="Y111" s="13"/>
      <c r="Z111" s="28"/>
      <c r="AA111" s="13"/>
      <c r="AB111" s="28"/>
      <c r="AC111" s="13"/>
      <c r="AD111" s="28"/>
      <c r="AE111" s="13"/>
      <c r="AF111" s="28"/>
      <c r="AG111" s="13"/>
      <c r="AH111" s="28"/>
      <c r="AI111" s="13"/>
      <c r="AJ111" s="28"/>
      <c r="AK111" s="13"/>
      <c r="AL111" s="28"/>
      <c r="AM111" s="13"/>
      <c r="AN111" s="28"/>
      <c r="AO111" s="13"/>
      <c r="AP111" s="28"/>
      <c r="AQ111" s="13"/>
      <c r="AR111" s="28"/>
      <c r="AS111" s="19">
        <f>SUM(H111,J111,L111,N111,P111,R111,T111,V111,X111,Z111,AB111,AD111,AF111,AH111,AJ111,AL111,AN111)</f>
        <v>0</v>
      </c>
      <c r="AT111" s="29" t="str">
        <f>IF(C111="","",DATE(YEAR(C111),MONTH(C111),1))</f>
        <v/>
      </c>
      <c r="AU111" s="28" t="str">
        <f>IF(AT111="","",TEXT(AT111,"mmmm yyyy"))</f>
        <v/>
      </c>
      <c r="AV111" s="29" t="str">
        <f>IF(C111="","",C111-WEEKDAY(C111,2)+1)</f>
        <v/>
      </c>
      <c r="AW111" s="29" t="str">
        <f>IF(AV111="","",AV111+6)</f>
        <v/>
      </c>
      <c r="AX111" s="28" t="str">
        <f>IF(AV111="","",TEXT(AV111,"dd/mm/yyyy")&amp;" - "&amp;TEXT(AW111,"dd/mm/yyyy"))</f>
        <v/>
      </c>
      <c r="AY111" s="28" t="str">
        <f>IF(B111="","",COUNTIFS($B$5:B111,B111,$AT$5:AT111,AT111))</f>
        <v/>
      </c>
      <c r="AZ111" s="28" t="str">
        <f>IF(B111="","",COUNTIFS($B$5:B111,B111,$AV$5:AV111,AV111))</f>
        <v/>
      </c>
      <c r="BA111" s="28" t="str">
        <f>IF(B111="","",TEXT(AY111,"00")&amp;"|"&amp;B111&amp;"|"&amp;TEXT(AT111,"yyyymmdd"))</f>
        <v/>
      </c>
      <c r="BB111" s="28" t="str">
        <f>IF(B111="","",TEXT(AZ111,"00")&amp;"|"&amp;B111&amp;"|"&amp;TEXT(AV111,"yyyymmdd"))</f>
        <v/>
      </c>
      <c r="BC111" s="28">
        <f>IF(OR(AQ111="YES",AQ111="Yes",AQ111="Y",AQ111=1),1,0)</f>
        <v>0</v>
      </c>
    </row>
    <row r="112" spans="1:55" ht="15" customHeight="1">
      <c r="A112" s="27"/>
      <c r="B112" s="28"/>
      <c r="C112" s="29"/>
      <c r="D112" s="30"/>
      <c r="E112" s="30"/>
      <c r="F112" s="28"/>
      <c r="G112" s="28"/>
      <c r="H112" s="28"/>
      <c r="I112" s="13"/>
      <c r="J112" s="28"/>
      <c r="K112" s="13"/>
      <c r="L112" s="28"/>
      <c r="M112" s="13"/>
      <c r="N112" s="28"/>
      <c r="O112" s="13"/>
      <c r="P112" s="28"/>
      <c r="Q112" s="20"/>
      <c r="R112" s="28"/>
      <c r="S112" s="20"/>
      <c r="T112" s="28"/>
      <c r="U112" s="13"/>
      <c r="V112" s="28"/>
      <c r="W112" s="13"/>
      <c r="X112" s="28"/>
      <c r="Y112" s="13"/>
      <c r="Z112" s="28"/>
      <c r="AA112" s="13"/>
      <c r="AB112" s="28"/>
      <c r="AC112" s="13"/>
      <c r="AD112" s="28"/>
      <c r="AE112" s="13"/>
      <c r="AF112" s="28"/>
      <c r="AG112" s="13"/>
      <c r="AH112" s="28"/>
      <c r="AI112" s="13"/>
      <c r="AJ112" s="28"/>
      <c r="AK112" s="13"/>
      <c r="AL112" s="28"/>
      <c r="AM112" s="13"/>
      <c r="AN112" s="28"/>
      <c r="AO112" s="13"/>
      <c r="AP112" s="28"/>
      <c r="AQ112" s="13"/>
      <c r="AR112" s="28"/>
      <c r="AS112" s="19">
        <f>SUM(H112,J112,L112,N112,P112,R112,T112,V112,X112,Z112,AB112,AD112,AF112,AH112,AJ112,AL112,AN112)</f>
        <v>0</v>
      </c>
      <c r="AT112" s="29" t="str">
        <f>IF(C112="","",DATE(YEAR(C112),MONTH(C112),1))</f>
        <v/>
      </c>
      <c r="AU112" s="28" t="str">
        <f>IF(AT112="","",TEXT(AT112,"mmmm yyyy"))</f>
        <v/>
      </c>
      <c r="AV112" s="29" t="str">
        <f>IF(C112="","",C112-WEEKDAY(C112,2)+1)</f>
        <v/>
      </c>
      <c r="AW112" s="29" t="str">
        <f>IF(AV112="","",AV112+6)</f>
        <v/>
      </c>
      <c r="AX112" s="28" t="str">
        <f>IF(AV112="","",TEXT(AV112,"dd/mm/yyyy")&amp;" - "&amp;TEXT(AW112,"dd/mm/yyyy"))</f>
        <v/>
      </c>
      <c r="AY112" s="28" t="str">
        <f>IF(B112="","",COUNTIFS($B$5:B112,B112,$AT$5:AT112,AT112))</f>
        <v/>
      </c>
      <c r="AZ112" s="28" t="str">
        <f>IF(B112="","",COUNTIFS($B$5:B112,B112,$AV$5:AV112,AV112))</f>
        <v/>
      </c>
      <c r="BA112" s="28" t="str">
        <f>IF(B112="","",TEXT(AY112,"00")&amp;"|"&amp;B112&amp;"|"&amp;TEXT(AT112,"yyyymmdd"))</f>
        <v/>
      </c>
      <c r="BB112" s="28" t="str">
        <f>IF(B112="","",TEXT(AZ112,"00")&amp;"|"&amp;B112&amp;"|"&amp;TEXT(AV112,"yyyymmdd"))</f>
        <v/>
      </c>
      <c r="BC112" s="28">
        <f>IF(OR(AQ112="YES",AQ112="Yes",AQ112="Y",AQ112=1),1,0)</f>
        <v>0</v>
      </c>
    </row>
    <row r="113" spans="1:55" ht="15" customHeight="1">
      <c r="A113" s="27"/>
      <c r="B113" s="28"/>
      <c r="C113" s="29"/>
      <c r="D113" s="30"/>
      <c r="E113" s="30"/>
      <c r="F113" s="28"/>
      <c r="G113" s="28"/>
      <c r="H113" s="28"/>
      <c r="I113" s="13"/>
      <c r="J113" s="28"/>
      <c r="K113" s="13"/>
      <c r="L113" s="28"/>
      <c r="M113" s="13"/>
      <c r="N113" s="28"/>
      <c r="O113" s="13"/>
      <c r="P113" s="28"/>
      <c r="Q113" s="20"/>
      <c r="R113" s="28"/>
      <c r="S113" s="20"/>
      <c r="T113" s="28"/>
      <c r="U113" s="13"/>
      <c r="V113" s="28"/>
      <c r="W113" s="13"/>
      <c r="X113" s="28"/>
      <c r="Y113" s="13"/>
      <c r="Z113" s="28"/>
      <c r="AA113" s="13"/>
      <c r="AB113" s="28"/>
      <c r="AC113" s="13"/>
      <c r="AD113" s="28"/>
      <c r="AE113" s="13"/>
      <c r="AF113" s="28"/>
      <c r="AG113" s="13"/>
      <c r="AH113" s="28"/>
      <c r="AI113" s="13"/>
      <c r="AJ113" s="28"/>
      <c r="AK113" s="13"/>
      <c r="AL113" s="28"/>
      <c r="AM113" s="13"/>
      <c r="AN113" s="28"/>
      <c r="AO113" s="13"/>
      <c r="AP113" s="28"/>
      <c r="AQ113" s="13"/>
      <c r="AR113" s="28"/>
      <c r="AS113" s="19">
        <f>SUM(H113,J113,L113,N113,P113,R113,T113,V113,X113,Z113,AB113,AD113,AF113,AH113,AJ113,AL113,AN113)</f>
        <v>0</v>
      </c>
      <c r="AT113" s="29" t="str">
        <f>IF(C113="","",DATE(YEAR(C113),MONTH(C113),1))</f>
        <v/>
      </c>
      <c r="AU113" s="28" t="str">
        <f>IF(AT113="","",TEXT(AT113,"mmmm yyyy"))</f>
        <v/>
      </c>
      <c r="AV113" s="29" t="str">
        <f>IF(C113="","",C113-WEEKDAY(C113,2)+1)</f>
        <v/>
      </c>
      <c r="AW113" s="29" t="str">
        <f>IF(AV113="","",AV113+6)</f>
        <v/>
      </c>
      <c r="AX113" s="28" t="str">
        <f>IF(AV113="","",TEXT(AV113,"dd/mm/yyyy")&amp;" - "&amp;TEXT(AW113,"dd/mm/yyyy"))</f>
        <v/>
      </c>
      <c r="AY113" s="28" t="str">
        <f>IF(B113="","",COUNTIFS($B$5:B113,B113,$AT$5:AT113,AT113))</f>
        <v/>
      </c>
      <c r="AZ113" s="28" t="str">
        <f>IF(B113="","",COUNTIFS($B$5:B113,B113,$AV$5:AV113,AV113))</f>
        <v/>
      </c>
      <c r="BA113" s="28" t="str">
        <f>IF(B113="","",TEXT(AY113,"00")&amp;"|"&amp;B113&amp;"|"&amp;TEXT(AT113,"yyyymmdd"))</f>
        <v/>
      </c>
      <c r="BB113" s="28" t="str">
        <f>IF(B113="","",TEXT(AZ113,"00")&amp;"|"&amp;B113&amp;"|"&amp;TEXT(AV113,"yyyymmdd"))</f>
        <v/>
      </c>
      <c r="BC113" s="28">
        <f>IF(OR(AQ113="YES",AQ113="Yes",AQ113="Y",AQ113=1),1,0)</f>
        <v>0</v>
      </c>
    </row>
    <row r="114" spans="1:55" ht="15" customHeight="1">
      <c r="A114" s="27"/>
      <c r="B114" s="28"/>
      <c r="C114" s="29"/>
      <c r="D114" s="30"/>
      <c r="E114" s="30"/>
      <c r="F114" s="28"/>
      <c r="G114" s="28"/>
      <c r="H114" s="28"/>
      <c r="I114" s="13"/>
      <c r="J114" s="28"/>
      <c r="K114" s="13"/>
      <c r="L114" s="28"/>
      <c r="M114" s="13"/>
      <c r="N114" s="28"/>
      <c r="O114" s="13"/>
      <c r="P114" s="28"/>
      <c r="Q114" s="20"/>
      <c r="R114" s="28"/>
      <c r="S114" s="20"/>
      <c r="T114" s="28"/>
      <c r="U114" s="13"/>
      <c r="V114" s="28"/>
      <c r="W114" s="13"/>
      <c r="X114" s="28"/>
      <c r="Y114" s="13"/>
      <c r="Z114" s="28"/>
      <c r="AA114" s="13"/>
      <c r="AB114" s="28"/>
      <c r="AC114" s="13"/>
      <c r="AD114" s="28"/>
      <c r="AE114" s="13"/>
      <c r="AF114" s="28"/>
      <c r="AG114" s="13"/>
      <c r="AH114" s="28"/>
      <c r="AI114" s="13"/>
      <c r="AJ114" s="28"/>
      <c r="AK114" s="13"/>
      <c r="AL114" s="28"/>
      <c r="AM114" s="13"/>
      <c r="AN114" s="28"/>
      <c r="AO114" s="13"/>
      <c r="AP114" s="28"/>
      <c r="AQ114" s="13"/>
      <c r="AR114" s="28"/>
      <c r="AS114" s="19">
        <f>SUM(H114,J114,L114,N114,P114,R114,T114,V114,X114,Z114,AB114,AD114,AF114,AH114,AJ114,AL114,AN114)</f>
        <v>0</v>
      </c>
      <c r="AT114" s="29" t="str">
        <f>IF(C114="","",DATE(YEAR(C114),MONTH(C114),1))</f>
        <v/>
      </c>
      <c r="AU114" s="28" t="str">
        <f>IF(AT114="","",TEXT(AT114,"mmmm yyyy"))</f>
        <v/>
      </c>
      <c r="AV114" s="29" t="str">
        <f>IF(C114="","",C114-WEEKDAY(C114,2)+1)</f>
        <v/>
      </c>
      <c r="AW114" s="29" t="str">
        <f>IF(AV114="","",AV114+6)</f>
        <v/>
      </c>
      <c r="AX114" s="28" t="str">
        <f>IF(AV114="","",TEXT(AV114,"dd/mm/yyyy")&amp;" - "&amp;TEXT(AW114,"dd/mm/yyyy"))</f>
        <v/>
      </c>
      <c r="AY114" s="28" t="str">
        <f>IF(B114="","",COUNTIFS($B$5:B114,B114,$AT$5:AT114,AT114))</f>
        <v/>
      </c>
      <c r="AZ114" s="28" t="str">
        <f>IF(B114="","",COUNTIFS($B$5:B114,B114,$AV$5:AV114,AV114))</f>
        <v/>
      </c>
      <c r="BA114" s="28" t="str">
        <f>IF(B114="","",TEXT(AY114,"00")&amp;"|"&amp;B114&amp;"|"&amp;TEXT(AT114,"yyyymmdd"))</f>
        <v/>
      </c>
      <c r="BB114" s="28" t="str">
        <f>IF(B114="","",TEXT(AZ114,"00")&amp;"|"&amp;B114&amp;"|"&amp;TEXT(AV114,"yyyymmdd"))</f>
        <v/>
      </c>
      <c r="BC114" s="28">
        <f>IF(OR(AQ114="YES",AQ114="Yes",AQ114="Y",AQ114=1),1,0)</f>
        <v>0</v>
      </c>
    </row>
    <row r="115" spans="1:55" ht="15" customHeight="1">
      <c r="A115" s="27"/>
      <c r="B115" s="28"/>
      <c r="C115" s="29"/>
      <c r="D115" s="30"/>
      <c r="E115" s="30"/>
      <c r="F115" s="28"/>
      <c r="G115" s="28"/>
      <c r="H115" s="28"/>
      <c r="I115" s="13"/>
      <c r="J115" s="28"/>
      <c r="K115" s="13"/>
      <c r="L115" s="28"/>
      <c r="M115" s="13"/>
      <c r="N115" s="28"/>
      <c r="O115" s="13"/>
      <c r="P115" s="28"/>
      <c r="Q115" s="20"/>
      <c r="R115" s="28"/>
      <c r="S115" s="20"/>
      <c r="T115" s="28"/>
      <c r="U115" s="13"/>
      <c r="V115" s="28"/>
      <c r="W115" s="13"/>
      <c r="X115" s="28"/>
      <c r="Y115" s="13"/>
      <c r="Z115" s="28"/>
      <c r="AA115" s="13"/>
      <c r="AB115" s="28"/>
      <c r="AC115" s="13"/>
      <c r="AD115" s="28"/>
      <c r="AE115" s="13"/>
      <c r="AF115" s="28"/>
      <c r="AG115" s="13"/>
      <c r="AH115" s="28"/>
      <c r="AI115" s="13"/>
      <c r="AJ115" s="28"/>
      <c r="AK115" s="13"/>
      <c r="AL115" s="28"/>
      <c r="AM115" s="13"/>
      <c r="AN115" s="28"/>
      <c r="AO115" s="13"/>
      <c r="AP115" s="28"/>
      <c r="AQ115" s="13"/>
      <c r="AR115" s="28"/>
      <c r="AS115" s="19">
        <f>SUM(H115,J115,L115,N115,P115,R115,T115,V115,X115,Z115,AB115,AD115,AF115,AH115,AJ115,AL115,AN115)</f>
        <v>0</v>
      </c>
      <c r="AT115" s="29" t="str">
        <f>IF(C115="","",DATE(YEAR(C115),MONTH(C115),1))</f>
        <v/>
      </c>
      <c r="AU115" s="28" t="str">
        <f>IF(AT115="","",TEXT(AT115,"mmmm yyyy"))</f>
        <v/>
      </c>
      <c r="AV115" s="29" t="str">
        <f>IF(C115="","",C115-WEEKDAY(C115,2)+1)</f>
        <v/>
      </c>
      <c r="AW115" s="29" t="str">
        <f>IF(AV115="","",AV115+6)</f>
        <v/>
      </c>
      <c r="AX115" s="28" t="str">
        <f>IF(AV115="","",TEXT(AV115,"dd/mm/yyyy")&amp;" - "&amp;TEXT(AW115,"dd/mm/yyyy"))</f>
        <v/>
      </c>
      <c r="AY115" s="28" t="str">
        <f>IF(B115="","",COUNTIFS($B$5:B115,B115,$AT$5:AT115,AT115))</f>
        <v/>
      </c>
      <c r="AZ115" s="28" t="str">
        <f>IF(B115="","",COUNTIFS($B$5:B115,B115,$AV$5:AV115,AV115))</f>
        <v/>
      </c>
      <c r="BA115" s="28" t="str">
        <f>IF(B115="","",TEXT(AY115,"00")&amp;"|"&amp;B115&amp;"|"&amp;TEXT(AT115,"yyyymmdd"))</f>
        <v/>
      </c>
      <c r="BB115" s="28" t="str">
        <f>IF(B115="","",TEXT(AZ115,"00")&amp;"|"&amp;B115&amp;"|"&amp;TEXT(AV115,"yyyymmdd"))</f>
        <v/>
      </c>
      <c r="BC115" s="28">
        <f>IF(OR(AQ115="YES",AQ115="Yes",AQ115="Y",AQ115=1),1,0)</f>
        <v>0</v>
      </c>
    </row>
    <row r="116" spans="1:55" ht="15" customHeight="1">
      <c r="A116" s="27"/>
      <c r="B116" s="28"/>
      <c r="C116" s="29"/>
      <c r="D116" s="30"/>
      <c r="E116" s="30"/>
      <c r="F116" s="28"/>
      <c r="G116" s="28"/>
      <c r="H116" s="28"/>
      <c r="I116" s="13"/>
      <c r="J116" s="28"/>
      <c r="K116" s="13"/>
      <c r="L116" s="28"/>
      <c r="M116" s="13"/>
      <c r="N116" s="28"/>
      <c r="O116" s="13"/>
      <c r="P116" s="28"/>
      <c r="Q116" s="20"/>
      <c r="R116" s="28"/>
      <c r="S116" s="20"/>
      <c r="T116" s="28"/>
      <c r="U116" s="13"/>
      <c r="V116" s="28"/>
      <c r="W116" s="13"/>
      <c r="X116" s="28"/>
      <c r="Y116" s="13"/>
      <c r="Z116" s="28"/>
      <c r="AA116" s="13"/>
      <c r="AB116" s="28"/>
      <c r="AC116" s="13"/>
      <c r="AD116" s="28"/>
      <c r="AE116" s="13"/>
      <c r="AF116" s="28"/>
      <c r="AG116" s="13"/>
      <c r="AH116" s="28"/>
      <c r="AI116" s="13"/>
      <c r="AJ116" s="28"/>
      <c r="AK116" s="13"/>
      <c r="AL116" s="28"/>
      <c r="AM116" s="13"/>
      <c r="AN116" s="28"/>
      <c r="AO116" s="13"/>
      <c r="AP116" s="28"/>
      <c r="AQ116" s="13"/>
      <c r="AR116" s="28"/>
      <c r="AS116" s="19">
        <f>SUM(H116,J116,L116,N116,P116,R116,T116,V116,X116,Z116,AB116,AD116,AF116,AH116,AJ116,AL116,AN116)</f>
        <v>0</v>
      </c>
      <c r="AT116" s="29" t="str">
        <f>IF(C116="","",DATE(YEAR(C116),MONTH(C116),1))</f>
        <v/>
      </c>
      <c r="AU116" s="28" t="str">
        <f>IF(AT116="","",TEXT(AT116,"mmmm yyyy"))</f>
        <v/>
      </c>
      <c r="AV116" s="29" t="str">
        <f>IF(C116="","",C116-WEEKDAY(C116,2)+1)</f>
        <v/>
      </c>
      <c r="AW116" s="29" t="str">
        <f>IF(AV116="","",AV116+6)</f>
        <v/>
      </c>
      <c r="AX116" s="28" t="str">
        <f>IF(AV116="","",TEXT(AV116,"dd/mm/yyyy")&amp;" - "&amp;TEXT(AW116,"dd/mm/yyyy"))</f>
        <v/>
      </c>
      <c r="AY116" s="28" t="str">
        <f>IF(B116="","",COUNTIFS($B$5:B116,B116,$AT$5:AT116,AT116))</f>
        <v/>
      </c>
      <c r="AZ116" s="28" t="str">
        <f>IF(B116="","",COUNTIFS($B$5:B116,B116,$AV$5:AV116,AV116))</f>
        <v/>
      </c>
      <c r="BA116" s="28" t="str">
        <f>IF(B116="","",TEXT(AY116,"00")&amp;"|"&amp;B116&amp;"|"&amp;TEXT(AT116,"yyyymmdd"))</f>
        <v/>
      </c>
      <c r="BB116" s="28" t="str">
        <f>IF(B116="","",TEXT(AZ116,"00")&amp;"|"&amp;B116&amp;"|"&amp;TEXT(AV116,"yyyymmdd"))</f>
        <v/>
      </c>
      <c r="BC116" s="28">
        <f>IF(OR(AQ116="YES",AQ116="Yes",AQ116="Y",AQ116=1),1,0)</f>
        <v>0</v>
      </c>
    </row>
    <row r="117" spans="1:55" ht="15" customHeight="1">
      <c r="A117" s="27"/>
      <c r="B117" s="28"/>
      <c r="C117" s="29"/>
      <c r="D117" s="30"/>
      <c r="E117" s="30"/>
      <c r="F117" s="28"/>
      <c r="G117" s="28"/>
      <c r="H117" s="28"/>
      <c r="I117" s="13"/>
      <c r="J117" s="28"/>
      <c r="K117" s="13"/>
      <c r="L117" s="28"/>
      <c r="M117" s="13"/>
      <c r="N117" s="28"/>
      <c r="O117" s="13"/>
      <c r="P117" s="28"/>
      <c r="Q117" s="20"/>
      <c r="R117" s="28"/>
      <c r="S117" s="20"/>
      <c r="T117" s="28"/>
      <c r="U117" s="13"/>
      <c r="V117" s="28"/>
      <c r="W117" s="13"/>
      <c r="X117" s="28"/>
      <c r="Y117" s="13"/>
      <c r="Z117" s="28"/>
      <c r="AA117" s="13"/>
      <c r="AB117" s="28"/>
      <c r="AC117" s="13"/>
      <c r="AD117" s="28"/>
      <c r="AE117" s="13"/>
      <c r="AF117" s="28"/>
      <c r="AG117" s="13"/>
      <c r="AH117" s="28"/>
      <c r="AI117" s="13"/>
      <c r="AJ117" s="28"/>
      <c r="AK117" s="13"/>
      <c r="AL117" s="28"/>
      <c r="AM117" s="13"/>
      <c r="AN117" s="28"/>
      <c r="AO117" s="13"/>
      <c r="AP117" s="28"/>
      <c r="AQ117" s="13"/>
      <c r="AR117" s="28"/>
      <c r="AS117" s="19">
        <f>SUM(H117,J117,L117,N117,P117,R117,T117,V117,X117,Z117,AB117,AD117,AF117,AH117,AJ117,AL117,AN117)</f>
        <v>0</v>
      </c>
      <c r="AT117" s="29" t="str">
        <f>IF(C117="","",DATE(YEAR(C117),MONTH(C117),1))</f>
        <v/>
      </c>
      <c r="AU117" s="28" t="str">
        <f>IF(AT117="","",TEXT(AT117,"mmmm yyyy"))</f>
        <v/>
      </c>
      <c r="AV117" s="29" t="str">
        <f>IF(C117="","",C117-WEEKDAY(C117,2)+1)</f>
        <v/>
      </c>
      <c r="AW117" s="29" t="str">
        <f>IF(AV117="","",AV117+6)</f>
        <v/>
      </c>
      <c r="AX117" s="28" t="str">
        <f>IF(AV117="","",TEXT(AV117,"dd/mm/yyyy")&amp;" - "&amp;TEXT(AW117,"dd/mm/yyyy"))</f>
        <v/>
      </c>
      <c r="AY117" s="28" t="str">
        <f>IF(B117="","",COUNTIFS($B$5:B117,B117,$AT$5:AT117,AT117))</f>
        <v/>
      </c>
      <c r="AZ117" s="28" t="str">
        <f>IF(B117="","",COUNTIFS($B$5:B117,B117,$AV$5:AV117,AV117))</f>
        <v/>
      </c>
      <c r="BA117" s="28" t="str">
        <f>IF(B117="","",TEXT(AY117,"00")&amp;"|"&amp;B117&amp;"|"&amp;TEXT(AT117,"yyyymmdd"))</f>
        <v/>
      </c>
      <c r="BB117" s="28" t="str">
        <f>IF(B117="","",TEXT(AZ117,"00")&amp;"|"&amp;B117&amp;"|"&amp;TEXT(AV117,"yyyymmdd"))</f>
        <v/>
      </c>
      <c r="BC117" s="28">
        <f>IF(OR(AQ117="YES",AQ117="Yes",AQ117="Y",AQ117=1),1,0)</f>
        <v>0</v>
      </c>
    </row>
    <row r="118" spans="1:55" ht="15" customHeight="1">
      <c r="A118" s="27"/>
      <c r="B118" s="28"/>
      <c r="C118" s="29"/>
      <c r="D118" s="30"/>
      <c r="E118" s="30"/>
      <c r="F118" s="28"/>
      <c r="G118" s="28"/>
      <c r="H118" s="28"/>
      <c r="I118" s="13"/>
      <c r="J118" s="28"/>
      <c r="K118" s="13"/>
      <c r="L118" s="28"/>
      <c r="M118" s="13"/>
      <c r="N118" s="28"/>
      <c r="O118" s="13"/>
      <c r="P118" s="28"/>
      <c r="Q118" s="20"/>
      <c r="R118" s="28"/>
      <c r="S118" s="20"/>
      <c r="T118" s="28"/>
      <c r="U118" s="13"/>
      <c r="V118" s="28"/>
      <c r="W118" s="13"/>
      <c r="X118" s="28"/>
      <c r="Y118" s="13"/>
      <c r="Z118" s="28"/>
      <c r="AA118" s="13"/>
      <c r="AB118" s="28"/>
      <c r="AC118" s="13"/>
      <c r="AD118" s="28"/>
      <c r="AE118" s="13"/>
      <c r="AF118" s="28"/>
      <c r="AG118" s="13"/>
      <c r="AH118" s="28"/>
      <c r="AI118" s="13"/>
      <c r="AJ118" s="28"/>
      <c r="AK118" s="13"/>
      <c r="AL118" s="28"/>
      <c r="AM118" s="13"/>
      <c r="AN118" s="28"/>
      <c r="AO118" s="13"/>
      <c r="AP118" s="28"/>
      <c r="AQ118" s="13"/>
      <c r="AR118" s="28"/>
      <c r="AS118" s="19">
        <f>SUM(H118,J118,L118,N118,P118,R118,T118,V118,X118,Z118,AB118,AD118,AF118,AH118,AJ118,AL118,AN118)</f>
        <v>0</v>
      </c>
      <c r="AT118" s="29" t="str">
        <f>IF(C118="","",DATE(YEAR(C118),MONTH(C118),1))</f>
        <v/>
      </c>
      <c r="AU118" s="28" t="str">
        <f>IF(AT118="","",TEXT(AT118,"mmmm yyyy"))</f>
        <v/>
      </c>
      <c r="AV118" s="29" t="str">
        <f>IF(C118="","",C118-WEEKDAY(C118,2)+1)</f>
        <v/>
      </c>
      <c r="AW118" s="29" t="str">
        <f>IF(AV118="","",AV118+6)</f>
        <v/>
      </c>
      <c r="AX118" s="28" t="str">
        <f>IF(AV118="","",TEXT(AV118,"dd/mm/yyyy")&amp;" - "&amp;TEXT(AW118,"dd/mm/yyyy"))</f>
        <v/>
      </c>
      <c r="AY118" s="28" t="str">
        <f>IF(B118="","",COUNTIFS($B$5:B118,B118,$AT$5:AT118,AT118))</f>
        <v/>
      </c>
      <c r="AZ118" s="28" t="str">
        <f>IF(B118="","",COUNTIFS($B$5:B118,B118,$AV$5:AV118,AV118))</f>
        <v/>
      </c>
      <c r="BA118" s="28" t="str">
        <f>IF(B118="","",TEXT(AY118,"00")&amp;"|"&amp;B118&amp;"|"&amp;TEXT(AT118,"yyyymmdd"))</f>
        <v/>
      </c>
      <c r="BB118" s="28" t="str">
        <f>IF(B118="","",TEXT(AZ118,"00")&amp;"|"&amp;B118&amp;"|"&amp;TEXT(AV118,"yyyymmdd"))</f>
        <v/>
      </c>
      <c r="BC118" s="28">
        <f>IF(OR(AQ118="YES",AQ118="Yes",AQ118="Y",AQ118=1),1,0)</f>
        <v>0</v>
      </c>
    </row>
    <row r="119" spans="1:55" ht="15" customHeight="1">
      <c r="A119" s="27"/>
      <c r="B119" s="28"/>
      <c r="C119" s="29"/>
      <c r="D119" s="30"/>
      <c r="E119" s="30"/>
      <c r="F119" s="28"/>
      <c r="G119" s="28"/>
      <c r="H119" s="28"/>
      <c r="I119" s="13"/>
      <c r="J119" s="28"/>
      <c r="K119" s="13"/>
      <c r="L119" s="28"/>
      <c r="M119" s="13"/>
      <c r="N119" s="28"/>
      <c r="O119" s="13"/>
      <c r="P119" s="28"/>
      <c r="Q119" s="20"/>
      <c r="R119" s="28"/>
      <c r="S119" s="20"/>
      <c r="T119" s="28"/>
      <c r="U119" s="13"/>
      <c r="V119" s="28"/>
      <c r="W119" s="13"/>
      <c r="X119" s="28"/>
      <c r="Y119" s="13"/>
      <c r="Z119" s="28"/>
      <c r="AA119" s="13"/>
      <c r="AB119" s="28"/>
      <c r="AC119" s="13"/>
      <c r="AD119" s="28"/>
      <c r="AE119" s="13"/>
      <c r="AF119" s="28"/>
      <c r="AG119" s="13"/>
      <c r="AH119" s="28"/>
      <c r="AI119" s="13"/>
      <c r="AJ119" s="28"/>
      <c r="AK119" s="13"/>
      <c r="AL119" s="28"/>
      <c r="AM119" s="13"/>
      <c r="AN119" s="28"/>
      <c r="AO119" s="13"/>
      <c r="AP119" s="28"/>
      <c r="AQ119" s="13"/>
      <c r="AR119" s="28"/>
      <c r="AS119" s="19">
        <f>SUM(H119,J119,L119,N119,P119,R119,T119,V119,X119,Z119,AB119,AD119,AF119,AH119,AJ119,AL119,AN119)</f>
        <v>0</v>
      </c>
      <c r="AT119" s="29" t="str">
        <f>IF(C119="","",DATE(YEAR(C119),MONTH(C119),1))</f>
        <v/>
      </c>
      <c r="AU119" s="28" t="str">
        <f>IF(AT119="","",TEXT(AT119,"mmmm yyyy"))</f>
        <v/>
      </c>
      <c r="AV119" s="29" t="str">
        <f>IF(C119="","",C119-WEEKDAY(C119,2)+1)</f>
        <v/>
      </c>
      <c r="AW119" s="29" t="str">
        <f>IF(AV119="","",AV119+6)</f>
        <v/>
      </c>
      <c r="AX119" s="28" t="str">
        <f>IF(AV119="","",TEXT(AV119,"dd/mm/yyyy")&amp;" - "&amp;TEXT(AW119,"dd/mm/yyyy"))</f>
        <v/>
      </c>
      <c r="AY119" s="28" t="str">
        <f>IF(B119="","",COUNTIFS($B$5:B119,B119,$AT$5:AT119,AT119))</f>
        <v/>
      </c>
      <c r="AZ119" s="28" t="str">
        <f>IF(B119="","",COUNTIFS($B$5:B119,B119,$AV$5:AV119,AV119))</f>
        <v/>
      </c>
      <c r="BA119" s="28" t="str">
        <f>IF(B119="","",TEXT(AY119,"00")&amp;"|"&amp;B119&amp;"|"&amp;TEXT(AT119,"yyyymmdd"))</f>
        <v/>
      </c>
      <c r="BB119" s="28" t="str">
        <f>IF(B119="","",TEXT(AZ119,"00")&amp;"|"&amp;B119&amp;"|"&amp;TEXT(AV119,"yyyymmdd"))</f>
        <v/>
      </c>
      <c r="BC119" s="28">
        <f>IF(OR(AQ119="YES",AQ119="Yes",AQ119="Y",AQ119=1),1,0)</f>
        <v>0</v>
      </c>
    </row>
    <row r="120" spans="1:55" ht="15" customHeight="1">
      <c r="A120" s="27"/>
      <c r="B120" s="28"/>
      <c r="C120" s="29"/>
      <c r="D120" s="30"/>
      <c r="E120" s="30"/>
      <c r="F120" s="28"/>
      <c r="G120" s="28"/>
      <c r="H120" s="28"/>
      <c r="I120" s="13"/>
      <c r="J120" s="28"/>
      <c r="K120" s="13"/>
      <c r="L120" s="28"/>
      <c r="M120" s="13"/>
      <c r="N120" s="28"/>
      <c r="O120" s="13"/>
      <c r="P120" s="28"/>
      <c r="Q120" s="20"/>
      <c r="R120" s="28"/>
      <c r="S120" s="20"/>
      <c r="T120" s="28"/>
      <c r="U120" s="13"/>
      <c r="V120" s="28"/>
      <c r="W120" s="13"/>
      <c r="X120" s="28"/>
      <c r="Y120" s="13"/>
      <c r="Z120" s="28"/>
      <c r="AA120" s="13"/>
      <c r="AB120" s="28"/>
      <c r="AC120" s="13"/>
      <c r="AD120" s="28"/>
      <c r="AE120" s="13"/>
      <c r="AF120" s="28"/>
      <c r="AG120" s="13"/>
      <c r="AH120" s="28"/>
      <c r="AI120" s="13"/>
      <c r="AJ120" s="28"/>
      <c r="AK120" s="13"/>
      <c r="AL120" s="28"/>
      <c r="AM120" s="13"/>
      <c r="AN120" s="28"/>
      <c r="AO120" s="13"/>
      <c r="AP120" s="28"/>
      <c r="AQ120" s="13"/>
      <c r="AR120" s="28"/>
      <c r="AS120" s="19">
        <f>SUM(H120,J120,L120,N120,P120,R120,T120,V120,X120,Z120,AB120,AD120,AF120,AH120,AJ120,AL120,AN120)</f>
        <v>0</v>
      </c>
      <c r="AT120" s="29" t="str">
        <f>IF(C120="","",DATE(YEAR(C120),MONTH(C120),1))</f>
        <v/>
      </c>
      <c r="AU120" s="28" t="str">
        <f>IF(AT120="","",TEXT(AT120,"mmmm yyyy"))</f>
        <v/>
      </c>
      <c r="AV120" s="29" t="str">
        <f>IF(C120="","",C120-WEEKDAY(C120,2)+1)</f>
        <v/>
      </c>
      <c r="AW120" s="29" t="str">
        <f>IF(AV120="","",AV120+6)</f>
        <v/>
      </c>
      <c r="AX120" s="28" t="str">
        <f>IF(AV120="","",TEXT(AV120,"dd/mm/yyyy")&amp;" - "&amp;TEXT(AW120,"dd/mm/yyyy"))</f>
        <v/>
      </c>
      <c r="AY120" s="28" t="str">
        <f>IF(B120="","",COUNTIFS($B$5:B120,B120,$AT$5:AT120,AT120))</f>
        <v/>
      </c>
      <c r="AZ120" s="28" t="str">
        <f>IF(B120="","",COUNTIFS($B$5:B120,B120,$AV$5:AV120,AV120))</f>
        <v/>
      </c>
      <c r="BA120" s="28" t="str">
        <f>IF(B120="","",TEXT(AY120,"00")&amp;"|"&amp;B120&amp;"|"&amp;TEXT(AT120,"yyyymmdd"))</f>
        <v/>
      </c>
      <c r="BB120" s="28" t="str">
        <f>IF(B120="","",TEXT(AZ120,"00")&amp;"|"&amp;B120&amp;"|"&amp;TEXT(AV120,"yyyymmdd"))</f>
        <v/>
      </c>
      <c r="BC120" s="28">
        <f>IF(OR(AQ120="YES",AQ120="Yes",AQ120="Y",AQ120=1),1,0)</f>
        <v>0</v>
      </c>
    </row>
    <row r="121" spans="1:55" ht="15" customHeight="1">
      <c r="A121" s="27"/>
      <c r="B121" s="28"/>
      <c r="C121" s="29"/>
      <c r="D121" s="30"/>
      <c r="E121" s="30"/>
      <c r="F121" s="28"/>
      <c r="G121" s="28"/>
      <c r="H121" s="28"/>
      <c r="I121" s="13"/>
      <c r="J121" s="28"/>
      <c r="K121" s="13"/>
      <c r="L121" s="28"/>
      <c r="M121" s="13"/>
      <c r="N121" s="28"/>
      <c r="O121" s="13"/>
      <c r="P121" s="28"/>
      <c r="Q121" s="20"/>
      <c r="R121" s="28"/>
      <c r="S121" s="20"/>
      <c r="T121" s="28"/>
      <c r="U121" s="13"/>
      <c r="V121" s="28"/>
      <c r="W121" s="13"/>
      <c r="X121" s="28"/>
      <c r="Y121" s="13"/>
      <c r="Z121" s="28"/>
      <c r="AA121" s="13"/>
      <c r="AB121" s="28"/>
      <c r="AC121" s="13"/>
      <c r="AD121" s="28"/>
      <c r="AE121" s="13"/>
      <c r="AF121" s="28"/>
      <c r="AG121" s="13"/>
      <c r="AH121" s="28"/>
      <c r="AI121" s="13"/>
      <c r="AJ121" s="28"/>
      <c r="AK121" s="13"/>
      <c r="AL121" s="28"/>
      <c r="AM121" s="13"/>
      <c r="AN121" s="28"/>
      <c r="AO121" s="13"/>
      <c r="AP121" s="28"/>
      <c r="AQ121" s="13"/>
      <c r="AR121" s="28"/>
      <c r="AS121" s="19">
        <f>SUM(H121,J121,L121,N121,P121,R121,T121,V121,X121,Z121,AB121,AD121,AF121,AH121,AJ121,AL121,AN121)</f>
        <v>0</v>
      </c>
      <c r="AT121" s="29" t="str">
        <f>IF(C121="","",DATE(YEAR(C121),MONTH(C121),1))</f>
        <v/>
      </c>
      <c r="AU121" s="28" t="str">
        <f>IF(AT121="","",TEXT(AT121,"mmmm yyyy"))</f>
        <v/>
      </c>
      <c r="AV121" s="29" t="str">
        <f>IF(C121="","",C121-WEEKDAY(C121,2)+1)</f>
        <v/>
      </c>
      <c r="AW121" s="29" t="str">
        <f>IF(AV121="","",AV121+6)</f>
        <v/>
      </c>
      <c r="AX121" s="28" t="str">
        <f>IF(AV121="","",TEXT(AV121,"dd/mm/yyyy")&amp;" - "&amp;TEXT(AW121,"dd/mm/yyyy"))</f>
        <v/>
      </c>
      <c r="AY121" s="28" t="str">
        <f>IF(B121="","",COUNTIFS($B$5:B121,B121,$AT$5:AT121,AT121))</f>
        <v/>
      </c>
      <c r="AZ121" s="28" t="str">
        <f>IF(B121="","",COUNTIFS($B$5:B121,B121,$AV$5:AV121,AV121))</f>
        <v/>
      </c>
      <c r="BA121" s="28" t="str">
        <f>IF(B121="","",TEXT(AY121,"00")&amp;"|"&amp;B121&amp;"|"&amp;TEXT(AT121,"yyyymmdd"))</f>
        <v/>
      </c>
      <c r="BB121" s="28" t="str">
        <f>IF(B121="","",TEXT(AZ121,"00")&amp;"|"&amp;B121&amp;"|"&amp;TEXT(AV121,"yyyymmdd"))</f>
        <v/>
      </c>
      <c r="BC121" s="28">
        <f>IF(OR(AQ121="YES",AQ121="Yes",AQ121="Y",AQ121=1),1,0)</f>
        <v>0</v>
      </c>
    </row>
    <row r="122" spans="1:55" ht="15" customHeight="1">
      <c r="A122" s="27"/>
      <c r="B122" s="28"/>
      <c r="C122" s="29"/>
      <c r="D122" s="30"/>
      <c r="E122" s="30"/>
      <c r="F122" s="28"/>
      <c r="G122" s="28"/>
      <c r="H122" s="28"/>
      <c r="I122" s="13"/>
      <c r="J122" s="28"/>
      <c r="K122" s="13"/>
      <c r="L122" s="28"/>
      <c r="M122" s="13"/>
      <c r="N122" s="28"/>
      <c r="O122" s="13"/>
      <c r="P122" s="28"/>
      <c r="Q122" s="20"/>
      <c r="R122" s="28"/>
      <c r="S122" s="20"/>
      <c r="T122" s="28"/>
      <c r="U122" s="13"/>
      <c r="V122" s="28"/>
      <c r="W122" s="13"/>
      <c r="X122" s="28"/>
      <c r="Y122" s="13"/>
      <c r="Z122" s="28"/>
      <c r="AA122" s="13"/>
      <c r="AB122" s="28"/>
      <c r="AC122" s="13"/>
      <c r="AD122" s="28"/>
      <c r="AE122" s="13"/>
      <c r="AF122" s="28"/>
      <c r="AG122" s="13"/>
      <c r="AH122" s="28"/>
      <c r="AI122" s="13"/>
      <c r="AJ122" s="28"/>
      <c r="AK122" s="13"/>
      <c r="AL122" s="28"/>
      <c r="AM122" s="13"/>
      <c r="AN122" s="28"/>
      <c r="AO122" s="13"/>
      <c r="AP122" s="28"/>
      <c r="AQ122" s="13"/>
      <c r="AR122" s="28"/>
      <c r="AS122" s="19">
        <f>SUM(H122,J122,L122,N122,P122,R122,T122,V122,X122,Z122,AB122,AD122,AF122,AH122,AJ122,AL122,AN122)</f>
        <v>0</v>
      </c>
      <c r="AT122" s="29" t="str">
        <f>IF(C122="","",DATE(YEAR(C122),MONTH(C122),1))</f>
        <v/>
      </c>
      <c r="AU122" s="28" t="str">
        <f>IF(AT122="","",TEXT(AT122,"mmmm yyyy"))</f>
        <v/>
      </c>
      <c r="AV122" s="29" t="str">
        <f>IF(C122="","",C122-WEEKDAY(C122,2)+1)</f>
        <v/>
      </c>
      <c r="AW122" s="29" t="str">
        <f>IF(AV122="","",AV122+6)</f>
        <v/>
      </c>
      <c r="AX122" s="28" t="str">
        <f>IF(AV122="","",TEXT(AV122,"dd/mm/yyyy")&amp;" - "&amp;TEXT(AW122,"dd/mm/yyyy"))</f>
        <v/>
      </c>
      <c r="AY122" s="28" t="str">
        <f>IF(B122="","",COUNTIFS($B$5:B122,B122,$AT$5:AT122,AT122))</f>
        <v/>
      </c>
      <c r="AZ122" s="28" t="str">
        <f>IF(B122="","",COUNTIFS($B$5:B122,B122,$AV$5:AV122,AV122))</f>
        <v/>
      </c>
      <c r="BA122" s="28" t="str">
        <f>IF(B122="","",TEXT(AY122,"00")&amp;"|"&amp;B122&amp;"|"&amp;TEXT(AT122,"yyyymmdd"))</f>
        <v/>
      </c>
      <c r="BB122" s="28" t="str">
        <f>IF(B122="","",TEXT(AZ122,"00")&amp;"|"&amp;B122&amp;"|"&amp;TEXT(AV122,"yyyymmdd"))</f>
        <v/>
      </c>
      <c r="BC122" s="28">
        <f>IF(OR(AQ122="YES",AQ122="Yes",AQ122="Y",AQ122=1),1,0)</f>
        <v>0</v>
      </c>
    </row>
    <row r="123" spans="1:55" ht="15" customHeight="1">
      <c r="A123" s="27"/>
      <c r="B123" s="28"/>
      <c r="C123" s="29"/>
      <c r="D123" s="30"/>
      <c r="E123" s="30"/>
      <c r="F123" s="28"/>
      <c r="G123" s="28"/>
      <c r="H123" s="28"/>
      <c r="I123" s="13"/>
      <c r="J123" s="28"/>
      <c r="K123" s="13"/>
      <c r="L123" s="28"/>
      <c r="M123" s="13"/>
      <c r="N123" s="28"/>
      <c r="O123" s="13"/>
      <c r="P123" s="28"/>
      <c r="Q123" s="20"/>
      <c r="R123" s="28"/>
      <c r="S123" s="20"/>
      <c r="T123" s="28"/>
      <c r="U123" s="13"/>
      <c r="V123" s="28"/>
      <c r="W123" s="13"/>
      <c r="X123" s="28"/>
      <c r="Y123" s="13"/>
      <c r="Z123" s="28"/>
      <c r="AA123" s="13"/>
      <c r="AB123" s="28"/>
      <c r="AC123" s="13"/>
      <c r="AD123" s="28"/>
      <c r="AE123" s="13"/>
      <c r="AF123" s="28"/>
      <c r="AG123" s="13"/>
      <c r="AH123" s="28"/>
      <c r="AI123" s="13"/>
      <c r="AJ123" s="28"/>
      <c r="AK123" s="13"/>
      <c r="AL123" s="28"/>
      <c r="AM123" s="13"/>
      <c r="AN123" s="28"/>
      <c r="AO123" s="13"/>
      <c r="AP123" s="28"/>
      <c r="AQ123" s="13"/>
      <c r="AR123" s="28"/>
      <c r="AS123" s="19">
        <f>SUM(H123,J123,L123,N123,P123,R123,T123,V123,X123,Z123,AB123,AD123,AF123,AH123,AJ123,AL123,AN123)</f>
        <v>0</v>
      </c>
      <c r="AT123" s="29" t="str">
        <f>IF(C123="","",DATE(YEAR(C123),MONTH(C123),1))</f>
        <v/>
      </c>
      <c r="AU123" s="28" t="str">
        <f>IF(AT123="","",TEXT(AT123,"mmmm yyyy"))</f>
        <v/>
      </c>
      <c r="AV123" s="29" t="str">
        <f>IF(C123="","",C123-WEEKDAY(C123,2)+1)</f>
        <v/>
      </c>
      <c r="AW123" s="29" t="str">
        <f>IF(AV123="","",AV123+6)</f>
        <v/>
      </c>
      <c r="AX123" s="28" t="str">
        <f>IF(AV123="","",TEXT(AV123,"dd/mm/yyyy")&amp;" - "&amp;TEXT(AW123,"dd/mm/yyyy"))</f>
        <v/>
      </c>
      <c r="AY123" s="28" t="str">
        <f>IF(B123="","",COUNTIFS($B$5:B123,B123,$AT$5:AT123,AT123))</f>
        <v/>
      </c>
      <c r="AZ123" s="28" t="str">
        <f>IF(B123="","",COUNTIFS($B$5:B123,B123,$AV$5:AV123,AV123))</f>
        <v/>
      </c>
      <c r="BA123" s="28" t="str">
        <f>IF(B123="","",TEXT(AY123,"00")&amp;"|"&amp;B123&amp;"|"&amp;TEXT(AT123,"yyyymmdd"))</f>
        <v/>
      </c>
      <c r="BB123" s="28" t="str">
        <f>IF(B123="","",TEXT(AZ123,"00")&amp;"|"&amp;B123&amp;"|"&amp;TEXT(AV123,"yyyymmdd"))</f>
        <v/>
      </c>
      <c r="BC123" s="28">
        <f>IF(OR(AQ123="YES",AQ123="Yes",AQ123="Y",AQ123=1),1,0)</f>
        <v>0</v>
      </c>
    </row>
    <row r="124" spans="1:55" ht="15" customHeight="1">
      <c r="A124" s="27"/>
      <c r="B124" s="28"/>
      <c r="C124" s="29"/>
      <c r="D124" s="30"/>
      <c r="E124" s="30"/>
      <c r="F124" s="28"/>
      <c r="G124" s="28"/>
      <c r="H124" s="28"/>
      <c r="I124" s="13"/>
      <c r="J124" s="28"/>
      <c r="K124" s="13"/>
      <c r="L124" s="28"/>
      <c r="M124" s="13"/>
      <c r="N124" s="28"/>
      <c r="O124" s="13"/>
      <c r="P124" s="28"/>
      <c r="Q124" s="20"/>
      <c r="R124" s="28"/>
      <c r="S124" s="20"/>
      <c r="T124" s="28"/>
      <c r="U124" s="13"/>
      <c r="V124" s="28"/>
      <c r="W124" s="13"/>
      <c r="X124" s="28"/>
      <c r="Y124" s="13"/>
      <c r="Z124" s="28"/>
      <c r="AA124" s="13"/>
      <c r="AB124" s="28"/>
      <c r="AC124" s="13"/>
      <c r="AD124" s="28"/>
      <c r="AE124" s="13"/>
      <c r="AF124" s="28"/>
      <c r="AG124" s="13"/>
      <c r="AH124" s="28"/>
      <c r="AI124" s="13"/>
      <c r="AJ124" s="28"/>
      <c r="AK124" s="13"/>
      <c r="AL124" s="28"/>
      <c r="AM124" s="13"/>
      <c r="AN124" s="28"/>
      <c r="AO124" s="13"/>
      <c r="AP124" s="28"/>
      <c r="AQ124" s="13"/>
      <c r="AR124" s="28"/>
      <c r="AS124" s="19">
        <f>SUM(H124,J124,L124,N124,P124,R124,T124,V124,X124,Z124,AB124,AD124,AF124,AH124,AJ124,AL124,AN124)</f>
        <v>0</v>
      </c>
      <c r="AT124" s="29" t="str">
        <f>IF(C124="","",DATE(YEAR(C124),MONTH(C124),1))</f>
        <v/>
      </c>
      <c r="AU124" s="28" t="str">
        <f>IF(AT124="","",TEXT(AT124,"mmmm yyyy"))</f>
        <v/>
      </c>
      <c r="AV124" s="29" t="str">
        <f>IF(C124="","",C124-WEEKDAY(C124,2)+1)</f>
        <v/>
      </c>
      <c r="AW124" s="29" t="str">
        <f>IF(AV124="","",AV124+6)</f>
        <v/>
      </c>
      <c r="AX124" s="28" t="str">
        <f>IF(AV124="","",TEXT(AV124,"dd/mm/yyyy")&amp;" - "&amp;TEXT(AW124,"dd/mm/yyyy"))</f>
        <v/>
      </c>
      <c r="AY124" s="28" t="str">
        <f>IF(B124="","",COUNTIFS($B$5:B124,B124,$AT$5:AT124,AT124))</f>
        <v/>
      </c>
      <c r="AZ124" s="28" t="str">
        <f>IF(B124="","",COUNTIFS($B$5:B124,B124,$AV$5:AV124,AV124))</f>
        <v/>
      </c>
      <c r="BA124" s="28" t="str">
        <f>IF(B124="","",TEXT(AY124,"00")&amp;"|"&amp;B124&amp;"|"&amp;TEXT(AT124,"yyyymmdd"))</f>
        <v/>
      </c>
      <c r="BB124" s="28" t="str">
        <f>IF(B124="","",TEXT(AZ124,"00")&amp;"|"&amp;B124&amp;"|"&amp;TEXT(AV124,"yyyymmdd"))</f>
        <v/>
      </c>
      <c r="BC124" s="28">
        <f>IF(OR(AQ124="YES",AQ124="Yes",AQ124="Y",AQ124=1),1,0)</f>
        <v>0</v>
      </c>
    </row>
    <row r="125" spans="1:55" ht="15" customHeight="1">
      <c r="A125" s="27"/>
      <c r="B125" s="28"/>
      <c r="C125" s="29"/>
      <c r="D125" s="30"/>
      <c r="E125" s="30"/>
      <c r="F125" s="28"/>
      <c r="G125" s="28"/>
      <c r="H125" s="28"/>
      <c r="I125" s="13"/>
      <c r="J125" s="28"/>
      <c r="K125" s="13"/>
      <c r="L125" s="28"/>
      <c r="M125" s="13"/>
      <c r="N125" s="28"/>
      <c r="O125" s="13"/>
      <c r="P125" s="28"/>
      <c r="Q125" s="20"/>
      <c r="R125" s="28"/>
      <c r="S125" s="20"/>
      <c r="T125" s="28"/>
      <c r="U125" s="13"/>
      <c r="V125" s="28"/>
      <c r="W125" s="13"/>
      <c r="X125" s="28"/>
      <c r="Y125" s="13"/>
      <c r="Z125" s="28"/>
      <c r="AA125" s="13"/>
      <c r="AB125" s="28"/>
      <c r="AC125" s="13"/>
      <c r="AD125" s="28"/>
      <c r="AE125" s="13"/>
      <c r="AF125" s="28"/>
      <c r="AG125" s="13"/>
      <c r="AH125" s="28"/>
      <c r="AI125" s="13"/>
      <c r="AJ125" s="28"/>
      <c r="AK125" s="13"/>
      <c r="AL125" s="28"/>
      <c r="AM125" s="13"/>
      <c r="AN125" s="28"/>
      <c r="AO125" s="13"/>
      <c r="AP125" s="28"/>
      <c r="AQ125" s="13"/>
      <c r="AR125" s="28"/>
      <c r="AS125" s="19">
        <f>SUM(H125,J125,L125,N125,P125,R125,T125,V125,X125,Z125,AB125,AD125,AF125,AH125,AJ125,AL125,AN125)</f>
        <v>0</v>
      </c>
      <c r="AT125" s="29" t="str">
        <f>IF(C125="","",DATE(YEAR(C125),MONTH(C125),1))</f>
        <v/>
      </c>
      <c r="AU125" s="28" t="str">
        <f>IF(AT125="","",TEXT(AT125,"mmmm yyyy"))</f>
        <v/>
      </c>
      <c r="AV125" s="29" t="str">
        <f>IF(C125="","",C125-WEEKDAY(C125,2)+1)</f>
        <v/>
      </c>
      <c r="AW125" s="29" t="str">
        <f>IF(AV125="","",AV125+6)</f>
        <v/>
      </c>
      <c r="AX125" s="28" t="str">
        <f>IF(AV125="","",TEXT(AV125,"dd/mm/yyyy")&amp;" - "&amp;TEXT(AW125,"dd/mm/yyyy"))</f>
        <v/>
      </c>
      <c r="AY125" s="28" t="str">
        <f>IF(B125="","",COUNTIFS($B$5:B125,B125,$AT$5:AT125,AT125))</f>
        <v/>
      </c>
      <c r="AZ125" s="28" t="str">
        <f>IF(B125="","",COUNTIFS($B$5:B125,B125,$AV$5:AV125,AV125))</f>
        <v/>
      </c>
      <c r="BA125" s="28" t="str">
        <f>IF(B125="","",TEXT(AY125,"00")&amp;"|"&amp;B125&amp;"|"&amp;TEXT(AT125,"yyyymmdd"))</f>
        <v/>
      </c>
      <c r="BB125" s="28" t="str">
        <f>IF(B125="","",TEXT(AZ125,"00")&amp;"|"&amp;B125&amp;"|"&amp;TEXT(AV125,"yyyymmdd"))</f>
        <v/>
      </c>
      <c r="BC125" s="28">
        <f>IF(OR(AQ125="YES",AQ125="Yes",AQ125="Y",AQ125=1),1,0)</f>
        <v>0</v>
      </c>
    </row>
    <row r="126" spans="1:55" ht="15" customHeight="1">
      <c r="A126" s="27"/>
      <c r="B126" s="28"/>
      <c r="C126" s="29"/>
      <c r="D126" s="30"/>
      <c r="E126" s="30"/>
      <c r="F126" s="28"/>
      <c r="G126" s="28"/>
      <c r="H126" s="28"/>
      <c r="I126" s="13"/>
      <c r="J126" s="28"/>
      <c r="K126" s="13"/>
      <c r="L126" s="28"/>
      <c r="M126" s="13"/>
      <c r="N126" s="28"/>
      <c r="O126" s="13"/>
      <c r="P126" s="28"/>
      <c r="Q126" s="20"/>
      <c r="R126" s="28"/>
      <c r="S126" s="20"/>
      <c r="T126" s="28"/>
      <c r="U126" s="13"/>
      <c r="V126" s="28"/>
      <c r="W126" s="13"/>
      <c r="X126" s="28"/>
      <c r="Y126" s="13"/>
      <c r="Z126" s="28"/>
      <c r="AA126" s="13"/>
      <c r="AB126" s="28"/>
      <c r="AC126" s="13"/>
      <c r="AD126" s="28"/>
      <c r="AE126" s="13"/>
      <c r="AF126" s="28"/>
      <c r="AG126" s="13"/>
      <c r="AH126" s="28"/>
      <c r="AI126" s="13"/>
      <c r="AJ126" s="28"/>
      <c r="AK126" s="13"/>
      <c r="AL126" s="28"/>
      <c r="AM126" s="13"/>
      <c r="AN126" s="28"/>
      <c r="AO126" s="13"/>
      <c r="AP126" s="28"/>
      <c r="AQ126" s="13"/>
      <c r="AR126" s="28"/>
      <c r="AS126" s="19">
        <f>SUM(H126,J126,L126,N126,P126,R126,T126,V126,X126,Z126,AB126,AD126,AF126,AH126,AJ126,AL126,AN126)</f>
        <v>0</v>
      </c>
      <c r="AT126" s="29" t="str">
        <f>IF(C126="","",DATE(YEAR(C126),MONTH(C126),1))</f>
        <v/>
      </c>
      <c r="AU126" s="28" t="str">
        <f>IF(AT126="","",TEXT(AT126,"mmmm yyyy"))</f>
        <v/>
      </c>
      <c r="AV126" s="29" t="str">
        <f>IF(C126="","",C126-WEEKDAY(C126,2)+1)</f>
        <v/>
      </c>
      <c r="AW126" s="29" t="str">
        <f>IF(AV126="","",AV126+6)</f>
        <v/>
      </c>
      <c r="AX126" s="28" t="str">
        <f>IF(AV126="","",TEXT(AV126,"dd/mm/yyyy")&amp;" - "&amp;TEXT(AW126,"dd/mm/yyyy"))</f>
        <v/>
      </c>
      <c r="AY126" s="28" t="str">
        <f>IF(B126="","",COUNTIFS($B$5:B126,B126,$AT$5:AT126,AT126))</f>
        <v/>
      </c>
      <c r="AZ126" s="28" t="str">
        <f>IF(B126="","",COUNTIFS($B$5:B126,B126,$AV$5:AV126,AV126))</f>
        <v/>
      </c>
      <c r="BA126" s="28" t="str">
        <f>IF(B126="","",TEXT(AY126,"00")&amp;"|"&amp;B126&amp;"|"&amp;TEXT(AT126,"yyyymmdd"))</f>
        <v/>
      </c>
      <c r="BB126" s="28" t="str">
        <f>IF(B126="","",TEXT(AZ126,"00")&amp;"|"&amp;B126&amp;"|"&amp;TEXT(AV126,"yyyymmdd"))</f>
        <v/>
      </c>
      <c r="BC126" s="28">
        <f>IF(OR(AQ126="YES",AQ126="Yes",AQ126="Y",AQ126=1),1,0)</f>
        <v>0</v>
      </c>
    </row>
    <row r="127" spans="1:55" ht="15" customHeight="1">
      <c r="A127" s="27"/>
      <c r="B127" s="28"/>
      <c r="C127" s="29"/>
      <c r="D127" s="30"/>
      <c r="E127" s="30"/>
      <c r="F127" s="28"/>
      <c r="G127" s="28"/>
      <c r="H127" s="28"/>
      <c r="I127" s="13"/>
      <c r="J127" s="28"/>
      <c r="K127" s="13"/>
      <c r="L127" s="28"/>
      <c r="M127" s="13"/>
      <c r="N127" s="28"/>
      <c r="O127" s="13"/>
      <c r="P127" s="28"/>
      <c r="Q127" s="20"/>
      <c r="R127" s="28"/>
      <c r="S127" s="20"/>
      <c r="T127" s="28"/>
      <c r="U127" s="13"/>
      <c r="V127" s="28"/>
      <c r="W127" s="13"/>
      <c r="X127" s="28"/>
      <c r="Y127" s="13"/>
      <c r="Z127" s="28"/>
      <c r="AA127" s="13"/>
      <c r="AB127" s="28"/>
      <c r="AC127" s="13"/>
      <c r="AD127" s="28"/>
      <c r="AE127" s="13"/>
      <c r="AF127" s="28"/>
      <c r="AG127" s="13"/>
      <c r="AH127" s="28"/>
      <c r="AI127" s="13"/>
      <c r="AJ127" s="28"/>
      <c r="AK127" s="13"/>
      <c r="AL127" s="28"/>
      <c r="AM127" s="13"/>
      <c r="AN127" s="28"/>
      <c r="AO127" s="13"/>
      <c r="AP127" s="28"/>
      <c r="AQ127" s="13"/>
      <c r="AR127" s="28"/>
      <c r="AS127" s="19">
        <f>SUM(H127,J127,L127,N127,P127,R127,T127,V127,X127,Z127,AB127,AD127,AF127,AH127,AJ127,AL127,AN127)</f>
        <v>0</v>
      </c>
      <c r="AT127" s="29" t="str">
        <f>IF(C127="","",DATE(YEAR(C127),MONTH(C127),1))</f>
        <v/>
      </c>
      <c r="AU127" s="28" t="str">
        <f>IF(AT127="","",TEXT(AT127,"mmmm yyyy"))</f>
        <v/>
      </c>
      <c r="AV127" s="29" t="str">
        <f>IF(C127="","",C127-WEEKDAY(C127,2)+1)</f>
        <v/>
      </c>
      <c r="AW127" s="29" t="str">
        <f>IF(AV127="","",AV127+6)</f>
        <v/>
      </c>
      <c r="AX127" s="28" t="str">
        <f>IF(AV127="","",TEXT(AV127,"dd/mm/yyyy")&amp;" - "&amp;TEXT(AW127,"dd/mm/yyyy"))</f>
        <v/>
      </c>
      <c r="AY127" s="28" t="str">
        <f>IF(B127="","",COUNTIFS($B$5:B127,B127,$AT$5:AT127,AT127))</f>
        <v/>
      </c>
      <c r="AZ127" s="28" t="str">
        <f>IF(B127="","",COUNTIFS($B$5:B127,B127,$AV$5:AV127,AV127))</f>
        <v/>
      </c>
      <c r="BA127" s="28" t="str">
        <f>IF(B127="","",TEXT(AY127,"00")&amp;"|"&amp;B127&amp;"|"&amp;TEXT(AT127,"yyyymmdd"))</f>
        <v/>
      </c>
      <c r="BB127" s="28" t="str">
        <f>IF(B127="","",TEXT(AZ127,"00")&amp;"|"&amp;B127&amp;"|"&amp;TEXT(AV127,"yyyymmdd"))</f>
        <v/>
      </c>
      <c r="BC127" s="28">
        <f>IF(OR(AQ127="YES",AQ127="Yes",AQ127="Y",AQ127=1),1,0)</f>
        <v>0</v>
      </c>
    </row>
    <row r="128" spans="1:55" ht="15" customHeight="1">
      <c r="A128" s="27"/>
      <c r="B128" s="28"/>
      <c r="C128" s="29"/>
      <c r="D128" s="30"/>
      <c r="E128" s="30"/>
      <c r="F128" s="28"/>
      <c r="G128" s="28"/>
      <c r="H128" s="28"/>
      <c r="I128" s="13"/>
      <c r="J128" s="28"/>
      <c r="K128" s="13"/>
      <c r="L128" s="28"/>
      <c r="M128" s="13"/>
      <c r="N128" s="28"/>
      <c r="O128" s="13"/>
      <c r="P128" s="28"/>
      <c r="Q128" s="20"/>
      <c r="R128" s="28"/>
      <c r="S128" s="20"/>
      <c r="T128" s="28"/>
      <c r="U128" s="13"/>
      <c r="V128" s="28"/>
      <c r="W128" s="13"/>
      <c r="X128" s="28"/>
      <c r="Y128" s="13"/>
      <c r="Z128" s="28"/>
      <c r="AA128" s="13"/>
      <c r="AB128" s="28"/>
      <c r="AC128" s="13"/>
      <c r="AD128" s="28"/>
      <c r="AE128" s="13"/>
      <c r="AF128" s="28"/>
      <c r="AG128" s="13"/>
      <c r="AH128" s="28"/>
      <c r="AI128" s="13"/>
      <c r="AJ128" s="28"/>
      <c r="AK128" s="13"/>
      <c r="AL128" s="28"/>
      <c r="AM128" s="13"/>
      <c r="AN128" s="28"/>
      <c r="AO128" s="13"/>
      <c r="AP128" s="28"/>
      <c r="AQ128" s="13"/>
      <c r="AR128" s="28"/>
      <c r="AS128" s="19">
        <f>SUM(H128,J128,L128,N128,P128,R128,T128,V128,X128,Z128,AB128,AD128,AF128,AH128,AJ128,AL128,AN128)</f>
        <v>0</v>
      </c>
      <c r="AT128" s="29" t="str">
        <f>IF(C128="","",DATE(YEAR(C128),MONTH(C128),1))</f>
        <v/>
      </c>
      <c r="AU128" s="28" t="str">
        <f>IF(AT128="","",TEXT(AT128,"mmmm yyyy"))</f>
        <v/>
      </c>
      <c r="AV128" s="29" t="str">
        <f>IF(C128="","",C128-WEEKDAY(C128,2)+1)</f>
        <v/>
      </c>
      <c r="AW128" s="29" t="str">
        <f>IF(AV128="","",AV128+6)</f>
        <v/>
      </c>
      <c r="AX128" s="28" t="str">
        <f>IF(AV128="","",TEXT(AV128,"dd/mm/yyyy")&amp;" - "&amp;TEXT(AW128,"dd/mm/yyyy"))</f>
        <v/>
      </c>
      <c r="AY128" s="28" t="str">
        <f>IF(B128="","",COUNTIFS($B$5:B128,B128,$AT$5:AT128,AT128))</f>
        <v/>
      </c>
      <c r="AZ128" s="28" t="str">
        <f>IF(B128="","",COUNTIFS($B$5:B128,B128,$AV$5:AV128,AV128))</f>
        <v/>
      </c>
      <c r="BA128" s="28" t="str">
        <f>IF(B128="","",TEXT(AY128,"00")&amp;"|"&amp;B128&amp;"|"&amp;TEXT(AT128,"yyyymmdd"))</f>
        <v/>
      </c>
      <c r="BB128" s="28" t="str">
        <f>IF(B128="","",TEXT(AZ128,"00")&amp;"|"&amp;B128&amp;"|"&amp;TEXT(AV128,"yyyymmdd"))</f>
        <v/>
      </c>
      <c r="BC128" s="28">
        <f>IF(OR(AQ128="YES",AQ128="Yes",AQ128="Y",AQ128=1),1,0)</f>
        <v>0</v>
      </c>
    </row>
    <row r="129" spans="1:55" ht="15" customHeight="1">
      <c r="A129" s="27"/>
      <c r="B129" s="28"/>
      <c r="C129" s="29"/>
      <c r="D129" s="30"/>
      <c r="E129" s="30"/>
      <c r="F129" s="28"/>
      <c r="G129" s="28"/>
      <c r="H129" s="28"/>
      <c r="I129" s="13"/>
      <c r="J129" s="28"/>
      <c r="K129" s="13"/>
      <c r="L129" s="28"/>
      <c r="M129" s="13"/>
      <c r="N129" s="28"/>
      <c r="O129" s="13"/>
      <c r="P129" s="28"/>
      <c r="Q129" s="20"/>
      <c r="R129" s="28"/>
      <c r="S129" s="20"/>
      <c r="T129" s="28"/>
      <c r="U129" s="13"/>
      <c r="V129" s="28"/>
      <c r="W129" s="13"/>
      <c r="X129" s="28"/>
      <c r="Y129" s="13"/>
      <c r="Z129" s="28"/>
      <c r="AA129" s="13"/>
      <c r="AB129" s="28"/>
      <c r="AC129" s="13"/>
      <c r="AD129" s="28"/>
      <c r="AE129" s="13"/>
      <c r="AF129" s="28"/>
      <c r="AG129" s="13"/>
      <c r="AH129" s="28"/>
      <c r="AI129" s="13"/>
      <c r="AJ129" s="28"/>
      <c r="AK129" s="13"/>
      <c r="AL129" s="28"/>
      <c r="AM129" s="13"/>
      <c r="AN129" s="28"/>
      <c r="AO129" s="13"/>
      <c r="AP129" s="28"/>
      <c r="AQ129" s="13"/>
      <c r="AR129" s="28"/>
      <c r="AS129" s="19">
        <f>SUM(H129,J129,L129,N129,P129,R129,T129,V129,X129,Z129,AB129,AD129,AF129,AH129,AJ129,AL129,AN129)</f>
        <v>0</v>
      </c>
      <c r="AT129" s="29" t="str">
        <f>IF(C129="","",DATE(YEAR(C129),MONTH(C129),1))</f>
        <v/>
      </c>
      <c r="AU129" s="28" t="str">
        <f>IF(AT129="","",TEXT(AT129,"mmmm yyyy"))</f>
        <v/>
      </c>
      <c r="AV129" s="29" t="str">
        <f>IF(C129="","",C129-WEEKDAY(C129,2)+1)</f>
        <v/>
      </c>
      <c r="AW129" s="29" t="str">
        <f>IF(AV129="","",AV129+6)</f>
        <v/>
      </c>
      <c r="AX129" s="28" t="str">
        <f>IF(AV129="","",TEXT(AV129,"dd/mm/yyyy")&amp;" - "&amp;TEXT(AW129,"dd/mm/yyyy"))</f>
        <v/>
      </c>
      <c r="AY129" s="28" t="str">
        <f>IF(B129="","",COUNTIFS($B$5:B129,B129,$AT$5:AT129,AT129))</f>
        <v/>
      </c>
      <c r="AZ129" s="28" t="str">
        <f>IF(B129="","",COUNTIFS($B$5:B129,B129,$AV$5:AV129,AV129))</f>
        <v/>
      </c>
      <c r="BA129" s="28" t="str">
        <f>IF(B129="","",TEXT(AY129,"00")&amp;"|"&amp;B129&amp;"|"&amp;TEXT(AT129,"yyyymmdd"))</f>
        <v/>
      </c>
      <c r="BB129" s="28" t="str">
        <f>IF(B129="","",TEXT(AZ129,"00")&amp;"|"&amp;B129&amp;"|"&amp;TEXT(AV129,"yyyymmdd"))</f>
        <v/>
      </c>
      <c r="BC129" s="28">
        <f>IF(OR(AQ129="YES",AQ129="Yes",AQ129="Y",AQ129=1),1,0)</f>
        <v>0</v>
      </c>
    </row>
    <row r="130" spans="1:55" ht="15" customHeight="1">
      <c r="A130" s="27"/>
      <c r="B130" s="28"/>
      <c r="C130" s="29"/>
      <c r="D130" s="30"/>
      <c r="E130" s="30"/>
      <c r="F130" s="28"/>
      <c r="G130" s="28"/>
      <c r="H130" s="28"/>
      <c r="I130" s="13"/>
      <c r="J130" s="28"/>
      <c r="K130" s="13"/>
      <c r="L130" s="28"/>
      <c r="M130" s="13"/>
      <c r="N130" s="28"/>
      <c r="O130" s="13"/>
      <c r="P130" s="28"/>
      <c r="Q130" s="20"/>
      <c r="R130" s="28"/>
      <c r="S130" s="20"/>
      <c r="T130" s="28"/>
      <c r="U130" s="13"/>
      <c r="V130" s="28"/>
      <c r="W130" s="13"/>
      <c r="X130" s="28"/>
      <c r="Y130" s="13"/>
      <c r="Z130" s="28"/>
      <c r="AA130" s="13"/>
      <c r="AB130" s="28"/>
      <c r="AC130" s="13"/>
      <c r="AD130" s="28"/>
      <c r="AE130" s="13"/>
      <c r="AF130" s="28"/>
      <c r="AG130" s="13"/>
      <c r="AH130" s="28"/>
      <c r="AI130" s="13"/>
      <c r="AJ130" s="28"/>
      <c r="AK130" s="13"/>
      <c r="AL130" s="28"/>
      <c r="AM130" s="13"/>
      <c r="AN130" s="28"/>
      <c r="AO130" s="13"/>
      <c r="AP130" s="28"/>
      <c r="AQ130" s="13"/>
      <c r="AR130" s="28"/>
      <c r="AS130" s="19">
        <f>SUM(H130,J130,L130,N130,P130,R130,T130,V130,X130,Z130,AB130,AD130,AF130,AH130,AJ130,AL130,AN130)</f>
        <v>0</v>
      </c>
      <c r="AT130" s="29" t="str">
        <f>IF(C130="","",DATE(YEAR(C130),MONTH(C130),1))</f>
        <v/>
      </c>
      <c r="AU130" s="28" t="str">
        <f>IF(AT130="","",TEXT(AT130,"mmmm yyyy"))</f>
        <v/>
      </c>
      <c r="AV130" s="29" t="str">
        <f>IF(C130="","",C130-WEEKDAY(C130,2)+1)</f>
        <v/>
      </c>
      <c r="AW130" s="29" t="str">
        <f>IF(AV130="","",AV130+6)</f>
        <v/>
      </c>
      <c r="AX130" s="28" t="str">
        <f>IF(AV130="","",TEXT(AV130,"dd/mm/yyyy")&amp;" - "&amp;TEXT(AW130,"dd/mm/yyyy"))</f>
        <v/>
      </c>
      <c r="AY130" s="28" t="str">
        <f>IF(B130="","",COUNTIFS($B$5:B130,B130,$AT$5:AT130,AT130))</f>
        <v/>
      </c>
      <c r="AZ130" s="28" t="str">
        <f>IF(B130="","",COUNTIFS($B$5:B130,B130,$AV$5:AV130,AV130))</f>
        <v/>
      </c>
      <c r="BA130" s="28" t="str">
        <f>IF(B130="","",TEXT(AY130,"00")&amp;"|"&amp;B130&amp;"|"&amp;TEXT(AT130,"yyyymmdd"))</f>
        <v/>
      </c>
      <c r="BB130" s="28" t="str">
        <f>IF(B130="","",TEXT(AZ130,"00")&amp;"|"&amp;B130&amp;"|"&amp;TEXT(AV130,"yyyymmdd"))</f>
        <v/>
      </c>
      <c r="BC130" s="28">
        <f>IF(OR(AQ130="YES",AQ130="Yes",AQ130="Y",AQ130=1),1,0)</f>
        <v>0</v>
      </c>
    </row>
    <row r="131" spans="1:55" ht="15" customHeight="1">
      <c r="A131" s="27"/>
      <c r="B131" s="28"/>
      <c r="C131" s="29"/>
      <c r="D131" s="30"/>
      <c r="E131" s="30"/>
      <c r="F131" s="28"/>
      <c r="G131" s="28"/>
      <c r="H131" s="28"/>
      <c r="I131" s="13"/>
      <c r="J131" s="28"/>
      <c r="K131" s="13"/>
      <c r="L131" s="28"/>
      <c r="M131" s="13"/>
      <c r="N131" s="28"/>
      <c r="O131" s="13"/>
      <c r="P131" s="28"/>
      <c r="Q131" s="20"/>
      <c r="R131" s="28"/>
      <c r="S131" s="20"/>
      <c r="T131" s="28"/>
      <c r="U131" s="13"/>
      <c r="V131" s="28"/>
      <c r="W131" s="13"/>
      <c r="X131" s="28"/>
      <c r="Y131" s="13"/>
      <c r="Z131" s="28"/>
      <c r="AA131" s="13"/>
      <c r="AB131" s="28"/>
      <c r="AC131" s="13"/>
      <c r="AD131" s="28"/>
      <c r="AE131" s="13"/>
      <c r="AF131" s="28"/>
      <c r="AG131" s="13"/>
      <c r="AH131" s="28"/>
      <c r="AI131" s="13"/>
      <c r="AJ131" s="28"/>
      <c r="AK131" s="13"/>
      <c r="AL131" s="28"/>
      <c r="AM131" s="13"/>
      <c r="AN131" s="28"/>
      <c r="AO131" s="13"/>
      <c r="AP131" s="28"/>
      <c r="AQ131" s="13"/>
      <c r="AR131" s="28"/>
      <c r="AS131" s="19">
        <f>SUM(H131,J131,L131,N131,P131,R131,T131,V131,X131,Z131,AB131,AD131,AF131,AH131,AJ131,AL131,AN131)</f>
        <v>0</v>
      </c>
      <c r="AT131" s="29" t="str">
        <f>IF(C131="","",DATE(YEAR(C131),MONTH(C131),1))</f>
        <v/>
      </c>
      <c r="AU131" s="28" t="str">
        <f>IF(AT131="","",TEXT(AT131,"mmmm yyyy"))</f>
        <v/>
      </c>
      <c r="AV131" s="29" t="str">
        <f>IF(C131="","",C131-WEEKDAY(C131,2)+1)</f>
        <v/>
      </c>
      <c r="AW131" s="29" t="str">
        <f>IF(AV131="","",AV131+6)</f>
        <v/>
      </c>
      <c r="AX131" s="28" t="str">
        <f>IF(AV131="","",TEXT(AV131,"dd/mm/yyyy")&amp;" - "&amp;TEXT(AW131,"dd/mm/yyyy"))</f>
        <v/>
      </c>
      <c r="AY131" s="28" t="str">
        <f>IF(B131="","",COUNTIFS($B$5:B131,B131,$AT$5:AT131,AT131))</f>
        <v/>
      </c>
      <c r="AZ131" s="28" t="str">
        <f>IF(B131="","",COUNTIFS($B$5:B131,B131,$AV$5:AV131,AV131))</f>
        <v/>
      </c>
      <c r="BA131" s="28" t="str">
        <f>IF(B131="","",TEXT(AY131,"00")&amp;"|"&amp;B131&amp;"|"&amp;TEXT(AT131,"yyyymmdd"))</f>
        <v/>
      </c>
      <c r="BB131" s="28" t="str">
        <f>IF(B131="","",TEXT(AZ131,"00")&amp;"|"&amp;B131&amp;"|"&amp;TEXT(AV131,"yyyymmdd"))</f>
        <v/>
      </c>
      <c r="BC131" s="28">
        <f>IF(OR(AQ131="YES",AQ131="Yes",AQ131="Y",AQ131=1),1,0)</f>
        <v>0</v>
      </c>
    </row>
    <row r="132" spans="1:55" ht="15" customHeight="1">
      <c r="A132" s="27"/>
      <c r="B132" s="28"/>
      <c r="C132" s="29"/>
      <c r="D132" s="30"/>
      <c r="E132" s="30"/>
      <c r="F132" s="28"/>
      <c r="G132" s="28"/>
      <c r="H132" s="28"/>
      <c r="I132" s="13"/>
      <c r="J132" s="28"/>
      <c r="K132" s="13"/>
      <c r="L132" s="28"/>
      <c r="M132" s="13"/>
      <c r="N132" s="28"/>
      <c r="O132" s="13"/>
      <c r="P132" s="28"/>
      <c r="Q132" s="20"/>
      <c r="R132" s="28"/>
      <c r="S132" s="20"/>
      <c r="T132" s="28"/>
      <c r="U132" s="13"/>
      <c r="V132" s="28"/>
      <c r="W132" s="13"/>
      <c r="X132" s="28"/>
      <c r="Y132" s="13"/>
      <c r="Z132" s="28"/>
      <c r="AA132" s="13"/>
      <c r="AB132" s="28"/>
      <c r="AC132" s="13"/>
      <c r="AD132" s="28"/>
      <c r="AE132" s="13"/>
      <c r="AF132" s="28"/>
      <c r="AG132" s="13"/>
      <c r="AH132" s="28"/>
      <c r="AI132" s="13"/>
      <c r="AJ132" s="28"/>
      <c r="AK132" s="13"/>
      <c r="AL132" s="28"/>
      <c r="AM132" s="13"/>
      <c r="AN132" s="28"/>
      <c r="AO132" s="13"/>
      <c r="AP132" s="28"/>
      <c r="AQ132" s="13"/>
      <c r="AR132" s="28"/>
      <c r="AS132" s="19">
        <f>SUM(H132,J132,L132,N132,P132,R132,T132,V132,X132,Z132,AB132,AD132,AF132,AH132,AJ132,AL132,AN132)</f>
        <v>0</v>
      </c>
      <c r="AT132" s="29" t="str">
        <f>IF(C132="","",DATE(YEAR(C132),MONTH(C132),1))</f>
        <v/>
      </c>
      <c r="AU132" s="28" t="str">
        <f>IF(AT132="","",TEXT(AT132,"mmmm yyyy"))</f>
        <v/>
      </c>
      <c r="AV132" s="29" t="str">
        <f>IF(C132="","",C132-WEEKDAY(C132,2)+1)</f>
        <v/>
      </c>
      <c r="AW132" s="29" t="str">
        <f>IF(AV132="","",AV132+6)</f>
        <v/>
      </c>
      <c r="AX132" s="28" t="str">
        <f>IF(AV132="","",TEXT(AV132,"dd/mm/yyyy")&amp;" - "&amp;TEXT(AW132,"dd/mm/yyyy"))</f>
        <v/>
      </c>
      <c r="AY132" s="28" t="str">
        <f>IF(B132="","",COUNTIFS($B$5:B132,B132,$AT$5:AT132,AT132))</f>
        <v/>
      </c>
      <c r="AZ132" s="28" t="str">
        <f>IF(B132="","",COUNTIFS($B$5:B132,B132,$AV$5:AV132,AV132))</f>
        <v/>
      </c>
      <c r="BA132" s="28" t="str">
        <f>IF(B132="","",TEXT(AY132,"00")&amp;"|"&amp;B132&amp;"|"&amp;TEXT(AT132,"yyyymmdd"))</f>
        <v/>
      </c>
      <c r="BB132" s="28" t="str">
        <f>IF(B132="","",TEXT(AZ132,"00")&amp;"|"&amp;B132&amp;"|"&amp;TEXT(AV132,"yyyymmdd"))</f>
        <v/>
      </c>
      <c r="BC132" s="28">
        <f>IF(OR(AQ132="YES",AQ132="Yes",AQ132="Y",AQ132=1),1,0)</f>
        <v>0</v>
      </c>
    </row>
    <row r="133" spans="1:55" ht="15" customHeight="1">
      <c r="A133" s="27"/>
      <c r="B133" s="28"/>
      <c r="C133" s="29"/>
      <c r="D133" s="30"/>
      <c r="E133" s="30"/>
      <c r="F133" s="28"/>
      <c r="G133" s="28"/>
      <c r="H133" s="28"/>
      <c r="I133" s="13"/>
      <c r="J133" s="28"/>
      <c r="K133" s="13"/>
      <c r="L133" s="28"/>
      <c r="M133" s="13"/>
      <c r="N133" s="28"/>
      <c r="O133" s="13"/>
      <c r="P133" s="28"/>
      <c r="Q133" s="20"/>
      <c r="R133" s="28"/>
      <c r="S133" s="20"/>
      <c r="T133" s="28"/>
      <c r="U133" s="13"/>
      <c r="V133" s="28"/>
      <c r="W133" s="13"/>
      <c r="X133" s="28"/>
      <c r="Y133" s="13"/>
      <c r="Z133" s="28"/>
      <c r="AA133" s="13"/>
      <c r="AB133" s="28"/>
      <c r="AC133" s="13"/>
      <c r="AD133" s="28"/>
      <c r="AE133" s="13"/>
      <c r="AF133" s="28"/>
      <c r="AG133" s="13"/>
      <c r="AH133" s="28"/>
      <c r="AI133" s="13"/>
      <c r="AJ133" s="28"/>
      <c r="AK133" s="13"/>
      <c r="AL133" s="28"/>
      <c r="AM133" s="13"/>
      <c r="AN133" s="28"/>
      <c r="AO133" s="13"/>
      <c r="AP133" s="28"/>
      <c r="AQ133" s="13"/>
      <c r="AR133" s="28"/>
      <c r="AS133" s="19">
        <f>SUM(H133,J133,L133,N133,P133,R133,T133,V133,X133,Z133,AB133,AD133,AF133,AH133,AJ133,AL133,AN133)</f>
        <v>0</v>
      </c>
      <c r="AT133" s="29" t="str">
        <f>IF(C133="","",DATE(YEAR(C133),MONTH(C133),1))</f>
        <v/>
      </c>
      <c r="AU133" s="28" t="str">
        <f>IF(AT133="","",TEXT(AT133,"mmmm yyyy"))</f>
        <v/>
      </c>
      <c r="AV133" s="29" t="str">
        <f>IF(C133="","",C133-WEEKDAY(C133,2)+1)</f>
        <v/>
      </c>
      <c r="AW133" s="29" t="str">
        <f>IF(AV133="","",AV133+6)</f>
        <v/>
      </c>
      <c r="AX133" s="28" t="str">
        <f>IF(AV133="","",TEXT(AV133,"dd/mm/yyyy")&amp;" - "&amp;TEXT(AW133,"dd/mm/yyyy"))</f>
        <v/>
      </c>
      <c r="AY133" s="28" t="str">
        <f>IF(B133="","",COUNTIFS($B$5:B133,B133,$AT$5:AT133,AT133))</f>
        <v/>
      </c>
      <c r="AZ133" s="28" t="str">
        <f>IF(B133="","",COUNTIFS($B$5:B133,B133,$AV$5:AV133,AV133))</f>
        <v/>
      </c>
      <c r="BA133" s="28" t="str">
        <f>IF(B133="","",TEXT(AY133,"00")&amp;"|"&amp;B133&amp;"|"&amp;TEXT(AT133,"yyyymmdd"))</f>
        <v/>
      </c>
      <c r="BB133" s="28" t="str">
        <f>IF(B133="","",TEXT(AZ133,"00")&amp;"|"&amp;B133&amp;"|"&amp;TEXT(AV133,"yyyymmdd"))</f>
        <v/>
      </c>
      <c r="BC133" s="28">
        <f>IF(OR(AQ133="YES",AQ133="Yes",AQ133="Y",AQ133=1),1,0)</f>
        <v>0</v>
      </c>
    </row>
    <row r="134" spans="1:55" ht="15" customHeight="1">
      <c r="A134" s="27"/>
      <c r="B134" s="28"/>
      <c r="C134" s="29"/>
      <c r="D134" s="30"/>
      <c r="E134" s="30"/>
      <c r="F134" s="28"/>
      <c r="G134" s="28"/>
      <c r="H134" s="28"/>
      <c r="I134" s="13"/>
      <c r="J134" s="28"/>
      <c r="K134" s="13"/>
      <c r="L134" s="28"/>
      <c r="M134" s="13"/>
      <c r="N134" s="28"/>
      <c r="O134" s="13"/>
      <c r="P134" s="28"/>
      <c r="Q134" s="20"/>
      <c r="R134" s="28"/>
      <c r="S134" s="20"/>
      <c r="T134" s="28"/>
      <c r="U134" s="13"/>
      <c r="V134" s="28"/>
      <c r="W134" s="13"/>
      <c r="X134" s="28"/>
      <c r="Y134" s="13"/>
      <c r="Z134" s="28"/>
      <c r="AA134" s="13"/>
      <c r="AB134" s="28"/>
      <c r="AC134" s="13"/>
      <c r="AD134" s="28"/>
      <c r="AE134" s="13"/>
      <c r="AF134" s="28"/>
      <c r="AG134" s="13"/>
      <c r="AH134" s="28"/>
      <c r="AI134" s="13"/>
      <c r="AJ134" s="28"/>
      <c r="AK134" s="13"/>
      <c r="AL134" s="28"/>
      <c r="AM134" s="13"/>
      <c r="AN134" s="28"/>
      <c r="AO134" s="13"/>
      <c r="AP134" s="28"/>
      <c r="AQ134" s="13"/>
      <c r="AR134" s="28"/>
      <c r="AS134" s="19">
        <f>SUM(H134,J134,L134,N134,P134,R134,T134,V134,X134,Z134,AB134,AD134,AF134,AH134,AJ134,AL134,AN134)</f>
        <v>0</v>
      </c>
      <c r="AT134" s="29" t="str">
        <f>IF(C134="","",DATE(YEAR(C134),MONTH(C134),1))</f>
        <v/>
      </c>
      <c r="AU134" s="28" t="str">
        <f>IF(AT134="","",TEXT(AT134,"mmmm yyyy"))</f>
        <v/>
      </c>
      <c r="AV134" s="29" t="str">
        <f>IF(C134="","",C134-WEEKDAY(C134,2)+1)</f>
        <v/>
      </c>
      <c r="AW134" s="29" t="str">
        <f>IF(AV134="","",AV134+6)</f>
        <v/>
      </c>
      <c r="AX134" s="28" t="str">
        <f>IF(AV134="","",TEXT(AV134,"dd/mm/yyyy")&amp;" - "&amp;TEXT(AW134,"dd/mm/yyyy"))</f>
        <v/>
      </c>
      <c r="AY134" s="28" t="str">
        <f>IF(B134="","",COUNTIFS($B$5:B134,B134,$AT$5:AT134,AT134))</f>
        <v/>
      </c>
      <c r="AZ134" s="28" t="str">
        <f>IF(B134="","",COUNTIFS($B$5:B134,B134,$AV$5:AV134,AV134))</f>
        <v/>
      </c>
      <c r="BA134" s="28" t="str">
        <f>IF(B134="","",TEXT(AY134,"00")&amp;"|"&amp;B134&amp;"|"&amp;TEXT(AT134,"yyyymmdd"))</f>
        <v/>
      </c>
      <c r="BB134" s="28" t="str">
        <f>IF(B134="","",TEXT(AZ134,"00")&amp;"|"&amp;B134&amp;"|"&amp;TEXT(AV134,"yyyymmdd"))</f>
        <v/>
      </c>
      <c r="BC134" s="28">
        <f>IF(OR(AQ134="YES",AQ134="Yes",AQ134="Y",AQ134=1),1,0)</f>
        <v>0</v>
      </c>
    </row>
    <row r="135" spans="1:55" ht="15" customHeight="1">
      <c r="A135" s="27"/>
      <c r="B135" s="28"/>
      <c r="C135" s="29"/>
      <c r="D135" s="30"/>
      <c r="E135" s="30"/>
      <c r="F135" s="28"/>
      <c r="G135" s="28"/>
      <c r="H135" s="28"/>
      <c r="I135" s="13"/>
      <c r="J135" s="28"/>
      <c r="K135" s="13"/>
      <c r="L135" s="28"/>
      <c r="M135" s="13"/>
      <c r="N135" s="28"/>
      <c r="O135" s="13"/>
      <c r="P135" s="28"/>
      <c r="Q135" s="20"/>
      <c r="R135" s="28"/>
      <c r="S135" s="20"/>
      <c r="T135" s="28"/>
      <c r="U135" s="13"/>
      <c r="V135" s="28"/>
      <c r="W135" s="13"/>
      <c r="X135" s="28"/>
      <c r="Y135" s="13"/>
      <c r="Z135" s="28"/>
      <c r="AA135" s="13"/>
      <c r="AB135" s="28"/>
      <c r="AC135" s="13"/>
      <c r="AD135" s="28"/>
      <c r="AE135" s="13"/>
      <c r="AF135" s="28"/>
      <c r="AG135" s="13"/>
      <c r="AH135" s="28"/>
      <c r="AI135" s="13"/>
      <c r="AJ135" s="28"/>
      <c r="AK135" s="13"/>
      <c r="AL135" s="28"/>
      <c r="AM135" s="13"/>
      <c r="AN135" s="28"/>
      <c r="AO135" s="13"/>
      <c r="AP135" s="28"/>
      <c r="AQ135" s="13"/>
      <c r="AR135" s="28"/>
      <c r="AS135" s="19">
        <f>SUM(H135,J135,L135,N135,P135,R135,T135,V135,X135,Z135,AB135,AD135,AF135,AH135,AJ135,AL135,AN135)</f>
        <v>0</v>
      </c>
      <c r="AT135" s="29" t="str">
        <f>IF(C135="","",DATE(YEAR(C135),MONTH(C135),1))</f>
        <v/>
      </c>
      <c r="AU135" s="28" t="str">
        <f>IF(AT135="","",TEXT(AT135,"mmmm yyyy"))</f>
        <v/>
      </c>
      <c r="AV135" s="29" t="str">
        <f>IF(C135="","",C135-WEEKDAY(C135,2)+1)</f>
        <v/>
      </c>
      <c r="AW135" s="29" t="str">
        <f>IF(AV135="","",AV135+6)</f>
        <v/>
      </c>
      <c r="AX135" s="28" t="str">
        <f>IF(AV135="","",TEXT(AV135,"dd/mm/yyyy")&amp;" - "&amp;TEXT(AW135,"dd/mm/yyyy"))</f>
        <v/>
      </c>
      <c r="AY135" s="28" t="str">
        <f>IF(B135="","",COUNTIFS($B$5:B135,B135,$AT$5:AT135,AT135))</f>
        <v/>
      </c>
      <c r="AZ135" s="28" t="str">
        <f>IF(B135="","",COUNTIFS($B$5:B135,B135,$AV$5:AV135,AV135))</f>
        <v/>
      </c>
      <c r="BA135" s="28" t="str">
        <f>IF(B135="","",TEXT(AY135,"00")&amp;"|"&amp;B135&amp;"|"&amp;TEXT(AT135,"yyyymmdd"))</f>
        <v/>
      </c>
      <c r="BB135" s="28" t="str">
        <f>IF(B135="","",TEXT(AZ135,"00")&amp;"|"&amp;B135&amp;"|"&amp;TEXT(AV135,"yyyymmdd"))</f>
        <v/>
      </c>
      <c r="BC135" s="28">
        <f>IF(OR(AQ135="YES",AQ135="Yes",AQ135="Y",AQ135=1),1,0)</f>
        <v>0</v>
      </c>
    </row>
    <row r="136" spans="1:55" ht="15" customHeight="1">
      <c r="A136" s="27"/>
      <c r="B136" s="28"/>
      <c r="C136" s="29"/>
      <c r="D136" s="30"/>
      <c r="E136" s="30"/>
      <c r="F136" s="28"/>
      <c r="G136" s="28"/>
      <c r="H136" s="28"/>
      <c r="I136" s="13"/>
      <c r="J136" s="28"/>
      <c r="K136" s="13"/>
      <c r="L136" s="28"/>
      <c r="M136" s="13"/>
      <c r="N136" s="28"/>
      <c r="O136" s="13"/>
      <c r="P136" s="28"/>
      <c r="Q136" s="20"/>
      <c r="R136" s="28"/>
      <c r="S136" s="20"/>
      <c r="T136" s="28"/>
      <c r="U136" s="13"/>
      <c r="V136" s="28"/>
      <c r="W136" s="13"/>
      <c r="X136" s="28"/>
      <c r="Y136" s="13"/>
      <c r="Z136" s="28"/>
      <c r="AA136" s="13"/>
      <c r="AB136" s="28"/>
      <c r="AC136" s="13"/>
      <c r="AD136" s="28"/>
      <c r="AE136" s="13"/>
      <c r="AF136" s="28"/>
      <c r="AG136" s="13"/>
      <c r="AH136" s="28"/>
      <c r="AI136" s="13"/>
      <c r="AJ136" s="28"/>
      <c r="AK136" s="13"/>
      <c r="AL136" s="28"/>
      <c r="AM136" s="13"/>
      <c r="AN136" s="28"/>
      <c r="AO136" s="13"/>
      <c r="AP136" s="28"/>
      <c r="AQ136" s="13"/>
      <c r="AR136" s="28"/>
      <c r="AS136" s="19">
        <f>SUM(H136,J136,L136,N136,P136,R136,T136,V136,X136,Z136,AB136,AD136,AF136,AH136,AJ136,AL136,AN136)</f>
        <v>0</v>
      </c>
      <c r="AT136" s="29" t="str">
        <f>IF(C136="","",DATE(YEAR(C136),MONTH(C136),1))</f>
        <v/>
      </c>
      <c r="AU136" s="28" t="str">
        <f>IF(AT136="","",TEXT(AT136,"mmmm yyyy"))</f>
        <v/>
      </c>
      <c r="AV136" s="29" t="str">
        <f>IF(C136="","",C136-WEEKDAY(C136,2)+1)</f>
        <v/>
      </c>
      <c r="AW136" s="29" t="str">
        <f>IF(AV136="","",AV136+6)</f>
        <v/>
      </c>
      <c r="AX136" s="28" t="str">
        <f>IF(AV136="","",TEXT(AV136,"dd/mm/yyyy")&amp;" - "&amp;TEXT(AW136,"dd/mm/yyyy"))</f>
        <v/>
      </c>
      <c r="AY136" s="28" t="str">
        <f>IF(B136="","",COUNTIFS($B$5:B136,B136,$AT$5:AT136,AT136))</f>
        <v/>
      </c>
      <c r="AZ136" s="28" t="str">
        <f>IF(B136="","",COUNTIFS($B$5:B136,B136,$AV$5:AV136,AV136))</f>
        <v/>
      </c>
      <c r="BA136" s="28" t="str">
        <f>IF(B136="","",TEXT(AY136,"00")&amp;"|"&amp;B136&amp;"|"&amp;TEXT(AT136,"yyyymmdd"))</f>
        <v/>
      </c>
      <c r="BB136" s="28" t="str">
        <f>IF(B136="","",TEXT(AZ136,"00")&amp;"|"&amp;B136&amp;"|"&amp;TEXT(AV136,"yyyymmdd"))</f>
        <v/>
      </c>
      <c r="BC136" s="28">
        <f>IF(OR(AQ136="YES",AQ136="Yes",AQ136="Y",AQ136=1),1,0)</f>
        <v>0</v>
      </c>
    </row>
    <row r="137" spans="1:55" ht="15" customHeight="1">
      <c r="A137" s="27"/>
      <c r="B137" s="28"/>
      <c r="C137" s="29"/>
      <c r="D137" s="30"/>
      <c r="E137" s="30"/>
      <c r="F137" s="28"/>
      <c r="G137" s="28"/>
      <c r="H137" s="28"/>
      <c r="I137" s="13"/>
      <c r="J137" s="28"/>
      <c r="K137" s="13"/>
      <c r="L137" s="28"/>
      <c r="M137" s="13"/>
      <c r="N137" s="28"/>
      <c r="O137" s="13"/>
      <c r="P137" s="28"/>
      <c r="Q137" s="20"/>
      <c r="R137" s="28"/>
      <c r="S137" s="20"/>
      <c r="T137" s="28"/>
      <c r="U137" s="13"/>
      <c r="V137" s="28"/>
      <c r="W137" s="13"/>
      <c r="X137" s="28"/>
      <c r="Y137" s="13"/>
      <c r="Z137" s="28"/>
      <c r="AA137" s="13"/>
      <c r="AB137" s="28"/>
      <c r="AC137" s="13"/>
      <c r="AD137" s="28"/>
      <c r="AE137" s="13"/>
      <c r="AF137" s="28"/>
      <c r="AG137" s="13"/>
      <c r="AH137" s="28"/>
      <c r="AI137" s="13"/>
      <c r="AJ137" s="28"/>
      <c r="AK137" s="13"/>
      <c r="AL137" s="28"/>
      <c r="AM137" s="13"/>
      <c r="AN137" s="28"/>
      <c r="AO137" s="13"/>
      <c r="AP137" s="28"/>
      <c r="AQ137" s="13"/>
      <c r="AR137" s="28"/>
      <c r="AS137" s="19">
        <f>SUM(H137,J137,L137,N137,P137,R137,T137,V137,X137,Z137,AB137,AD137,AF137,AH137,AJ137,AL137,AN137)</f>
        <v>0</v>
      </c>
      <c r="AT137" s="29" t="str">
        <f>IF(C137="","",DATE(YEAR(C137),MONTH(C137),1))</f>
        <v/>
      </c>
      <c r="AU137" s="28" t="str">
        <f>IF(AT137="","",TEXT(AT137,"mmmm yyyy"))</f>
        <v/>
      </c>
      <c r="AV137" s="29" t="str">
        <f>IF(C137="","",C137-WEEKDAY(C137,2)+1)</f>
        <v/>
      </c>
      <c r="AW137" s="29" t="str">
        <f>IF(AV137="","",AV137+6)</f>
        <v/>
      </c>
      <c r="AX137" s="28" t="str">
        <f>IF(AV137="","",TEXT(AV137,"dd/mm/yyyy")&amp;" - "&amp;TEXT(AW137,"dd/mm/yyyy"))</f>
        <v/>
      </c>
      <c r="AY137" s="28" t="str">
        <f>IF(B137="","",COUNTIFS($B$5:B137,B137,$AT$5:AT137,AT137))</f>
        <v/>
      </c>
      <c r="AZ137" s="28" t="str">
        <f>IF(B137="","",COUNTIFS($B$5:B137,B137,$AV$5:AV137,AV137))</f>
        <v/>
      </c>
      <c r="BA137" s="28" t="str">
        <f>IF(B137="","",TEXT(AY137,"00")&amp;"|"&amp;B137&amp;"|"&amp;TEXT(AT137,"yyyymmdd"))</f>
        <v/>
      </c>
      <c r="BB137" s="28" t="str">
        <f>IF(B137="","",TEXT(AZ137,"00")&amp;"|"&amp;B137&amp;"|"&amp;TEXT(AV137,"yyyymmdd"))</f>
        <v/>
      </c>
      <c r="BC137" s="28">
        <f>IF(OR(AQ137="YES",AQ137="Yes",AQ137="Y",AQ137=1),1,0)</f>
        <v>0</v>
      </c>
    </row>
    <row r="138" spans="1:55" ht="15" customHeight="1">
      <c r="A138" s="27"/>
      <c r="B138" s="28"/>
      <c r="C138" s="29"/>
      <c r="D138" s="30"/>
      <c r="E138" s="30"/>
      <c r="F138" s="28"/>
      <c r="G138" s="28"/>
      <c r="H138" s="28"/>
      <c r="I138" s="13"/>
      <c r="J138" s="28"/>
      <c r="K138" s="13"/>
      <c r="L138" s="28"/>
      <c r="M138" s="13"/>
      <c r="N138" s="28"/>
      <c r="O138" s="13"/>
      <c r="P138" s="28"/>
      <c r="Q138" s="20"/>
      <c r="R138" s="28"/>
      <c r="S138" s="20"/>
      <c r="T138" s="28"/>
      <c r="U138" s="13"/>
      <c r="V138" s="28"/>
      <c r="W138" s="13"/>
      <c r="X138" s="28"/>
      <c r="Y138" s="13"/>
      <c r="Z138" s="28"/>
      <c r="AA138" s="13"/>
      <c r="AB138" s="28"/>
      <c r="AC138" s="13"/>
      <c r="AD138" s="28"/>
      <c r="AE138" s="13"/>
      <c r="AF138" s="28"/>
      <c r="AG138" s="13"/>
      <c r="AH138" s="28"/>
      <c r="AI138" s="13"/>
      <c r="AJ138" s="28"/>
      <c r="AK138" s="13"/>
      <c r="AL138" s="28"/>
      <c r="AM138" s="13"/>
      <c r="AN138" s="28"/>
      <c r="AO138" s="13"/>
      <c r="AP138" s="28"/>
      <c r="AQ138" s="13"/>
      <c r="AR138" s="28"/>
      <c r="AS138" s="19">
        <f>SUM(H138,J138,L138,N138,P138,R138,T138,V138,X138,Z138,AB138,AD138,AF138,AH138,AJ138,AL138,AN138)</f>
        <v>0</v>
      </c>
      <c r="AT138" s="29" t="str">
        <f>IF(C138="","",DATE(YEAR(C138),MONTH(C138),1))</f>
        <v/>
      </c>
      <c r="AU138" s="28" t="str">
        <f>IF(AT138="","",TEXT(AT138,"mmmm yyyy"))</f>
        <v/>
      </c>
      <c r="AV138" s="29" t="str">
        <f>IF(C138="","",C138-WEEKDAY(C138,2)+1)</f>
        <v/>
      </c>
      <c r="AW138" s="29" t="str">
        <f>IF(AV138="","",AV138+6)</f>
        <v/>
      </c>
      <c r="AX138" s="28" t="str">
        <f>IF(AV138="","",TEXT(AV138,"dd/mm/yyyy")&amp;" - "&amp;TEXT(AW138,"dd/mm/yyyy"))</f>
        <v/>
      </c>
      <c r="AY138" s="28" t="str">
        <f>IF(B138="","",COUNTIFS($B$5:B138,B138,$AT$5:AT138,AT138))</f>
        <v/>
      </c>
      <c r="AZ138" s="28" t="str">
        <f>IF(B138="","",COUNTIFS($B$5:B138,B138,$AV$5:AV138,AV138))</f>
        <v/>
      </c>
      <c r="BA138" s="28" t="str">
        <f>IF(B138="","",TEXT(AY138,"00")&amp;"|"&amp;B138&amp;"|"&amp;TEXT(AT138,"yyyymmdd"))</f>
        <v/>
      </c>
      <c r="BB138" s="28" t="str">
        <f>IF(B138="","",TEXT(AZ138,"00")&amp;"|"&amp;B138&amp;"|"&amp;TEXT(AV138,"yyyymmdd"))</f>
        <v/>
      </c>
      <c r="BC138" s="28">
        <f>IF(OR(AQ138="YES",AQ138="Yes",AQ138="Y",AQ138=1),1,0)</f>
        <v>0</v>
      </c>
    </row>
    <row r="139" spans="1:55" ht="15" customHeight="1">
      <c r="A139" s="27"/>
      <c r="B139" s="28"/>
      <c r="C139" s="29"/>
      <c r="D139" s="30"/>
      <c r="E139" s="30"/>
      <c r="F139" s="28"/>
      <c r="G139" s="28"/>
      <c r="H139" s="28"/>
      <c r="I139" s="13"/>
      <c r="J139" s="28"/>
      <c r="K139" s="13"/>
      <c r="L139" s="28"/>
      <c r="M139" s="13"/>
      <c r="N139" s="28"/>
      <c r="O139" s="13"/>
      <c r="P139" s="28"/>
      <c r="Q139" s="20"/>
      <c r="R139" s="28"/>
      <c r="S139" s="20"/>
      <c r="T139" s="28"/>
      <c r="U139" s="13"/>
      <c r="V139" s="28"/>
      <c r="W139" s="13"/>
      <c r="X139" s="28"/>
      <c r="Y139" s="13"/>
      <c r="Z139" s="28"/>
      <c r="AA139" s="13"/>
      <c r="AB139" s="28"/>
      <c r="AC139" s="13"/>
      <c r="AD139" s="28"/>
      <c r="AE139" s="13"/>
      <c r="AF139" s="28"/>
      <c r="AG139" s="13"/>
      <c r="AH139" s="28"/>
      <c r="AI139" s="13"/>
      <c r="AJ139" s="28"/>
      <c r="AK139" s="13"/>
      <c r="AL139" s="28"/>
      <c r="AM139" s="13"/>
      <c r="AN139" s="28"/>
      <c r="AO139" s="13"/>
      <c r="AP139" s="28"/>
      <c r="AQ139" s="13"/>
      <c r="AR139" s="28"/>
      <c r="AS139" s="19">
        <f>SUM(H139,J139,L139,N139,P139,R139,T139,V139,X139,Z139,AB139,AD139,AF139,AH139,AJ139,AL139,AN139)</f>
        <v>0</v>
      </c>
      <c r="AT139" s="29" t="str">
        <f>IF(C139="","",DATE(YEAR(C139),MONTH(C139),1))</f>
        <v/>
      </c>
      <c r="AU139" s="28" t="str">
        <f>IF(AT139="","",TEXT(AT139,"mmmm yyyy"))</f>
        <v/>
      </c>
      <c r="AV139" s="29" t="str">
        <f>IF(C139="","",C139-WEEKDAY(C139,2)+1)</f>
        <v/>
      </c>
      <c r="AW139" s="29" t="str">
        <f>IF(AV139="","",AV139+6)</f>
        <v/>
      </c>
      <c r="AX139" s="28" t="str">
        <f>IF(AV139="","",TEXT(AV139,"dd/mm/yyyy")&amp;" - "&amp;TEXT(AW139,"dd/mm/yyyy"))</f>
        <v/>
      </c>
      <c r="AY139" s="28" t="str">
        <f>IF(B139="","",COUNTIFS($B$5:B139,B139,$AT$5:AT139,AT139))</f>
        <v/>
      </c>
      <c r="AZ139" s="28" t="str">
        <f>IF(B139="","",COUNTIFS($B$5:B139,B139,$AV$5:AV139,AV139))</f>
        <v/>
      </c>
      <c r="BA139" s="28" t="str">
        <f>IF(B139="","",TEXT(AY139,"00")&amp;"|"&amp;B139&amp;"|"&amp;TEXT(AT139,"yyyymmdd"))</f>
        <v/>
      </c>
      <c r="BB139" s="28" t="str">
        <f>IF(B139="","",TEXT(AZ139,"00")&amp;"|"&amp;B139&amp;"|"&amp;TEXT(AV139,"yyyymmdd"))</f>
        <v/>
      </c>
      <c r="BC139" s="28">
        <f>IF(OR(AQ139="YES",AQ139="Yes",AQ139="Y",AQ139=1),1,0)</f>
        <v>0</v>
      </c>
    </row>
    <row r="140" spans="1:55" ht="15" customHeight="1">
      <c r="A140" s="27"/>
      <c r="B140" s="28"/>
      <c r="C140" s="29"/>
      <c r="D140" s="30"/>
      <c r="E140" s="30"/>
      <c r="F140" s="28"/>
      <c r="G140" s="28"/>
      <c r="H140" s="28"/>
      <c r="I140" s="13"/>
      <c r="J140" s="28"/>
      <c r="K140" s="13"/>
      <c r="L140" s="28"/>
      <c r="M140" s="13"/>
      <c r="N140" s="28"/>
      <c r="O140" s="13"/>
      <c r="P140" s="28"/>
      <c r="Q140" s="20"/>
      <c r="R140" s="28"/>
      <c r="S140" s="20"/>
      <c r="T140" s="28"/>
      <c r="U140" s="13"/>
      <c r="V140" s="28"/>
      <c r="W140" s="13"/>
      <c r="X140" s="28"/>
      <c r="Y140" s="13"/>
      <c r="Z140" s="28"/>
      <c r="AA140" s="13"/>
      <c r="AB140" s="28"/>
      <c r="AC140" s="13"/>
      <c r="AD140" s="28"/>
      <c r="AE140" s="13"/>
      <c r="AF140" s="28"/>
      <c r="AG140" s="13"/>
      <c r="AH140" s="28"/>
      <c r="AI140" s="13"/>
      <c r="AJ140" s="28"/>
      <c r="AK140" s="13"/>
      <c r="AL140" s="28"/>
      <c r="AM140" s="13"/>
      <c r="AN140" s="28"/>
      <c r="AO140" s="13"/>
      <c r="AP140" s="28"/>
      <c r="AQ140" s="13"/>
      <c r="AR140" s="28"/>
      <c r="AS140" s="19">
        <f>SUM(H140,J140,L140,N140,P140,R140,T140,V140,X140,Z140,AB140,AD140,AF140,AH140,AJ140,AL140,AN140)</f>
        <v>0</v>
      </c>
      <c r="AT140" s="29" t="str">
        <f>IF(C140="","",DATE(YEAR(C140),MONTH(C140),1))</f>
        <v/>
      </c>
      <c r="AU140" s="28" t="str">
        <f>IF(AT140="","",TEXT(AT140,"mmmm yyyy"))</f>
        <v/>
      </c>
      <c r="AV140" s="29" t="str">
        <f>IF(C140="","",C140-WEEKDAY(C140,2)+1)</f>
        <v/>
      </c>
      <c r="AW140" s="29" t="str">
        <f>IF(AV140="","",AV140+6)</f>
        <v/>
      </c>
      <c r="AX140" s="28" t="str">
        <f>IF(AV140="","",TEXT(AV140,"dd/mm/yyyy")&amp;" - "&amp;TEXT(AW140,"dd/mm/yyyy"))</f>
        <v/>
      </c>
      <c r="AY140" s="28" t="str">
        <f>IF(B140="","",COUNTIFS($B$5:B140,B140,$AT$5:AT140,AT140))</f>
        <v/>
      </c>
      <c r="AZ140" s="28" t="str">
        <f>IF(B140="","",COUNTIFS($B$5:B140,B140,$AV$5:AV140,AV140))</f>
        <v/>
      </c>
      <c r="BA140" s="28" t="str">
        <f>IF(B140="","",TEXT(AY140,"00")&amp;"|"&amp;B140&amp;"|"&amp;TEXT(AT140,"yyyymmdd"))</f>
        <v/>
      </c>
      <c r="BB140" s="28" t="str">
        <f>IF(B140="","",TEXT(AZ140,"00")&amp;"|"&amp;B140&amp;"|"&amp;TEXT(AV140,"yyyymmdd"))</f>
        <v/>
      </c>
      <c r="BC140" s="28">
        <f>IF(OR(AQ140="YES",AQ140="Yes",AQ140="Y",AQ140=1),1,0)</f>
        <v>0</v>
      </c>
    </row>
    <row r="141" spans="1:55" ht="15" customHeight="1">
      <c r="A141" s="27"/>
      <c r="B141" s="28"/>
      <c r="C141" s="29"/>
      <c r="D141" s="30"/>
      <c r="E141" s="30"/>
      <c r="F141" s="28"/>
      <c r="G141" s="28"/>
      <c r="H141" s="28"/>
      <c r="I141" s="13"/>
      <c r="J141" s="28"/>
      <c r="K141" s="13"/>
      <c r="L141" s="28"/>
      <c r="M141" s="13"/>
      <c r="N141" s="28"/>
      <c r="O141" s="13"/>
      <c r="P141" s="28"/>
      <c r="Q141" s="20"/>
      <c r="R141" s="28"/>
      <c r="S141" s="20"/>
      <c r="T141" s="28"/>
      <c r="U141" s="13"/>
      <c r="V141" s="28"/>
      <c r="W141" s="13"/>
      <c r="X141" s="28"/>
      <c r="Y141" s="13"/>
      <c r="Z141" s="28"/>
      <c r="AA141" s="13"/>
      <c r="AB141" s="28"/>
      <c r="AC141" s="13"/>
      <c r="AD141" s="28"/>
      <c r="AE141" s="13"/>
      <c r="AF141" s="28"/>
      <c r="AG141" s="13"/>
      <c r="AH141" s="28"/>
      <c r="AI141" s="13"/>
      <c r="AJ141" s="28"/>
      <c r="AK141" s="13"/>
      <c r="AL141" s="28"/>
      <c r="AM141" s="13"/>
      <c r="AN141" s="28"/>
      <c r="AO141" s="13"/>
      <c r="AP141" s="28"/>
      <c r="AQ141" s="13"/>
      <c r="AR141" s="28"/>
      <c r="AS141" s="19">
        <f>SUM(H141,J141,L141,N141,P141,R141,T141,V141,X141,Z141,AB141,AD141,AF141,AH141,AJ141,AL141,AN141)</f>
        <v>0</v>
      </c>
      <c r="AT141" s="29" t="str">
        <f>IF(C141="","",DATE(YEAR(C141),MONTH(C141),1))</f>
        <v/>
      </c>
      <c r="AU141" s="28" t="str">
        <f>IF(AT141="","",TEXT(AT141,"mmmm yyyy"))</f>
        <v/>
      </c>
      <c r="AV141" s="29" t="str">
        <f>IF(C141="","",C141-WEEKDAY(C141,2)+1)</f>
        <v/>
      </c>
      <c r="AW141" s="29" t="str">
        <f>IF(AV141="","",AV141+6)</f>
        <v/>
      </c>
      <c r="AX141" s="28" t="str">
        <f>IF(AV141="","",TEXT(AV141,"dd/mm/yyyy")&amp;" - "&amp;TEXT(AW141,"dd/mm/yyyy"))</f>
        <v/>
      </c>
      <c r="AY141" s="28" t="str">
        <f>IF(B141="","",COUNTIFS($B$5:B141,B141,$AT$5:AT141,AT141))</f>
        <v/>
      </c>
      <c r="AZ141" s="28" t="str">
        <f>IF(B141="","",COUNTIFS($B$5:B141,B141,$AV$5:AV141,AV141))</f>
        <v/>
      </c>
      <c r="BA141" s="28" t="str">
        <f>IF(B141="","",TEXT(AY141,"00")&amp;"|"&amp;B141&amp;"|"&amp;TEXT(AT141,"yyyymmdd"))</f>
        <v/>
      </c>
      <c r="BB141" s="28" t="str">
        <f>IF(B141="","",TEXT(AZ141,"00")&amp;"|"&amp;B141&amp;"|"&amp;TEXT(AV141,"yyyymmdd"))</f>
        <v/>
      </c>
      <c r="BC141" s="28">
        <f>IF(OR(AQ141="YES",AQ141="Yes",AQ141="Y",AQ141=1),1,0)</f>
        <v>0</v>
      </c>
    </row>
    <row r="142" spans="1:55" ht="15" customHeight="1">
      <c r="A142" s="27"/>
      <c r="B142" s="28"/>
      <c r="C142" s="29"/>
      <c r="D142" s="30"/>
      <c r="E142" s="30"/>
      <c r="F142" s="28"/>
      <c r="G142" s="28"/>
      <c r="H142" s="28"/>
      <c r="I142" s="13"/>
      <c r="J142" s="28"/>
      <c r="K142" s="13"/>
      <c r="L142" s="28"/>
      <c r="M142" s="13"/>
      <c r="N142" s="28"/>
      <c r="O142" s="13"/>
      <c r="P142" s="28"/>
      <c r="Q142" s="20"/>
      <c r="R142" s="28"/>
      <c r="S142" s="20"/>
      <c r="T142" s="28"/>
      <c r="U142" s="13"/>
      <c r="V142" s="28"/>
      <c r="W142" s="13"/>
      <c r="X142" s="28"/>
      <c r="Y142" s="13"/>
      <c r="Z142" s="28"/>
      <c r="AA142" s="13"/>
      <c r="AB142" s="28"/>
      <c r="AC142" s="13"/>
      <c r="AD142" s="28"/>
      <c r="AE142" s="13"/>
      <c r="AF142" s="28"/>
      <c r="AG142" s="13"/>
      <c r="AH142" s="28"/>
      <c r="AI142" s="13"/>
      <c r="AJ142" s="28"/>
      <c r="AK142" s="13"/>
      <c r="AL142" s="28"/>
      <c r="AM142" s="13"/>
      <c r="AN142" s="28"/>
      <c r="AO142" s="13"/>
      <c r="AP142" s="28"/>
      <c r="AQ142" s="13"/>
      <c r="AR142" s="28"/>
      <c r="AS142" s="19">
        <f>SUM(H142,J142,L142,N142,P142,R142,T142,V142,X142,Z142,AB142,AD142,AF142,AH142,AJ142,AL142,AN142)</f>
        <v>0</v>
      </c>
      <c r="AT142" s="29" t="str">
        <f>IF(C142="","",DATE(YEAR(C142),MONTH(C142),1))</f>
        <v/>
      </c>
      <c r="AU142" s="28" t="str">
        <f>IF(AT142="","",TEXT(AT142,"mmmm yyyy"))</f>
        <v/>
      </c>
      <c r="AV142" s="29" t="str">
        <f>IF(C142="","",C142-WEEKDAY(C142,2)+1)</f>
        <v/>
      </c>
      <c r="AW142" s="29" t="str">
        <f>IF(AV142="","",AV142+6)</f>
        <v/>
      </c>
      <c r="AX142" s="28" t="str">
        <f>IF(AV142="","",TEXT(AV142,"dd/mm/yyyy")&amp;" - "&amp;TEXT(AW142,"dd/mm/yyyy"))</f>
        <v/>
      </c>
      <c r="AY142" s="28" t="str">
        <f>IF(B142="","",COUNTIFS($B$5:B142,B142,$AT$5:AT142,AT142))</f>
        <v/>
      </c>
      <c r="AZ142" s="28" t="str">
        <f>IF(B142="","",COUNTIFS($B$5:B142,B142,$AV$5:AV142,AV142))</f>
        <v/>
      </c>
      <c r="BA142" s="28" t="str">
        <f>IF(B142="","",TEXT(AY142,"00")&amp;"|"&amp;B142&amp;"|"&amp;TEXT(AT142,"yyyymmdd"))</f>
        <v/>
      </c>
      <c r="BB142" s="28" t="str">
        <f>IF(B142="","",TEXT(AZ142,"00")&amp;"|"&amp;B142&amp;"|"&amp;TEXT(AV142,"yyyymmdd"))</f>
        <v/>
      </c>
      <c r="BC142" s="28">
        <f>IF(OR(AQ142="YES",AQ142="Yes",AQ142="Y",AQ142=1),1,0)</f>
        <v>0</v>
      </c>
    </row>
    <row r="143" spans="1:55" ht="15" customHeight="1">
      <c r="A143" s="27"/>
      <c r="B143" s="28"/>
      <c r="C143" s="29"/>
      <c r="D143" s="30"/>
      <c r="E143" s="30"/>
      <c r="F143" s="28"/>
      <c r="G143" s="28"/>
      <c r="H143" s="28"/>
      <c r="I143" s="13"/>
      <c r="J143" s="28"/>
      <c r="K143" s="13"/>
      <c r="L143" s="28"/>
      <c r="M143" s="13"/>
      <c r="N143" s="28"/>
      <c r="O143" s="13"/>
      <c r="P143" s="28"/>
      <c r="Q143" s="20"/>
      <c r="R143" s="28"/>
      <c r="S143" s="20"/>
      <c r="T143" s="28"/>
      <c r="U143" s="13"/>
      <c r="V143" s="28"/>
      <c r="W143" s="13"/>
      <c r="X143" s="28"/>
      <c r="Y143" s="13"/>
      <c r="Z143" s="28"/>
      <c r="AA143" s="13"/>
      <c r="AB143" s="28"/>
      <c r="AC143" s="13"/>
      <c r="AD143" s="28"/>
      <c r="AE143" s="13"/>
      <c r="AF143" s="28"/>
      <c r="AG143" s="13"/>
      <c r="AH143" s="28"/>
      <c r="AI143" s="13"/>
      <c r="AJ143" s="28"/>
      <c r="AK143" s="13"/>
      <c r="AL143" s="28"/>
      <c r="AM143" s="13"/>
      <c r="AN143" s="28"/>
      <c r="AO143" s="13"/>
      <c r="AP143" s="28"/>
      <c r="AQ143" s="13"/>
      <c r="AR143" s="28"/>
      <c r="AS143" s="19">
        <f>SUM(H143,J143,L143,N143,P143,R143,T143,V143,X143,Z143,AB143,AD143,AF143,AH143,AJ143,AL143,AN143)</f>
        <v>0</v>
      </c>
      <c r="AT143" s="29" t="str">
        <f>IF(C143="","",DATE(YEAR(C143),MONTH(C143),1))</f>
        <v/>
      </c>
      <c r="AU143" s="28" t="str">
        <f>IF(AT143="","",TEXT(AT143,"mmmm yyyy"))</f>
        <v/>
      </c>
      <c r="AV143" s="29" t="str">
        <f>IF(C143="","",C143-WEEKDAY(C143,2)+1)</f>
        <v/>
      </c>
      <c r="AW143" s="29" t="str">
        <f>IF(AV143="","",AV143+6)</f>
        <v/>
      </c>
      <c r="AX143" s="28" t="str">
        <f>IF(AV143="","",TEXT(AV143,"dd/mm/yyyy")&amp;" - "&amp;TEXT(AW143,"dd/mm/yyyy"))</f>
        <v/>
      </c>
      <c r="AY143" s="28" t="str">
        <f>IF(B143="","",COUNTIFS($B$5:B143,B143,$AT$5:AT143,AT143))</f>
        <v/>
      </c>
      <c r="AZ143" s="28" t="str">
        <f>IF(B143="","",COUNTIFS($B$5:B143,B143,$AV$5:AV143,AV143))</f>
        <v/>
      </c>
      <c r="BA143" s="28" t="str">
        <f>IF(B143="","",TEXT(AY143,"00")&amp;"|"&amp;B143&amp;"|"&amp;TEXT(AT143,"yyyymmdd"))</f>
        <v/>
      </c>
      <c r="BB143" s="28" t="str">
        <f>IF(B143="","",TEXT(AZ143,"00")&amp;"|"&amp;B143&amp;"|"&amp;TEXT(AV143,"yyyymmdd"))</f>
        <v/>
      </c>
      <c r="BC143" s="28">
        <f>IF(OR(AQ143="YES",AQ143="Yes",AQ143="Y",AQ143=1),1,0)</f>
        <v>0</v>
      </c>
    </row>
    <row r="144" spans="1:55" ht="15" customHeight="1">
      <c r="A144" s="27"/>
      <c r="B144" s="28"/>
      <c r="C144" s="29"/>
      <c r="D144" s="30"/>
      <c r="E144" s="30"/>
      <c r="F144" s="28"/>
      <c r="G144" s="28"/>
      <c r="H144" s="28"/>
      <c r="I144" s="13"/>
      <c r="J144" s="28"/>
      <c r="K144" s="13"/>
      <c r="L144" s="28"/>
      <c r="M144" s="13"/>
      <c r="N144" s="28"/>
      <c r="O144" s="13"/>
      <c r="P144" s="28"/>
      <c r="Q144" s="20"/>
      <c r="R144" s="28"/>
      <c r="S144" s="20"/>
      <c r="T144" s="28"/>
      <c r="U144" s="13"/>
      <c r="V144" s="28"/>
      <c r="W144" s="13"/>
      <c r="X144" s="28"/>
      <c r="Y144" s="13"/>
      <c r="Z144" s="28"/>
      <c r="AA144" s="13"/>
      <c r="AB144" s="28"/>
      <c r="AC144" s="13"/>
      <c r="AD144" s="28"/>
      <c r="AE144" s="13"/>
      <c r="AF144" s="28"/>
      <c r="AG144" s="13"/>
      <c r="AH144" s="28"/>
      <c r="AI144" s="13"/>
      <c r="AJ144" s="28"/>
      <c r="AK144" s="13"/>
      <c r="AL144" s="28"/>
      <c r="AM144" s="13"/>
      <c r="AN144" s="28"/>
      <c r="AO144" s="13"/>
      <c r="AP144" s="28"/>
      <c r="AQ144" s="13"/>
      <c r="AR144" s="28"/>
      <c r="AS144" s="19">
        <f>SUM(H144,J144,L144,N144,P144,R144,T144,V144,X144,Z144,AB144,AD144,AF144,AH144,AJ144,AL144,AN144)</f>
        <v>0</v>
      </c>
      <c r="AT144" s="29" t="str">
        <f>IF(C144="","",DATE(YEAR(C144),MONTH(C144),1))</f>
        <v/>
      </c>
      <c r="AU144" s="28" t="str">
        <f>IF(AT144="","",TEXT(AT144,"mmmm yyyy"))</f>
        <v/>
      </c>
      <c r="AV144" s="29" t="str">
        <f>IF(C144="","",C144-WEEKDAY(C144,2)+1)</f>
        <v/>
      </c>
      <c r="AW144" s="29" t="str">
        <f>IF(AV144="","",AV144+6)</f>
        <v/>
      </c>
      <c r="AX144" s="28" t="str">
        <f>IF(AV144="","",TEXT(AV144,"dd/mm/yyyy")&amp;" - "&amp;TEXT(AW144,"dd/mm/yyyy"))</f>
        <v/>
      </c>
      <c r="AY144" s="28" t="str">
        <f>IF(B144="","",COUNTIFS($B$5:B144,B144,$AT$5:AT144,AT144))</f>
        <v/>
      </c>
      <c r="AZ144" s="28" t="str">
        <f>IF(B144="","",COUNTIFS($B$5:B144,B144,$AV$5:AV144,AV144))</f>
        <v/>
      </c>
      <c r="BA144" s="28" t="str">
        <f>IF(B144="","",TEXT(AY144,"00")&amp;"|"&amp;B144&amp;"|"&amp;TEXT(AT144,"yyyymmdd"))</f>
        <v/>
      </c>
      <c r="BB144" s="28" t="str">
        <f>IF(B144="","",TEXT(AZ144,"00")&amp;"|"&amp;B144&amp;"|"&amp;TEXT(AV144,"yyyymmdd"))</f>
        <v/>
      </c>
      <c r="BC144" s="28">
        <f>IF(OR(AQ144="YES",AQ144="Yes",AQ144="Y",AQ144=1),1,0)</f>
        <v>0</v>
      </c>
    </row>
    <row r="145" spans="1:55" ht="15" customHeight="1">
      <c r="A145" s="27"/>
      <c r="B145" s="28"/>
      <c r="C145" s="29"/>
      <c r="D145" s="30"/>
      <c r="E145" s="30"/>
      <c r="F145" s="28"/>
      <c r="G145" s="28"/>
      <c r="H145" s="28"/>
      <c r="I145" s="13"/>
      <c r="J145" s="28"/>
      <c r="K145" s="13"/>
      <c r="L145" s="28"/>
      <c r="M145" s="13"/>
      <c r="N145" s="28"/>
      <c r="O145" s="13"/>
      <c r="P145" s="28"/>
      <c r="Q145" s="20"/>
      <c r="R145" s="28"/>
      <c r="S145" s="20"/>
      <c r="T145" s="28"/>
      <c r="U145" s="13"/>
      <c r="V145" s="28"/>
      <c r="W145" s="13"/>
      <c r="X145" s="28"/>
      <c r="Y145" s="13"/>
      <c r="Z145" s="28"/>
      <c r="AA145" s="13"/>
      <c r="AB145" s="28"/>
      <c r="AC145" s="13"/>
      <c r="AD145" s="28"/>
      <c r="AE145" s="13"/>
      <c r="AF145" s="28"/>
      <c r="AG145" s="13"/>
      <c r="AH145" s="28"/>
      <c r="AI145" s="13"/>
      <c r="AJ145" s="28"/>
      <c r="AK145" s="13"/>
      <c r="AL145" s="28"/>
      <c r="AM145" s="13"/>
      <c r="AN145" s="28"/>
      <c r="AO145" s="13"/>
      <c r="AP145" s="28"/>
      <c r="AQ145" s="13"/>
      <c r="AR145" s="28"/>
      <c r="AS145" s="19">
        <f>SUM(H145,J145,L145,N145,P145,R145,T145,V145,X145,Z145,AB145,AD145,AF145,AH145,AJ145,AL145,AN145)</f>
        <v>0</v>
      </c>
      <c r="AT145" s="29" t="str">
        <f>IF(C145="","",DATE(YEAR(C145),MONTH(C145),1))</f>
        <v/>
      </c>
      <c r="AU145" s="28" t="str">
        <f>IF(AT145="","",TEXT(AT145,"mmmm yyyy"))</f>
        <v/>
      </c>
      <c r="AV145" s="29" t="str">
        <f>IF(C145="","",C145-WEEKDAY(C145,2)+1)</f>
        <v/>
      </c>
      <c r="AW145" s="29" t="str">
        <f>IF(AV145="","",AV145+6)</f>
        <v/>
      </c>
      <c r="AX145" s="28" t="str">
        <f>IF(AV145="","",TEXT(AV145,"dd/mm/yyyy")&amp;" - "&amp;TEXT(AW145,"dd/mm/yyyy"))</f>
        <v/>
      </c>
      <c r="AY145" s="28" t="str">
        <f>IF(B145="","",COUNTIFS($B$5:B145,B145,$AT$5:AT145,AT145))</f>
        <v/>
      </c>
      <c r="AZ145" s="28" t="str">
        <f>IF(B145="","",COUNTIFS($B$5:B145,B145,$AV$5:AV145,AV145))</f>
        <v/>
      </c>
      <c r="BA145" s="28" t="str">
        <f>IF(B145="","",TEXT(AY145,"00")&amp;"|"&amp;B145&amp;"|"&amp;TEXT(AT145,"yyyymmdd"))</f>
        <v/>
      </c>
      <c r="BB145" s="28" t="str">
        <f>IF(B145="","",TEXT(AZ145,"00")&amp;"|"&amp;B145&amp;"|"&amp;TEXT(AV145,"yyyymmdd"))</f>
        <v/>
      </c>
      <c r="BC145" s="28">
        <f>IF(OR(AQ145="YES",AQ145="Yes",AQ145="Y",AQ145=1),1,0)</f>
        <v>0</v>
      </c>
    </row>
    <row r="146" spans="1:55" ht="15" customHeight="1">
      <c r="A146" s="27"/>
      <c r="B146" s="28"/>
      <c r="C146" s="29"/>
      <c r="D146" s="30"/>
      <c r="E146" s="30"/>
      <c r="F146" s="28"/>
      <c r="G146" s="28"/>
      <c r="H146" s="28"/>
      <c r="I146" s="13"/>
      <c r="J146" s="28"/>
      <c r="K146" s="13"/>
      <c r="L146" s="28"/>
      <c r="M146" s="13"/>
      <c r="N146" s="28"/>
      <c r="O146" s="13"/>
      <c r="P146" s="28"/>
      <c r="Q146" s="20"/>
      <c r="R146" s="28"/>
      <c r="S146" s="20"/>
      <c r="T146" s="28"/>
      <c r="U146" s="13"/>
      <c r="V146" s="28"/>
      <c r="W146" s="13"/>
      <c r="X146" s="28"/>
      <c r="Y146" s="13"/>
      <c r="Z146" s="28"/>
      <c r="AA146" s="13"/>
      <c r="AB146" s="28"/>
      <c r="AC146" s="13"/>
      <c r="AD146" s="28"/>
      <c r="AE146" s="13"/>
      <c r="AF146" s="28"/>
      <c r="AG146" s="13"/>
      <c r="AH146" s="28"/>
      <c r="AI146" s="13"/>
      <c r="AJ146" s="28"/>
      <c r="AK146" s="13"/>
      <c r="AL146" s="28"/>
      <c r="AM146" s="13"/>
      <c r="AN146" s="28"/>
      <c r="AO146" s="13"/>
      <c r="AP146" s="28"/>
      <c r="AQ146" s="13"/>
      <c r="AR146" s="28"/>
      <c r="AS146" s="19">
        <f>SUM(H146,J146,L146,N146,P146,R146,T146,V146,X146,Z146,AB146,AD146,AF146,AH146,AJ146,AL146,AN146)</f>
        <v>0</v>
      </c>
      <c r="AT146" s="29" t="str">
        <f>IF(C146="","",DATE(YEAR(C146),MONTH(C146),1))</f>
        <v/>
      </c>
      <c r="AU146" s="28" t="str">
        <f>IF(AT146="","",TEXT(AT146,"mmmm yyyy"))</f>
        <v/>
      </c>
      <c r="AV146" s="29" t="str">
        <f>IF(C146="","",C146-WEEKDAY(C146,2)+1)</f>
        <v/>
      </c>
      <c r="AW146" s="29" t="str">
        <f>IF(AV146="","",AV146+6)</f>
        <v/>
      </c>
      <c r="AX146" s="28" t="str">
        <f>IF(AV146="","",TEXT(AV146,"dd/mm/yyyy")&amp;" - "&amp;TEXT(AW146,"dd/mm/yyyy"))</f>
        <v/>
      </c>
      <c r="AY146" s="28" t="str">
        <f>IF(B146="","",COUNTIFS($B$5:B146,B146,$AT$5:AT146,AT146))</f>
        <v/>
      </c>
      <c r="AZ146" s="28" t="str">
        <f>IF(B146="","",COUNTIFS($B$5:B146,B146,$AV$5:AV146,AV146))</f>
        <v/>
      </c>
      <c r="BA146" s="28" t="str">
        <f>IF(B146="","",TEXT(AY146,"00")&amp;"|"&amp;B146&amp;"|"&amp;TEXT(AT146,"yyyymmdd"))</f>
        <v/>
      </c>
      <c r="BB146" s="28" t="str">
        <f>IF(B146="","",TEXT(AZ146,"00")&amp;"|"&amp;B146&amp;"|"&amp;TEXT(AV146,"yyyymmdd"))</f>
        <v/>
      </c>
      <c r="BC146" s="28">
        <f>IF(OR(AQ146="YES",AQ146="Yes",AQ146="Y",AQ146=1),1,0)</f>
        <v>0</v>
      </c>
    </row>
    <row r="147" spans="1:55" ht="15" customHeight="1">
      <c r="A147" s="27"/>
      <c r="B147" s="28"/>
      <c r="C147" s="29"/>
      <c r="D147" s="30"/>
      <c r="E147" s="30"/>
      <c r="F147" s="28"/>
      <c r="G147" s="28"/>
      <c r="H147" s="28"/>
      <c r="I147" s="13"/>
      <c r="J147" s="28"/>
      <c r="K147" s="13"/>
      <c r="L147" s="28"/>
      <c r="M147" s="13"/>
      <c r="N147" s="28"/>
      <c r="O147" s="13"/>
      <c r="P147" s="28"/>
      <c r="Q147" s="20"/>
      <c r="R147" s="28"/>
      <c r="S147" s="20"/>
      <c r="T147" s="28"/>
      <c r="U147" s="13"/>
      <c r="V147" s="28"/>
      <c r="W147" s="13"/>
      <c r="X147" s="28"/>
      <c r="Y147" s="13"/>
      <c r="Z147" s="28"/>
      <c r="AA147" s="13"/>
      <c r="AB147" s="28"/>
      <c r="AC147" s="13"/>
      <c r="AD147" s="28"/>
      <c r="AE147" s="13"/>
      <c r="AF147" s="28"/>
      <c r="AG147" s="13"/>
      <c r="AH147" s="28"/>
      <c r="AI147" s="13"/>
      <c r="AJ147" s="28"/>
      <c r="AK147" s="13"/>
      <c r="AL147" s="28"/>
      <c r="AM147" s="13"/>
      <c r="AN147" s="28"/>
      <c r="AO147" s="13"/>
      <c r="AP147" s="28"/>
      <c r="AQ147" s="13"/>
      <c r="AR147" s="28"/>
      <c r="AS147" s="19">
        <f>SUM(H147,J147,L147,N147,P147,R147,T147,V147,X147,Z147,AB147,AD147,AF147,AH147,AJ147,AL147,AN147)</f>
        <v>0</v>
      </c>
      <c r="AT147" s="29" t="str">
        <f>IF(C147="","",DATE(YEAR(C147),MONTH(C147),1))</f>
        <v/>
      </c>
      <c r="AU147" s="28" t="str">
        <f>IF(AT147="","",TEXT(AT147,"mmmm yyyy"))</f>
        <v/>
      </c>
      <c r="AV147" s="29" t="str">
        <f>IF(C147="","",C147-WEEKDAY(C147,2)+1)</f>
        <v/>
      </c>
      <c r="AW147" s="29" t="str">
        <f>IF(AV147="","",AV147+6)</f>
        <v/>
      </c>
      <c r="AX147" s="28" t="str">
        <f>IF(AV147="","",TEXT(AV147,"dd/mm/yyyy")&amp;" - "&amp;TEXT(AW147,"dd/mm/yyyy"))</f>
        <v/>
      </c>
      <c r="AY147" s="28" t="str">
        <f>IF(B147="","",COUNTIFS($B$5:B147,B147,$AT$5:AT147,AT147))</f>
        <v/>
      </c>
      <c r="AZ147" s="28" t="str">
        <f>IF(B147="","",COUNTIFS($B$5:B147,B147,$AV$5:AV147,AV147))</f>
        <v/>
      </c>
      <c r="BA147" s="28" t="str">
        <f>IF(B147="","",TEXT(AY147,"00")&amp;"|"&amp;B147&amp;"|"&amp;TEXT(AT147,"yyyymmdd"))</f>
        <v/>
      </c>
      <c r="BB147" s="28" t="str">
        <f>IF(B147="","",TEXT(AZ147,"00")&amp;"|"&amp;B147&amp;"|"&amp;TEXT(AV147,"yyyymmdd"))</f>
        <v/>
      </c>
      <c r="BC147" s="28">
        <f>IF(OR(AQ147="YES",AQ147="Yes",AQ147="Y",AQ147=1),1,0)</f>
        <v>0</v>
      </c>
    </row>
    <row r="148" spans="1:55" ht="15" customHeight="1">
      <c r="A148" s="27"/>
      <c r="B148" s="28"/>
      <c r="C148" s="29"/>
      <c r="D148" s="30"/>
      <c r="E148" s="30"/>
      <c r="F148" s="28"/>
      <c r="G148" s="28"/>
      <c r="H148" s="28"/>
      <c r="I148" s="13"/>
      <c r="J148" s="28"/>
      <c r="K148" s="13"/>
      <c r="L148" s="28"/>
      <c r="M148" s="13"/>
      <c r="N148" s="28"/>
      <c r="O148" s="13"/>
      <c r="P148" s="28"/>
      <c r="Q148" s="20"/>
      <c r="R148" s="28"/>
      <c r="S148" s="20"/>
      <c r="T148" s="28"/>
      <c r="U148" s="13"/>
      <c r="V148" s="28"/>
      <c r="W148" s="13"/>
      <c r="X148" s="28"/>
      <c r="Y148" s="13"/>
      <c r="Z148" s="28"/>
      <c r="AA148" s="13"/>
      <c r="AB148" s="28"/>
      <c r="AC148" s="13"/>
      <c r="AD148" s="28"/>
      <c r="AE148" s="13"/>
      <c r="AF148" s="28"/>
      <c r="AG148" s="13"/>
      <c r="AH148" s="28"/>
      <c r="AI148" s="13"/>
      <c r="AJ148" s="28"/>
      <c r="AK148" s="13"/>
      <c r="AL148" s="28"/>
      <c r="AM148" s="13"/>
      <c r="AN148" s="28"/>
      <c r="AO148" s="13"/>
      <c r="AP148" s="28"/>
      <c r="AQ148" s="13"/>
      <c r="AR148" s="28"/>
      <c r="AS148" s="19">
        <f>SUM(H148,J148,L148,N148,P148,R148,T148,V148,X148,Z148,AB148,AD148,AF148,AH148,AJ148,AL148,AN148)</f>
        <v>0</v>
      </c>
      <c r="AT148" s="29" t="str">
        <f>IF(C148="","",DATE(YEAR(C148),MONTH(C148),1))</f>
        <v/>
      </c>
      <c r="AU148" s="28" t="str">
        <f>IF(AT148="","",TEXT(AT148,"mmmm yyyy"))</f>
        <v/>
      </c>
      <c r="AV148" s="29" t="str">
        <f>IF(C148="","",C148-WEEKDAY(C148,2)+1)</f>
        <v/>
      </c>
      <c r="AW148" s="29" t="str">
        <f>IF(AV148="","",AV148+6)</f>
        <v/>
      </c>
      <c r="AX148" s="28" t="str">
        <f>IF(AV148="","",TEXT(AV148,"dd/mm/yyyy")&amp;" - "&amp;TEXT(AW148,"dd/mm/yyyy"))</f>
        <v/>
      </c>
      <c r="AY148" s="28" t="str">
        <f>IF(B148="","",COUNTIFS($B$5:B148,B148,$AT$5:AT148,AT148))</f>
        <v/>
      </c>
      <c r="AZ148" s="28" t="str">
        <f>IF(B148="","",COUNTIFS($B$5:B148,B148,$AV$5:AV148,AV148))</f>
        <v/>
      </c>
      <c r="BA148" s="28" t="str">
        <f>IF(B148="","",TEXT(AY148,"00")&amp;"|"&amp;B148&amp;"|"&amp;TEXT(AT148,"yyyymmdd"))</f>
        <v/>
      </c>
      <c r="BB148" s="28" t="str">
        <f>IF(B148="","",TEXT(AZ148,"00")&amp;"|"&amp;B148&amp;"|"&amp;TEXT(AV148,"yyyymmdd"))</f>
        <v/>
      </c>
      <c r="BC148" s="28">
        <f>IF(OR(AQ148="YES",AQ148="Yes",AQ148="Y",AQ148=1),1,0)</f>
        <v>0</v>
      </c>
    </row>
    <row r="149" spans="1:55" ht="15" customHeight="1">
      <c r="A149" s="27"/>
      <c r="B149" s="28"/>
      <c r="C149" s="29"/>
      <c r="D149" s="30"/>
      <c r="E149" s="30"/>
      <c r="F149" s="28"/>
      <c r="G149" s="28"/>
      <c r="H149" s="28"/>
      <c r="I149" s="13"/>
      <c r="J149" s="28"/>
      <c r="K149" s="13"/>
      <c r="L149" s="28"/>
      <c r="M149" s="13"/>
      <c r="N149" s="28"/>
      <c r="O149" s="13"/>
      <c r="P149" s="28"/>
      <c r="Q149" s="20"/>
      <c r="R149" s="28"/>
      <c r="S149" s="20"/>
      <c r="T149" s="28"/>
      <c r="U149" s="13"/>
      <c r="V149" s="28"/>
      <c r="W149" s="13"/>
      <c r="X149" s="28"/>
      <c r="Y149" s="13"/>
      <c r="Z149" s="28"/>
      <c r="AA149" s="13"/>
      <c r="AB149" s="28"/>
      <c r="AC149" s="13"/>
      <c r="AD149" s="28"/>
      <c r="AE149" s="13"/>
      <c r="AF149" s="28"/>
      <c r="AG149" s="13"/>
      <c r="AH149" s="28"/>
      <c r="AI149" s="13"/>
      <c r="AJ149" s="28"/>
      <c r="AK149" s="13"/>
      <c r="AL149" s="28"/>
      <c r="AM149" s="13"/>
      <c r="AN149" s="28"/>
      <c r="AO149" s="13"/>
      <c r="AP149" s="28"/>
      <c r="AQ149" s="13"/>
      <c r="AR149" s="28"/>
      <c r="AS149" s="19">
        <f>SUM(H149,J149,L149,N149,P149,R149,T149,V149,X149,Z149,AB149,AD149,AF149,AH149,AJ149,AL149,AN149)</f>
        <v>0</v>
      </c>
      <c r="AT149" s="29" t="str">
        <f>IF(C149="","",DATE(YEAR(C149),MONTH(C149),1))</f>
        <v/>
      </c>
      <c r="AU149" s="28" t="str">
        <f>IF(AT149="","",TEXT(AT149,"mmmm yyyy"))</f>
        <v/>
      </c>
      <c r="AV149" s="29" t="str">
        <f>IF(C149="","",C149-WEEKDAY(C149,2)+1)</f>
        <v/>
      </c>
      <c r="AW149" s="29" t="str">
        <f>IF(AV149="","",AV149+6)</f>
        <v/>
      </c>
      <c r="AX149" s="28" t="str">
        <f>IF(AV149="","",TEXT(AV149,"dd/mm/yyyy")&amp;" - "&amp;TEXT(AW149,"dd/mm/yyyy"))</f>
        <v/>
      </c>
      <c r="AY149" s="28" t="str">
        <f>IF(B149="","",COUNTIFS($B$5:B149,B149,$AT$5:AT149,AT149))</f>
        <v/>
      </c>
      <c r="AZ149" s="28" t="str">
        <f>IF(B149="","",COUNTIFS($B$5:B149,B149,$AV$5:AV149,AV149))</f>
        <v/>
      </c>
      <c r="BA149" s="28" t="str">
        <f>IF(B149="","",TEXT(AY149,"00")&amp;"|"&amp;B149&amp;"|"&amp;TEXT(AT149,"yyyymmdd"))</f>
        <v/>
      </c>
      <c r="BB149" s="28" t="str">
        <f>IF(B149="","",TEXT(AZ149,"00")&amp;"|"&amp;B149&amp;"|"&amp;TEXT(AV149,"yyyymmdd"))</f>
        <v/>
      </c>
      <c r="BC149" s="28">
        <f>IF(OR(AQ149="YES",AQ149="Yes",AQ149="Y",AQ149=1),1,0)</f>
        <v>0</v>
      </c>
    </row>
    <row r="150" spans="1:55" ht="15" customHeight="1">
      <c r="A150" s="27"/>
      <c r="B150" s="28"/>
      <c r="C150" s="29"/>
      <c r="D150" s="30"/>
      <c r="E150" s="30"/>
      <c r="F150" s="28"/>
      <c r="G150" s="28"/>
      <c r="H150" s="28"/>
      <c r="I150" s="13"/>
      <c r="J150" s="28"/>
      <c r="K150" s="13"/>
      <c r="L150" s="28"/>
      <c r="M150" s="13"/>
      <c r="N150" s="28"/>
      <c r="O150" s="13"/>
      <c r="P150" s="28"/>
      <c r="Q150" s="20"/>
      <c r="R150" s="28"/>
      <c r="S150" s="20"/>
      <c r="T150" s="28"/>
      <c r="U150" s="13"/>
      <c r="V150" s="28"/>
      <c r="W150" s="13"/>
      <c r="X150" s="28"/>
      <c r="Y150" s="13"/>
      <c r="Z150" s="28"/>
      <c r="AA150" s="13"/>
      <c r="AB150" s="28"/>
      <c r="AC150" s="13"/>
      <c r="AD150" s="28"/>
      <c r="AE150" s="13"/>
      <c r="AF150" s="28"/>
      <c r="AG150" s="13"/>
      <c r="AH150" s="28"/>
      <c r="AI150" s="13"/>
      <c r="AJ150" s="28"/>
      <c r="AK150" s="13"/>
      <c r="AL150" s="28"/>
      <c r="AM150" s="13"/>
      <c r="AN150" s="28"/>
      <c r="AO150" s="13"/>
      <c r="AP150" s="28"/>
      <c r="AQ150" s="13"/>
      <c r="AR150" s="28"/>
      <c r="AS150" s="19">
        <f>SUM(H150,J150,L150,N150,P150,R150,T150,V150,X150,Z150,AB150,AD150,AF150,AH150,AJ150,AL150,AN150)</f>
        <v>0</v>
      </c>
      <c r="AT150" s="29" t="str">
        <f>IF(C150="","",DATE(YEAR(C150),MONTH(C150),1))</f>
        <v/>
      </c>
      <c r="AU150" s="28" t="str">
        <f>IF(AT150="","",TEXT(AT150,"mmmm yyyy"))</f>
        <v/>
      </c>
      <c r="AV150" s="29" t="str">
        <f>IF(C150="","",C150-WEEKDAY(C150,2)+1)</f>
        <v/>
      </c>
      <c r="AW150" s="29" t="str">
        <f>IF(AV150="","",AV150+6)</f>
        <v/>
      </c>
      <c r="AX150" s="28" t="str">
        <f>IF(AV150="","",TEXT(AV150,"dd/mm/yyyy")&amp;" - "&amp;TEXT(AW150,"dd/mm/yyyy"))</f>
        <v/>
      </c>
      <c r="AY150" s="28" t="str">
        <f>IF(B150="","",COUNTIFS($B$5:B150,B150,$AT$5:AT150,AT150))</f>
        <v/>
      </c>
      <c r="AZ150" s="28" t="str">
        <f>IF(B150="","",COUNTIFS($B$5:B150,B150,$AV$5:AV150,AV150))</f>
        <v/>
      </c>
      <c r="BA150" s="28" t="str">
        <f>IF(B150="","",TEXT(AY150,"00")&amp;"|"&amp;B150&amp;"|"&amp;TEXT(AT150,"yyyymmdd"))</f>
        <v/>
      </c>
      <c r="BB150" s="28" t="str">
        <f>IF(B150="","",TEXT(AZ150,"00")&amp;"|"&amp;B150&amp;"|"&amp;TEXT(AV150,"yyyymmdd"))</f>
        <v/>
      </c>
      <c r="BC150" s="28">
        <f>IF(OR(AQ150="YES",AQ150="Yes",AQ150="Y",AQ150=1),1,0)</f>
        <v>0</v>
      </c>
    </row>
    <row r="151" spans="1:55" ht="15" customHeight="1">
      <c r="A151" s="27"/>
      <c r="B151" s="28"/>
      <c r="C151" s="29"/>
      <c r="D151" s="30"/>
      <c r="E151" s="30"/>
      <c r="F151" s="28"/>
      <c r="G151" s="28"/>
      <c r="H151" s="28"/>
      <c r="I151" s="13"/>
      <c r="J151" s="28"/>
      <c r="K151" s="13"/>
      <c r="L151" s="28"/>
      <c r="M151" s="13"/>
      <c r="N151" s="28"/>
      <c r="O151" s="13"/>
      <c r="P151" s="28"/>
      <c r="Q151" s="20"/>
      <c r="R151" s="28"/>
      <c r="S151" s="20"/>
      <c r="T151" s="28"/>
      <c r="U151" s="13"/>
      <c r="V151" s="28"/>
      <c r="W151" s="13"/>
      <c r="X151" s="28"/>
      <c r="Y151" s="13"/>
      <c r="Z151" s="28"/>
      <c r="AA151" s="13"/>
      <c r="AB151" s="28"/>
      <c r="AC151" s="13"/>
      <c r="AD151" s="28"/>
      <c r="AE151" s="13"/>
      <c r="AF151" s="28"/>
      <c r="AG151" s="13"/>
      <c r="AH151" s="28"/>
      <c r="AI151" s="13"/>
      <c r="AJ151" s="28"/>
      <c r="AK151" s="13"/>
      <c r="AL151" s="28"/>
      <c r="AM151" s="13"/>
      <c r="AN151" s="28"/>
      <c r="AO151" s="13"/>
      <c r="AP151" s="28"/>
      <c r="AQ151" s="13"/>
      <c r="AR151" s="28"/>
      <c r="AS151" s="19">
        <f>SUM(H151,J151,L151,N151,P151,R151,T151,V151,X151,Z151,AB151,AD151,AF151,AH151,AJ151,AL151,AN151)</f>
        <v>0</v>
      </c>
      <c r="AT151" s="29" t="str">
        <f>IF(C151="","",DATE(YEAR(C151),MONTH(C151),1))</f>
        <v/>
      </c>
      <c r="AU151" s="28" t="str">
        <f>IF(AT151="","",TEXT(AT151,"mmmm yyyy"))</f>
        <v/>
      </c>
      <c r="AV151" s="29" t="str">
        <f>IF(C151="","",C151-WEEKDAY(C151,2)+1)</f>
        <v/>
      </c>
      <c r="AW151" s="29" t="str">
        <f>IF(AV151="","",AV151+6)</f>
        <v/>
      </c>
      <c r="AX151" s="28" t="str">
        <f>IF(AV151="","",TEXT(AV151,"dd/mm/yyyy")&amp;" - "&amp;TEXT(AW151,"dd/mm/yyyy"))</f>
        <v/>
      </c>
      <c r="AY151" s="28" t="str">
        <f>IF(B151="","",COUNTIFS($B$5:B151,B151,$AT$5:AT151,AT151))</f>
        <v/>
      </c>
      <c r="AZ151" s="28" t="str">
        <f>IF(B151="","",COUNTIFS($B$5:B151,B151,$AV$5:AV151,AV151))</f>
        <v/>
      </c>
      <c r="BA151" s="28" t="str">
        <f>IF(B151="","",TEXT(AY151,"00")&amp;"|"&amp;B151&amp;"|"&amp;TEXT(AT151,"yyyymmdd"))</f>
        <v/>
      </c>
      <c r="BB151" s="28" t="str">
        <f>IF(B151="","",TEXT(AZ151,"00")&amp;"|"&amp;B151&amp;"|"&amp;TEXT(AV151,"yyyymmdd"))</f>
        <v/>
      </c>
      <c r="BC151" s="28">
        <f>IF(OR(AQ151="YES",AQ151="Yes",AQ151="Y",AQ151=1),1,0)</f>
        <v>0</v>
      </c>
    </row>
    <row r="152" spans="1:55" ht="15" customHeight="1">
      <c r="A152" s="27"/>
      <c r="B152" s="28"/>
      <c r="C152" s="29"/>
      <c r="D152" s="30"/>
      <c r="E152" s="30"/>
      <c r="F152" s="28"/>
      <c r="G152" s="28"/>
      <c r="H152" s="28"/>
      <c r="I152" s="13"/>
      <c r="J152" s="28"/>
      <c r="K152" s="13"/>
      <c r="L152" s="28"/>
      <c r="M152" s="13"/>
      <c r="N152" s="28"/>
      <c r="O152" s="13"/>
      <c r="P152" s="28"/>
      <c r="Q152" s="20"/>
      <c r="R152" s="28"/>
      <c r="S152" s="20"/>
      <c r="T152" s="28"/>
      <c r="U152" s="13"/>
      <c r="V152" s="28"/>
      <c r="W152" s="13"/>
      <c r="X152" s="28"/>
      <c r="Y152" s="13"/>
      <c r="Z152" s="28"/>
      <c r="AA152" s="13"/>
      <c r="AB152" s="28"/>
      <c r="AC152" s="13"/>
      <c r="AD152" s="28"/>
      <c r="AE152" s="13"/>
      <c r="AF152" s="28"/>
      <c r="AG152" s="13"/>
      <c r="AH152" s="28"/>
      <c r="AI152" s="13"/>
      <c r="AJ152" s="28"/>
      <c r="AK152" s="13"/>
      <c r="AL152" s="28"/>
      <c r="AM152" s="13"/>
      <c r="AN152" s="28"/>
      <c r="AO152" s="13"/>
      <c r="AP152" s="28"/>
      <c r="AQ152" s="13"/>
      <c r="AR152" s="28"/>
      <c r="AS152" s="19">
        <f>SUM(H152,J152,L152,N152,P152,R152,T152,V152,X152,Z152,AB152,AD152,AF152,AH152,AJ152,AL152,AN152)</f>
        <v>0</v>
      </c>
      <c r="AT152" s="29" t="str">
        <f>IF(C152="","",DATE(YEAR(C152),MONTH(C152),1))</f>
        <v/>
      </c>
      <c r="AU152" s="28" t="str">
        <f>IF(AT152="","",TEXT(AT152,"mmmm yyyy"))</f>
        <v/>
      </c>
      <c r="AV152" s="29" t="str">
        <f>IF(C152="","",C152-WEEKDAY(C152,2)+1)</f>
        <v/>
      </c>
      <c r="AW152" s="29" t="str">
        <f>IF(AV152="","",AV152+6)</f>
        <v/>
      </c>
      <c r="AX152" s="28" t="str">
        <f>IF(AV152="","",TEXT(AV152,"dd/mm/yyyy")&amp;" - "&amp;TEXT(AW152,"dd/mm/yyyy"))</f>
        <v/>
      </c>
      <c r="AY152" s="28" t="str">
        <f>IF(B152="","",COUNTIFS($B$5:B152,B152,$AT$5:AT152,AT152))</f>
        <v/>
      </c>
      <c r="AZ152" s="28" t="str">
        <f>IF(B152="","",COUNTIFS($B$5:B152,B152,$AV$5:AV152,AV152))</f>
        <v/>
      </c>
      <c r="BA152" s="28" t="str">
        <f>IF(B152="","",TEXT(AY152,"00")&amp;"|"&amp;B152&amp;"|"&amp;TEXT(AT152,"yyyymmdd"))</f>
        <v/>
      </c>
      <c r="BB152" s="28" t="str">
        <f>IF(B152="","",TEXT(AZ152,"00")&amp;"|"&amp;B152&amp;"|"&amp;TEXT(AV152,"yyyymmdd"))</f>
        <v/>
      </c>
      <c r="BC152" s="28">
        <f>IF(OR(AQ152="YES",AQ152="Yes",AQ152="Y",AQ152=1),1,0)</f>
        <v>0</v>
      </c>
    </row>
    <row r="153" spans="1:55" ht="15" customHeight="1">
      <c r="A153" s="27"/>
      <c r="B153" s="28"/>
      <c r="C153" s="29"/>
      <c r="D153" s="30"/>
      <c r="E153" s="30"/>
      <c r="F153" s="28"/>
      <c r="G153" s="28"/>
      <c r="H153" s="28"/>
      <c r="I153" s="13"/>
      <c r="J153" s="28"/>
      <c r="K153" s="13"/>
      <c r="L153" s="28"/>
      <c r="M153" s="13"/>
      <c r="N153" s="28"/>
      <c r="O153" s="13"/>
      <c r="P153" s="28"/>
      <c r="Q153" s="20"/>
      <c r="R153" s="28"/>
      <c r="S153" s="20"/>
      <c r="T153" s="28"/>
      <c r="U153" s="13"/>
      <c r="V153" s="28"/>
      <c r="W153" s="13"/>
      <c r="X153" s="28"/>
      <c r="Y153" s="13"/>
      <c r="Z153" s="28"/>
      <c r="AA153" s="13"/>
      <c r="AB153" s="28"/>
      <c r="AC153" s="13"/>
      <c r="AD153" s="28"/>
      <c r="AE153" s="13"/>
      <c r="AF153" s="28"/>
      <c r="AG153" s="13"/>
      <c r="AH153" s="28"/>
      <c r="AI153" s="13"/>
      <c r="AJ153" s="28"/>
      <c r="AK153" s="13"/>
      <c r="AL153" s="28"/>
      <c r="AM153" s="13"/>
      <c r="AN153" s="28"/>
      <c r="AO153" s="13"/>
      <c r="AP153" s="28"/>
      <c r="AQ153" s="13"/>
      <c r="AR153" s="28"/>
      <c r="AS153" s="19">
        <f>SUM(H153,J153,L153,N153,P153,R153,T153,V153,X153,Z153,AB153,AD153,AF153,AH153,AJ153,AL153,AN153)</f>
        <v>0</v>
      </c>
      <c r="AT153" s="29" t="str">
        <f>IF(C153="","",DATE(YEAR(C153),MONTH(C153),1))</f>
        <v/>
      </c>
      <c r="AU153" s="28" t="str">
        <f>IF(AT153="","",TEXT(AT153,"mmmm yyyy"))</f>
        <v/>
      </c>
      <c r="AV153" s="29" t="str">
        <f>IF(C153="","",C153-WEEKDAY(C153,2)+1)</f>
        <v/>
      </c>
      <c r="AW153" s="29" t="str">
        <f>IF(AV153="","",AV153+6)</f>
        <v/>
      </c>
      <c r="AX153" s="28" t="str">
        <f>IF(AV153="","",TEXT(AV153,"dd/mm/yyyy")&amp;" - "&amp;TEXT(AW153,"dd/mm/yyyy"))</f>
        <v/>
      </c>
      <c r="AY153" s="28" t="str">
        <f>IF(B153="","",COUNTIFS($B$5:B153,B153,$AT$5:AT153,AT153))</f>
        <v/>
      </c>
      <c r="AZ153" s="28" t="str">
        <f>IF(B153="","",COUNTIFS($B$5:B153,B153,$AV$5:AV153,AV153))</f>
        <v/>
      </c>
      <c r="BA153" s="28" t="str">
        <f>IF(B153="","",TEXT(AY153,"00")&amp;"|"&amp;B153&amp;"|"&amp;TEXT(AT153,"yyyymmdd"))</f>
        <v/>
      </c>
      <c r="BB153" s="28" t="str">
        <f>IF(B153="","",TEXT(AZ153,"00")&amp;"|"&amp;B153&amp;"|"&amp;TEXT(AV153,"yyyymmdd"))</f>
        <v/>
      </c>
      <c r="BC153" s="28">
        <f>IF(OR(AQ153="YES",AQ153="Yes",AQ153="Y",AQ153=1),1,0)</f>
        <v>0</v>
      </c>
    </row>
    <row r="154" spans="1:55" ht="15" customHeight="1">
      <c r="A154" s="27"/>
      <c r="B154" s="28"/>
      <c r="C154" s="29"/>
      <c r="D154" s="30"/>
      <c r="E154" s="30"/>
      <c r="F154" s="28"/>
      <c r="G154" s="28"/>
      <c r="H154" s="28"/>
      <c r="I154" s="13"/>
      <c r="J154" s="28"/>
      <c r="K154" s="13"/>
      <c r="L154" s="28"/>
      <c r="M154" s="13"/>
      <c r="N154" s="28"/>
      <c r="O154" s="13"/>
      <c r="P154" s="28"/>
      <c r="Q154" s="20"/>
      <c r="R154" s="28"/>
      <c r="S154" s="20"/>
      <c r="T154" s="28"/>
      <c r="U154" s="13"/>
      <c r="V154" s="28"/>
      <c r="W154" s="13"/>
      <c r="X154" s="28"/>
      <c r="Y154" s="13"/>
      <c r="Z154" s="28"/>
      <c r="AA154" s="13"/>
      <c r="AB154" s="28"/>
      <c r="AC154" s="13"/>
      <c r="AD154" s="28"/>
      <c r="AE154" s="13"/>
      <c r="AF154" s="28"/>
      <c r="AG154" s="13"/>
      <c r="AH154" s="28"/>
      <c r="AI154" s="13"/>
      <c r="AJ154" s="28"/>
      <c r="AK154" s="13"/>
      <c r="AL154" s="28"/>
      <c r="AM154" s="13"/>
      <c r="AN154" s="28"/>
      <c r="AO154" s="13"/>
      <c r="AP154" s="28"/>
      <c r="AQ154" s="13"/>
      <c r="AR154" s="28"/>
      <c r="AS154" s="19">
        <f>SUM(H154,J154,L154,N154,P154,R154,T154,V154,X154,Z154,AB154,AD154,AF154,AH154,AJ154,AL154,AN154)</f>
        <v>0</v>
      </c>
      <c r="AT154" s="29" t="str">
        <f>IF(C154="","",DATE(YEAR(C154),MONTH(C154),1))</f>
        <v/>
      </c>
      <c r="AU154" s="28" t="str">
        <f>IF(AT154="","",TEXT(AT154,"mmmm yyyy"))</f>
        <v/>
      </c>
      <c r="AV154" s="29" t="str">
        <f>IF(C154="","",C154-WEEKDAY(C154,2)+1)</f>
        <v/>
      </c>
      <c r="AW154" s="29" t="str">
        <f>IF(AV154="","",AV154+6)</f>
        <v/>
      </c>
      <c r="AX154" s="28" t="str">
        <f>IF(AV154="","",TEXT(AV154,"dd/mm/yyyy")&amp;" - "&amp;TEXT(AW154,"dd/mm/yyyy"))</f>
        <v/>
      </c>
      <c r="AY154" s="28" t="str">
        <f>IF(B154="","",COUNTIFS($B$5:B154,B154,$AT$5:AT154,AT154))</f>
        <v/>
      </c>
      <c r="AZ154" s="28" t="str">
        <f>IF(B154="","",COUNTIFS($B$5:B154,B154,$AV$5:AV154,AV154))</f>
        <v/>
      </c>
      <c r="BA154" s="28" t="str">
        <f>IF(B154="","",TEXT(AY154,"00")&amp;"|"&amp;B154&amp;"|"&amp;TEXT(AT154,"yyyymmdd"))</f>
        <v/>
      </c>
      <c r="BB154" s="28" t="str">
        <f>IF(B154="","",TEXT(AZ154,"00")&amp;"|"&amp;B154&amp;"|"&amp;TEXT(AV154,"yyyymmdd"))</f>
        <v/>
      </c>
      <c r="BC154" s="28">
        <f>IF(OR(AQ154="YES",AQ154="Yes",AQ154="Y",AQ154=1),1,0)</f>
        <v>0</v>
      </c>
    </row>
    <row r="155" spans="1:55" ht="15" customHeight="1">
      <c r="A155" s="27"/>
      <c r="B155" s="28"/>
      <c r="C155" s="29"/>
      <c r="D155" s="30"/>
      <c r="E155" s="30"/>
      <c r="F155" s="28"/>
      <c r="G155" s="28"/>
      <c r="H155" s="28"/>
      <c r="I155" s="13"/>
      <c r="J155" s="28"/>
      <c r="K155" s="13"/>
      <c r="L155" s="28"/>
      <c r="M155" s="13"/>
      <c r="N155" s="28"/>
      <c r="O155" s="13"/>
      <c r="P155" s="28"/>
      <c r="Q155" s="20"/>
      <c r="R155" s="28"/>
      <c r="S155" s="20"/>
      <c r="T155" s="28"/>
      <c r="U155" s="13"/>
      <c r="V155" s="28"/>
      <c r="W155" s="13"/>
      <c r="X155" s="28"/>
      <c r="Y155" s="13"/>
      <c r="Z155" s="28"/>
      <c r="AA155" s="13"/>
      <c r="AB155" s="28"/>
      <c r="AC155" s="13"/>
      <c r="AD155" s="28"/>
      <c r="AE155" s="13"/>
      <c r="AF155" s="28"/>
      <c r="AG155" s="13"/>
      <c r="AH155" s="28"/>
      <c r="AI155" s="13"/>
      <c r="AJ155" s="28"/>
      <c r="AK155" s="13"/>
      <c r="AL155" s="28"/>
      <c r="AM155" s="13"/>
      <c r="AN155" s="28"/>
      <c r="AO155" s="13"/>
      <c r="AP155" s="28"/>
      <c r="AQ155" s="13"/>
      <c r="AR155" s="28"/>
      <c r="AS155" s="19">
        <f>SUM(H155,J155,L155,N155,P155,R155,T155,V155,X155,Z155,AB155,AD155,AF155,AH155,AJ155,AL155,AN155)</f>
        <v>0</v>
      </c>
      <c r="AT155" s="29" t="str">
        <f>IF(C155="","",DATE(YEAR(C155),MONTH(C155),1))</f>
        <v/>
      </c>
      <c r="AU155" s="28" t="str">
        <f>IF(AT155="","",TEXT(AT155,"mmmm yyyy"))</f>
        <v/>
      </c>
      <c r="AV155" s="29" t="str">
        <f>IF(C155="","",C155-WEEKDAY(C155,2)+1)</f>
        <v/>
      </c>
      <c r="AW155" s="29" t="str">
        <f>IF(AV155="","",AV155+6)</f>
        <v/>
      </c>
      <c r="AX155" s="28" t="str">
        <f>IF(AV155="","",TEXT(AV155,"dd/mm/yyyy")&amp;" - "&amp;TEXT(AW155,"dd/mm/yyyy"))</f>
        <v/>
      </c>
      <c r="AY155" s="28" t="str">
        <f>IF(B155="","",COUNTIFS($B$5:B155,B155,$AT$5:AT155,AT155))</f>
        <v/>
      </c>
      <c r="AZ155" s="28" t="str">
        <f>IF(B155="","",COUNTIFS($B$5:B155,B155,$AV$5:AV155,AV155))</f>
        <v/>
      </c>
      <c r="BA155" s="28" t="str">
        <f>IF(B155="","",TEXT(AY155,"00")&amp;"|"&amp;B155&amp;"|"&amp;TEXT(AT155,"yyyymmdd"))</f>
        <v/>
      </c>
      <c r="BB155" s="28" t="str">
        <f>IF(B155="","",TEXT(AZ155,"00")&amp;"|"&amp;B155&amp;"|"&amp;TEXT(AV155,"yyyymmdd"))</f>
        <v/>
      </c>
      <c r="BC155" s="28">
        <f>IF(OR(AQ155="YES",AQ155="Yes",AQ155="Y",AQ155=1),1,0)</f>
        <v>0</v>
      </c>
    </row>
    <row r="156" spans="1:55" ht="15" customHeight="1">
      <c r="A156" s="27"/>
      <c r="B156" s="28"/>
      <c r="C156" s="29"/>
      <c r="D156" s="30"/>
      <c r="E156" s="30"/>
      <c r="F156" s="28"/>
      <c r="G156" s="28"/>
      <c r="H156" s="28"/>
      <c r="I156" s="13"/>
      <c r="J156" s="28"/>
      <c r="K156" s="13"/>
      <c r="L156" s="28"/>
      <c r="M156" s="13"/>
      <c r="N156" s="28"/>
      <c r="O156" s="13"/>
      <c r="P156" s="28"/>
      <c r="Q156" s="20"/>
      <c r="R156" s="28"/>
      <c r="S156" s="20"/>
      <c r="T156" s="28"/>
      <c r="U156" s="13"/>
      <c r="V156" s="28"/>
      <c r="W156" s="13"/>
      <c r="X156" s="28"/>
      <c r="Y156" s="13"/>
      <c r="Z156" s="28"/>
      <c r="AA156" s="13"/>
      <c r="AB156" s="28"/>
      <c r="AC156" s="13"/>
      <c r="AD156" s="28"/>
      <c r="AE156" s="13"/>
      <c r="AF156" s="28"/>
      <c r="AG156" s="13"/>
      <c r="AH156" s="28"/>
      <c r="AI156" s="13"/>
      <c r="AJ156" s="28"/>
      <c r="AK156" s="13"/>
      <c r="AL156" s="28"/>
      <c r="AM156" s="13"/>
      <c r="AN156" s="28"/>
      <c r="AO156" s="13"/>
      <c r="AP156" s="28"/>
      <c r="AQ156" s="13"/>
      <c r="AR156" s="28"/>
      <c r="AS156" s="19">
        <f>SUM(H156,J156,L156,N156,P156,R156,T156,V156,X156,Z156,AB156,AD156,AF156,AH156,AJ156,AL156,AN156)</f>
        <v>0</v>
      </c>
      <c r="AT156" s="29" t="str">
        <f>IF(C156="","",DATE(YEAR(C156),MONTH(C156),1))</f>
        <v/>
      </c>
      <c r="AU156" s="28" t="str">
        <f>IF(AT156="","",TEXT(AT156,"mmmm yyyy"))</f>
        <v/>
      </c>
      <c r="AV156" s="29" t="str">
        <f>IF(C156="","",C156-WEEKDAY(C156,2)+1)</f>
        <v/>
      </c>
      <c r="AW156" s="29" t="str">
        <f>IF(AV156="","",AV156+6)</f>
        <v/>
      </c>
      <c r="AX156" s="28" t="str">
        <f>IF(AV156="","",TEXT(AV156,"dd/mm/yyyy")&amp;" - "&amp;TEXT(AW156,"dd/mm/yyyy"))</f>
        <v/>
      </c>
      <c r="AY156" s="28" t="str">
        <f>IF(B156="","",COUNTIFS($B$5:B156,B156,$AT$5:AT156,AT156))</f>
        <v/>
      </c>
      <c r="AZ156" s="28" t="str">
        <f>IF(B156="","",COUNTIFS($B$5:B156,B156,$AV$5:AV156,AV156))</f>
        <v/>
      </c>
      <c r="BA156" s="28" t="str">
        <f>IF(B156="","",TEXT(AY156,"00")&amp;"|"&amp;B156&amp;"|"&amp;TEXT(AT156,"yyyymmdd"))</f>
        <v/>
      </c>
      <c r="BB156" s="28" t="str">
        <f>IF(B156="","",TEXT(AZ156,"00")&amp;"|"&amp;B156&amp;"|"&amp;TEXT(AV156,"yyyymmdd"))</f>
        <v/>
      </c>
      <c r="BC156" s="28">
        <f>IF(OR(AQ156="YES",AQ156="Yes",AQ156="Y",AQ156=1),1,0)</f>
        <v>0</v>
      </c>
    </row>
    <row r="157" spans="1:55" ht="15" customHeight="1">
      <c r="A157" s="27"/>
      <c r="B157" s="28"/>
      <c r="C157" s="29"/>
      <c r="D157" s="30"/>
      <c r="E157" s="30"/>
      <c r="F157" s="28"/>
      <c r="G157" s="28"/>
      <c r="H157" s="28"/>
      <c r="I157" s="13"/>
      <c r="J157" s="28"/>
      <c r="K157" s="13"/>
      <c r="L157" s="28"/>
      <c r="M157" s="13"/>
      <c r="N157" s="28"/>
      <c r="O157" s="13"/>
      <c r="P157" s="28"/>
      <c r="Q157" s="20"/>
      <c r="R157" s="28"/>
      <c r="S157" s="20"/>
      <c r="T157" s="28"/>
      <c r="U157" s="13"/>
      <c r="V157" s="28"/>
      <c r="W157" s="13"/>
      <c r="X157" s="28"/>
      <c r="Y157" s="13"/>
      <c r="Z157" s="28"/>
      <c r="AA157" s="13"/>
      <c r="AB157" s="28"/>
      <c r="AC157" s="13"/>
      <c r="AD157" s="28"/>
      <c r="AE157" s="13"/>
      <c r="AF157" s="28"/>
      <c r="AG157" s="13"/>
      <c r="AH157" s="28"/>
      <c r="AI157" s="13"/>
      <c r="AJ157" s="28"/>
      <c r="AK157" s="13"/>
      <c r="AL157" s="28"/>
      <c r="AM157" s="13"/>
      <c r="AN157" s="28"/>
      <c r="AO157" s="13"/>
      <c r="AP157" s="28"/>
      <c r="AQ157" s="13"/>
      <c r="AR157" s="28"/>
      <c r="AS157" s="19">
        <f>SUM(H157,J157,L157,N157,P157,R157,T157,V157,X157,Z157,AB157,AD157,AF157,AH157,AJ157,AL157,AN157)</f>
        <v>0</v>
      </c>
      <c r="AT157" s="29" t="str">
        <f>IF(C157="","",DATE(YEAR(C157),MONTH(C157),1))</f>
        <v/>
      </c>
      <c r="AU157" s="28" t="str">
        <f>IF(AT157="","",TEXT(AT157,"mmmm yyyy"))</f>
        <v/>
      </c>
      <c r="AV157" s="29" t="str">
        <f>IF(C157="","",C157-WEEKDAY(C157,2)+1)</f>
        <v/>
      </c>
      <c r="AW157" s="29" t="str">
        <f>IF(AV157="","",AV157+6)</f>
        <v/>
      </c>
      <c r="AX157" s="28" t="str">
        <f>IF(AV157="","",TEXT(AV157,"dd/mm/yyyy")&amp;" - "&amp;TEXT(AW157,"dd/mm/yyyy"))</f>
        <v/>
      </c>
      <c r="AY157" s="28" t="str">
        <f>IF(B157="","",COUNTIFS($B$5:B157,B157,$AT$5:AT157,AT157))</f>
        <v/>
      </c>
      <c r="AZ157" s="28" t="str">
        <f>IF(B157="","",COUNTIFS($B$5:B157,B157,$AV$5:AV157,AV157))</f>
        <v/>
      </c>
      <c r="BA157" s="28" t="str">
        <f>IF(B157="","",TEXT(AY157,"00")&amp;"|"&amp;B157&amp;"|"&amp;TEXT(AT157,"yyyymmdd"))</f>
        <v/>
      </c>
      <c r="BB157" s="28" t="str">
        <f>IF(B157="","",TEXT(AZ157,"00")&amp;"|"&amp;B157&amp;"|"&amp;TEXT(AV157,"yyyymmdd"))</f>
        <v/>
      </c>
      <c r="BC157" s="28">
        <f>IF(OR(AQ157="YES",AQ157="Yes",AQ157="Y",AQ157=1),1,0)</f>
        <v>0</v>
      </c>
    </row>
    <row r="158" spans="1:55" ht="15" customHeight="1">
      <c r="A158" s="27"/>
      <c r="B158" s="28"/>
      <c r="C158" s="29"/>
      <c r="D158" s="30"/>
      <c r="E158" s="30"/>
      <c r="F158" s="28"/>
      <c r="G158" s="28"/>
      <c r="H158" s="28"/>
      <c r="I158" s="13"/>
      <c r="J158" s="28"/>
      <c r="K158" s="13"/>
      <c r="L158" s="28"/>
      <c r="M158" s="13"/>
      <c r="N158" s="28"/>
      <c r="O158" s="13"/>
      <c r="P158" s="28"/>
      <c r="Q158" s="20"/>
      <c r="R158" s="28"/>
      <c r="S158" s="20"/>
      <c r="T158" s="28"/>
      <c r="U158" s="13"/>
      <c r="V158" s="28"/>
      <c r="W158" s="13"/>
      <c r="X158" s="28"/>
      <c r="Y158" s="13"/>
      <c r="Z158" s="28"/>
      <c r="AA158" s="13"/>
      <c r="AB158" s="28"/>
      <c r="AC158" s="13"/>
      <c r="AD158" s="28"/>
      <c r="AE158" s="13"/>
      <c r="AF158" s="28"/>
      <c r="AG158" s="13"/>
      <c r="AH158" s="28"/>
      <c r="AI158" s="13"/>
      <c r="AJ158" s="28"/>
      <c r="AK158" s="13"/>
      <c r="AL158" s="28"/>
      <c r="AM158" s="13"/>
      <c r="AN158" s="28"/>
      <c r="AO158" s="13"/>
      <c r="AP158" s="28"/>
      <c r="AQ158" s="13"/>
      <c r="AR158" s="28"/>
      <c r="AS158" s="19">
        <f>SUM(H158,J158,L158,N158,P158,R158,T158,V158,X158,Z158,AB158,AD158,AF158,AH158,AJ158,AL158,AN158)</f>
        <v>0</v>
      </c>
      <c r="AT158" s="29" t="str">
        <f>IF(C158="","",DATE(YEAR(C158),MONTH(C158),1))</f>
        <v/>
      </c>
      <c r="AU158" s="28" t="str">
        <f>IF(AT158="","",TEXT(AT158,"mmmm yyyy"))</f>
        <v/>
      </c>
      <c r="AV158" s="29" t="str">
        <f>IF(C158="","",C158-WEEKDAY(C158,2)+1)</f>
        <v/>
      </c>
      <c r="AW158" s="29" t="str">
        <f>IF(AV158="","",AV158+6)</f>
        <v/>
      </c>
      <c r="AX158" s="28" t="str">
        <f>IF(AV158="","",TEXT(AV158,"dd/mm/yyyy")&amp;" - "&amp;TEXT(AW158,"dd/mm/yyyy"))</f>
        <v/>
      </c>
      <c r="AY158" s="28" t="str">
        <f>IF(B158="","",COUNTIFS($B$5:B158,B158,$AT$5:AT158,AT158))</f>
        <v/>
      </c>
      <c r="AZ158" s="28" t="str">
        <f>IF(B158="","",COUNTIFS($B$5:B158,B158,$AV$5:AV158,AV158))</f>
        <v/>
      </c>
      <c r="BA158" s="28" t="str">
        <f>IF(B158="","",TEXT(AY158,"00")&amp;"|"&amp;B158&amp;"|"&amp;TEXT(AT158,"yyyymmdd"))</f>
        <v/>
      </c>
      <c r="BB158" s="28" t="str">
        <f>IF(B158="","",TEXT(AZ158,"00")&amp;"|"&amp;B158&amp;"|"&amp;TEXT(AV158,"yyyymmdd"))</f>
        <v/>
      </c>
      <c r="BC158" s="28">
        <f>IF(OR(AQ158="YES",AQ158="Yes",AQ158="Y",AQ158=1),1,0)</f>
        <v>0</v>
      </c>
    </row>
    <row r="159" spans="1:55" ht="15" customHeight="1">
      <c r="A159" s="27"/>
      <c r="B159" s="28"/>
      <c r="C159" s="29"/>
      <c r="D159" s="30"/>
      <c r="E159" s="30"/>
      <c r="F159" s="28"/>
      <c r="G159" s="28"/>
      <c r="H159" s="28"/>
      <c r="I159" s="13"/>
      <c r="J159" s="28"/>
      <c r="K159" s="13"/>
      <c r="L159" s="28"/>
      <c r="M159" s="13"/>
      <c r="N159" s="28"/>
      <c r="O159" s="13"/>
      <c r="P159" s="28"/>
      <c r="Q159" s="20"/>
      <c r="R159" s="28"/>
      <c r="S159" s="20"/>
      <c r="T159" s="28"/>
      <c r="U159" s="13"/>
      <c r="V159" s="28"/>
      <c r="W159" s="13"/>
      <c r="X159" s="28"/>
      <c r="Y159" s="13"/>
      <c r="Z159" s="28"/>
      <c r="AA159" s="13"/>
      <c r="AB159" s="28"/>
      <c r="AC159" s="13"/>
      <c r="AD159" s="28"/>
      <c r="AE159" s="13"/>
      <c r="AF159" s="28"/>
      <c r="AG159" s="13"/>
      <c r="AH159" s="28"/>
      <c r="AI159" s="13"/>
      <c r="AJ159" s="28"/>
      <c r="AK159" s="13"/>
      <c r="AL159" s="28"/>
      <c r="AM159" s="13"/>
      <c r="AN159" s="28"/>
      <c r="AO159" s="13"/>
      <c r="AP159" s="28"/>
      <c r="AQ159" s="13"/>
      <c r="AR159" s="28"/>
      <c r="AS159" s="19">
        <f>SUM(H159,J159,L159,N159,P159,R159,T159,V159,X159,Z159,AB159,AD159,AF159,AH159,AJ159,AL159,AN159)</f>
        <v>0</v>
      </c>
      <c r="AT159" s="29" t="str">
        <f>IF(C159="","",DATE(YEAR(C159),MONTH(C159),1))</f>
        <v/>
      </c>
      <c r="AU159" s="28" t="str">
        <f>IF(AT159="","",TEXT(AT159,"mmmm yyyy"))</f>
        <v/>
      </c>
      <c r="AV159" s="29" t="str">
        <f>IF(C159="","",C159-WEEKDAY(C159,2)+1)</f>
        <v/>
      </c>
      <c r="AW159" s="29" t="str">
        <f>IF(AV159="","",AV159+6)</f>
        <v/>
      </c>
      <c r="AX159" s="28" t="str">
        <f>IF(AV159="","",TEXT(AV159,"dd/mm/yyyy")&amp;" - "&amp;TEXT(AW159,"dd/mm/yyyy"))</f>
        <v/>
      </c>
      <c r="AY159" s="28" t="str">
        <f>IF(B159="","",COUNTIFS($B$5:B159,B159,$AT$5:AT159,AT159))</f>
        <v/>
      </c>
      <c r="AZ159" s="28" t="str">
        <f>IF(B159="","",COUNTIFS($B$5:B159,B159,$AV$5:AV159,AV159))</f>
        <v/>
      </c>
      <c r="BA159" s="28" t="str">
        <f>IF(B159="","",TEXT(AY159,"00")&amp;"|"&amp;B159&amp;"|"&amp;TEXT(AT159,"yyyymmdd"))</f>
        <v/>
      </c>
      <c r="BB159" s="28" t="str">
        <f>IF(B159="","",TEXT(AZ159,"00")&amp;"|"&amp;B159&amp;"|"&amp;TEXT(AV159,"yyyymmdd"))</f>
        <v/>
      </c>
      <c r="BC159" s="28">
        <f>IF(OR(AQ159="YES",AQ159="Yes",AQ159="Y",AQ159=1),1,0)</f>
        <v>0</v>
      </c>
    </row>
    <row r="160" spans="1:55" ht="15" customHeight="1">
      <c r="A160" s="27"/>
      <c r="B160" s="28"/>
      <c r="C160" s="29"/>
      <c r="D160" s="30"/>
      <c r="E160" s="30"/>
      <c r="F160" s="28"/>
      <c r="G160" s="28"/>
      <c r="H160" s="28"/>
      <c r="I160" s="13"/>
      <c r="J160" s="28"/>
      <c r="K160" s="13"/>
      <c r="L160" s="28"/>
      <c r="M160" s="13"/>
      <c r="N160" s="28"/>
      <c r="O160" s="13"/>
      <c r="P160" s="28"/>
      <c r="Q160" s="20"/>
      <c r="R160" s="28"/>
      <c r="S160" s="20"/>
      <c r="T160" s="28"/>
      <c r="U160" s="13"/>
      <c r="V160" s="28"/>
      <c r="W160" s="13"/>
      <c r="X160" s="28"/>
      <c r="Y160" s="13"/>
      <c r="Z160" s="28"/>
      <c r="AA160" s="13"/>
      <c r="AB160" s="28"/>
      <c r="AC160" s="13"/>
      <c r="AD160" s="28"/>
      <c r="AE160" s="13"/>
      <c r="AF160" s="28"/>
      <c r="AG160" s="13"/>
      <c r="AH160" s="28"/>
      <c r="AI160" s="13"/>
      <c r="AJ160" s="28"/>
      <c r="AK160" s="13"/>
      <c r="AL160" s="28"/>
      <c r="AM160" s="13"/>
      <c r="AN160" s="28"/>
      <c r="AO160" s="13"/>
      <c r="AP160" s="28"/>
      <c r="AQ160" s="13"/>
      <c r="AR160" s="28"/>
      <c r="AS160" s="19">
        <f>SUM(H160,J160,L160,N160,P160,R160,T160,V160,X160,Z160,AB160,AD160,AF160,AH160,AJ160,AL160,AN160)</f>
        <v>0</v>
      </c>
      <c r="AT160" s="29" t="str">
        <f>IF(C160="","",DATE(YEAR(C160),MONTH(C160),1))</f>
        <v/>
      </c>
      <c r="AU160" s="28" t="str">
        <f>IF(AT160="","",TEXT(AT160,"mmmm yyyy"))</f>
        <v/>
      </c>
      <c r="AV160" s="29" t="str">
        <f>IF(C160="","",C160-WEEKDAY(C160,2)+1)</f>
        <v/>
      </c>
      <c r="AW160" s="29" t="str">
        <f>IF(AV160="","",AV160+6)</f>
        <v/>
      </c>
      <c r="AX160" s="28" t="str">
        <f>IF(AV160="","",TEXT(AV160,"dd/mm/yyyy")&amp;" - "&amp;TEXT(AW160,"dd/mm/yyyy"))</f>
        <v/>
      </c>
      <c r="AY160" s="28" t="str">
        <f>IF(B160="","",COUNTIFS($B$5:B160,B160,$AT$5:AT160,AT160))</f>
        <v/>
      </c>
      <c r="AZ160" s="28" t="str">
        <f>IF(B160="","",COUNTIFS($B$5:B160,B160,$AV$5:AV160,AV160))</f>
        <v/>
      </c>
      <c r="BA160" s="28" t="str">
        <f>IF(B160="","",TEXT(AY160,"00")&amp;"|"&amp;B160&amp;"|"&amp;TEXT(AT160,"yyyymmdd"))</f>
        <v/>
      </c>
      <c r="BB160" s="28" t="str">
        <f>IF(B160="","",TEXT(AZ160,"00")&amp;"|"&amp;B160&amp;"|"&amp;TEXT(AV160,"yyyymmdd"))</f>
        <v/>
      </c>
      <c r="BC160" s="28">
        <f>IF(OR(AQ160="YES",AQ160="Yes",AQ160="Y",AQ160=1),1,0)</f>
        <v>0</v>
      </c>
    </row>
    <row r="161" spans="1:55" ht="15" customHeight="1">
      <c r="A161" s="27"/>
      <c r="B161" s="28"/>
      <c r="C161" s="29"/>
      <c r="D161" s="30"/>
      <c r="E161" s="30"/>
      <c r="F161" s="28"/>
      <c r="G161" s="28"/>
      <c r="H161" s="28"/>
      <c r="I161" s="13"/>
      <c r="J161" s="28"/>
      <c r="K161" s="13"/>
      <c r="L161" s="28"/>
      <c r="M161" s="13"/>
      <c r="N161" s="28"/>
      <c r="O161" s="13"/>
      <c r="P161" s="28"/>
      <c r="Q161" s="20"/>
      <c r="R161" s="28"/>
      <c r="S161" s="20"/>
      <c r="T161" s="28"/>
      <c r="U161" s="13"/>
      <c r="V161" s="28"/>
      <c r="W161" s="13"/>
      <c r="X161" s="28"/>
      <c r="Y161" s="13"/>
      <c r="Z161" s="28"/>
      <c r="AA161" s="13"/>
      <c r="AB161" s="28"/>
      <c r="AC161" s="13"/>
      <c r="AD161" s="28"/>
      <c r="AE161" s="13"/>
      <c r="AF161" s="28"/>
      <c r="AG161" s="13"/>
      <c r="AH161" s="28"/>
      <c r="AI161" s="13"/>
      <c r="AJ161" s="28"/>
      <c r="AK161" s="13"/>
      <c r="AL161" s="28"/>
      <c r="AM161" s="13"/>
      <c r="AN161" s="28"/>
      <c r="AO161" s="13"/>
      <c r="AP161" s="28"/>
      <c r="AQ161" s="13"/>
      <c r="AR161" s="28"/>
      <c r="AS161" s="19">
        <f>SUM(H161,J161,L161,N161,P161,R161,T161,V161,X161,Z161,AB161,AD161,AF161,AH161,AJ161,AL161,AN161)</f>
        <v>0</v>
      </c>
      <c r="AT161" s="29" t="str">
        <f>IF(C161="","",DATE(YEAR(C161),MONTH(C161),1))</f>
        <v/>
      </c>
      <c r="AU161" s="28" t="str">
        <f>IF(AT161="","",TEXT(AT161,"mmmm yyyy"))</f>
        <v/>
      </c>
      <c r="AV161" s="29" t="str">
        <f>IF(C161="","",C161-WEEKDAY(C161,2)+1)</f>
        <v/>
      </c>
      <c r="AW161" s="29" t="str">
        <f>IF(AV161="","",AV161+6)</f>
        <v/>
      </c>
      <c r="AX161" s="28" t="str">
        <f>IF(AV161="","",TEXT(AV161,"dd/mm/yyyy")&amp;" - "&amp;TEXT(AW161,"dd/mm/yyyy"))</f>
        <v/>
      </c>
      <c r="AY161" s="28" t="str">
        <f>IF(B161="","",COUNTIFS($B$5:B161,B161,$AT$5:AT161,AT161))</f>
        <v/>
      </c>
      <c r="AZ161" s="28" t="str">
        <f>IF(B161="","",COUNTIFS($B$5:B161,B161,$AV$5:AV161,AV161))</f>
        <v/>
      </c>
      <c r="BA161" s="28" t="str">
        <f>IF(B161="","",TEXT(AY161,"00")&amp;"|"&amp;B161&amp;"|"&amp;TEXT(AT161,"yyyymmdd"))</f>
        <v/>
      </c>
      <c r="BB161" s="28" t="str">
        <f>IF(B161="","",TEXT(AZ161,"00")&amp;"|"&amp;B161&amp;"|"&amp;TEXT(AV161,"yyyymmdd"))</f>
        <v/>
      </c>
      <c r="BC161" s="28">
        <f>IF(OR(AQ161="YES",AQ161="Yes",AQ161="Y",AQ161=1),1,0)</f>
        <v>0</v>
      </c>
    </row>
    <row r="162" spans="1:55" ht="15" customHeight="1">
      <c r="A162" s="27"/>
      <c r="B162" s="28"/>
      <c r="C162" s="29"/>
      <c r="D162" s="30"/>
      <c r="E162" s="30"/>
      <c r="F162" s="28"/>
      <c r="G162" s="28"/>
      <c r="H162" s="28"/>
      <c r="I162" s="13"/>
      <c r="J162" s="28"/>
      <c r="K162" s="13"/>
      <c r="L162" s="28"/>
      <c r="M162" s="13"/>
      <c r="N162" s="28"/>
      <c r="O162" s="13"/>
      <c r="P162" s="28"/>
      <c r="Q162" s="20"/>
      <c r="R162" s="28"/>
      <c r="S162" s="20"/>
      <c r="T162" s="28"/>
      <c r="U162" s="13"/>
      <c r="V162" s="28"/>
      <c r="W162" s="13"/>
      <c r="X162" s="28"/>
      <c r="Y162" s="13"/>
      <c r="Z162" s="28"/>
      <c r="AA162" s="13"/>
      <c r="AB162" s="28"/>
      <c r="AC162" s="13"/>
      <c r="AD162" s="28"/>
      <c r="AE162" s="13"/>
      <c r="AF162" s="28"/>
      <c r="AG162" s="13"/>
      <c r="AH162" s="28"/>
      <c r="AI162" s="13"/>
      <c r="AJ162" s="28"/>
      <c r="AK162" s="13"/>
      <c r="AL162" s="28"/>
      <c r="AM162" s="13"/>
      <c r="AN162" s="28"/>
      <c r="AO162" s="13"/>
      <c r="AP162" s="28"/>
      <c r="AQ162" s="13"/>
      <c r="AR162" s="28"/>
      <c r="AS162" s="19">
        <f>SUM(H162,J162,L162,N162,P162,R162,T162,V162,X162,Z162,AB162,AD162,AF162,AH162,AJ162,AL162,AN162)</f>
        <v>0</v>
      </c>
      <c r="AT162" s="29" t="str">
        <f>IF(C162="","",DATE(YEAR(C162),MONTH(C162),1))</f>
        <v/>
      </c>
      <c r="AU162" s="28" t="str">
        <f>IF(AT162="","",TEXT(AT162,"mmmm yyyy"))</f>
        <v/>
      </c>
      <c r="AV162" s="29" t="str">
        <f>IF(C162="","",C162-WEEKDAY(C162,2)+1)</f>
        <v/>
      </c>
      <c r="AW162" s="29" t="str">
        <f>IF(AV162="","",AV162+6)</f>
        <v/>
      </c>
      <c r="AX162" s="28" t="str">
        <f>IF(AV162="","",TEXT(AV162,"dd/mm/yyyy")&amp;" - "&amp;TEXT(AW162,"dd/mm/yyyy"))</f>
        <v/>
      </c>
      <c r="AY162" s="28" t="str">
        <f>IF(B162="","",COUNTIFS($B$5:B162,B162,$AT$5:AT162,AT162))</f>
        <v/>
      </c>
      <c r="AZ162" s="28" t="str">
        <f>IF(B162="","",COUNTIFS($B$5:B162,B162,$AV$5:AV162,AV162))</f>
        <v/>
      </c>
      <c r="BA162" s="28" t="str">
        <f>IF(B162="","",TEXT(AY162,"00")&amp;"|"&amp;B162&amp;"|"&amp;TEXT(AT162,"yyyymmdd"))</f>
        <v/>
      </c>
      <c r="BB162" s="28" t="str">
        <f>IF(B162="","",TEXT(AZ162,"00")&amp;"|"&amp;B162&amp;"|"&amp;TEXT(AV162,"yyyymmdd"))</f>
        <v/>
      </c>
      <c r="BC162" s="28">
        <f>IF(OR(AQ162="YES",AQ162="Yes",AQ162="Y",AQ162=1),1,0)</f>
        <v>0</v>
      </c>
    </row>
    <row r="163" spans="1:55" ht="15" customHeight="1">
      <c r="A163" s="27"/>
      <c r="B163" s="28"/>
      <c r="C163" s="29"/>
      <c r="D163" s="30"/>
      <c r="E163" s="30"/>
      <c r="F163" s="28"/>
      <c r="G163" s="28"/>
      <c r="H163" s="28"/>
      <c r="I163" s="13"/>
      <c r="J163" s="28"/>
      <c r="K163" s="13"/>
      <c r="L163" s="28"/>
      <c r="M163" s="13"/>
      <c r="N163" s="28"/>
      <c r="O163" s="13"/>
      <c r="P163" s="28"/>
      <c r="Q163" s="20"/>
      <c r="R163" s="28"/>
      <c r="S163" s="20"/>
      <c r="T163" s="28"/>
      <c r="U163" s="13"/>
      <c r="V163" s="28"/>
      <c r="W163" s="13"/>
      <c r="X163" s="28"/>
      <c r="Y163" s="13"/>
      <c r="Z163" s="28"/>
      <c r="AA163" s="13"/>
      <c r="AB163" s="28"/>
      <c r="AC163" s="13"/>
      <c r="AD163" s="28"/>
      <c r="AE163" s="13"/>
      <c r="AF163" s="28"/>
      <c r="AG163" s="13"/>
      <c r="AH163" s="28"/>
      <c r="AI163" s="13"/>
      <c r="AJ163" s="28"/>
      <c r="AK163" s="13"/>
      <c r="AL163" s="28"/>
      <c r="AM163" s="13"/>
      <c r="AN163" s="28"/>
      <c r="AO163" s="13"/>
      <c r="AP163" s="28"/>
      <c r="AQ163" s="13"/>
      <c r="AR163" s="28"/>
      <c r="AS163" s="19">
        <f>SUM(H163,J163,L163,N163,P163,R163,T163,V163,X163,Z163,AB163,AD163,AF163,AH163,AJ163,AL163,AN163)</f>
        <v>0</v>
      </c>
      <c r="AT163" s="29" t="str">
        <f>IF(C163="","",DATE(YEAR(C163),MONTH(C163),1))</f>
        <v/>
      </c>
      <c r="AU163" s="28" t="str">
        <f>IF(AT163="","",TEXT(AT163,"mmmm yyyy"))</f>
        <v/>
      </c>
      <c r="AV163" s="29" t="str">
        <f>IF(C163="","",C163-WEEKDAY(C163,2)+1)</f>
        <v/>
      </c>
      <c r="AW163" s="29" t="str">
        <f>IF(AV163="","",AV163+6)</f>
        <v/>
      </c>
      <c r="AX163" s="28" t="str">
        <f>IF(AV163="","",TEXT(AV163,"dd/mm/yyyy")&amp;" - "&amp;TEXT(AW163,"dd/mm/yyyy"))</f>
        <v/>
      </c>
      <c r="AY163" s="28" t="str">
        <f>IF(B163="","",COUNTIFS($B$5:B163,B163,$AT$5:AT163,AT163))</f>
        <v/>
      </c>
      <c r="AZ163" s="28" t="str">
        <f>IF(B163="","",COUNTIFS($B$5:B163,B163,$AV$5:AV163,AV163))</f>
        <v/>
      </c>
      <c r="BA163" s="28" t="str">
        <f>IF(B163="","",TEXT(AY163,"00")&amp;"|"&amp;B163&amp;"|"&amp;TEXT(AT163,"yyyymmdd"))</f>
        <v/>
      </c>
      <c r="BB163" s="28" t="str">
        <f>IF(B163="","",TEXT(AZ163,"00")&amp;"|"&amp;B163&amp;"|"&amp;TEXT(AV163,"yyyymmdd"))</f>
        <v/>
      </c>
      <c r="BC163" s="28">
        <f>IF(OR(AQ163="YES",AQ163="Yes",AQ163="Y",AQ163=1),1,0)</f>
        <v>0</v>
      </c>
    </row>
    <row r="164" spans="1:55" ht="15" customHeight="1">
      <c r="A164" s="27"/>
      <c r="B164" s="28"/>
      <c r="C164" s="29"/>
      <c r="D164" s="30"/>
      <c r="E164" s="30"/>
      <c r="F164" s="28"/>
      <c r="G164" s="28"/>
      <c r="H164" s="28"/>
      <c r="I164" s="13"/>
      <c r="J164" s="28"/>
      <c r="K164" s="13"/>
      <c r="L164" s="28"/>
      <c r="M164" s="13"/>
      <c r="N164" s="28"/>
      <c r="O164" s="13"/>
      <c r="P164" s="28"/>
      <c r="Q164" s="20"/>
      <c r="R164" s="28"/>
      <c r="S164" s="20"/>
      <c r="T164" s="28"/>
      <c r="U164" s="13"/>
      <c r="V164" s="28"/>
      <c r="W164" s="13"/>
      <c r="X164" s="28"/>
      <c r="Y164" s="13"/>
      <c r="Z164" s="28"/>
      <c r="AA164" s="13"/>
      <c r="AB164" s="28"/>
      <c r="AC164" s="13"/>
      <c r="AD164" s="28"/>
      <c r="AE164" s="13"/>
      <c r="AF164" s="28"/>
      <c r="AG164" s="13"/>
      <c r="AH164" s="28"/>
      <c r="AI164" s="13"/>
      <c r="AJ164" s="28"/>
      <c r="AK164" s="13"/>
      <c r="AL164" s="28"/>
      <c r="AM164" s="13"/>
      <c r="AN164" s="28"/>
      <c r="AO164" s="13"/>
      <c r="AP164" s="28"/>
      <c r="AQ164" s="13"/>
      <c r="AR164" s="28"/>
      <c r="AS164" s="19">
        <f>SUM(H164,J164,L164,N164,P164,R164,T164,V164,X164,Z164,AB164,AD164,AF164,AH164,AJ164,AL164,AN164)</f>
        <v>0</v>
      </c>
      <c r="AT164" s="29" t="str">
        <f>IF(C164="","",DATE(YEAR(C164),MONTH(C164),1))</f>
        <v/>
      </c>
      <c r="AU164" s="28" t="str">
        <f>IF(AT164="","",TEXT(AT164,"mmmm yyyy"))</f>
        <v/>
      </c>
      <c r="AV164" s="29" t="str">
        <f>IF(C164="","",C164-WEEKDAY(C164,2)+1)</f>
        <v/>
      </c>
      <c r="AW164" s="29" t="str">
        <f>IF(AV164="","",AV164+6)</f>
        <v/>
      </c>
      <c r="AX164" s="28" t="str">
        <f>IF(AV164="","",TEXT(AV164,"dd/mm/yyyy")&amp;" - "&amp;TEXT(AW164,"dd/mm/yyyy"))</f>
        <v/>
      </c>
      <c r="AY164" s="28" t="str">
        <f>IF(B164="","",COUNTIFS($B$5:B164,B164,$AT$5:AT164,AT164))</f>
        <v/>
      </c>
      <c r="AZ164" s="28" t="str">
        <f>IF(B164="","",COUNTIFS($B$5:B164,B164,$AV$5:AV164,AV164))</f>
        <v/>
      </c>
      <c r="BA164" s="28" t="str">
        <f>IF(B164="","",TEXT(AY164,"00")&amp;"|"&amp;B164&amp;"|"&amp;TEXT(AT164,"yyyymmdd"))</f>
        <v/>
      </c>
      <c r="BB164" s="28" t="str">
        <f>IF(B164="","",TEXT(AZ164,"00")&amp;"|"&amp;B164&amp;"|"&amp;TEXT(AV164,"yyyymmdd"))</f>
        <v/>
      </c>
      <c r="BC164" s="28">
        <f>IF(OR(AQ164="YES",AQ164="Yes",AQ164="Y",AQ164=1),1,0)</f>
        <v>0</v>
      </c>
    </row>
    <row r="165" spans="1:55" ht="15" customHeight="1">
      <c r="A165" s="27"/>
      <c r="B165" s="28"/>
      <c r="C165" s="29"/>
      <c r="D165" s="30"/>
      <c r="E165" s="30"/>
      <c r="F165" s="28"/>
      <c r="G165" s="28"/>
      <c r="H165" s="28"/>
      <c r="I165" s="13"/>
      <c r="J165" s="28"/>
      <c r="K165" s="13"/>
      <c r="L165" s="28"/>
      <c r="M165" s="13"/>
      <c r="N165" s="28"/>
      <c r="O165" s="13"/>
      <c r="P165" s="28"/>
      <c r="Q165" s="20"/>
      <c r="R165" s="28"/>
      <c r="S165" s="20"/>
      <c r="T165" s="28"/>
      <c r="U165" s="13"/>
      <c r="V165" s="28"/>
      <c r="W165" s="13"/>
      <c r="X165" s="28"/>
      <c r="Y165" s="13"/>
      <c r="Z165" s="28"/>
      <c r="AA165" s="13"/>
      <c r="AB165" s="28"/>
      <c r="AC165" s="13"/>
      <c r="AD165" s="28"/>
      <c r="AE165" s="13"/>
      <c r="AF165" s="28"/>
      <c r="AG165" s="13"/>
      <c r="AH165" s="28"/>
      <c r="AI165" s="13"/>
      <c r="AJ165" s="28"/>
      <c r="AK165" s="13"/>
      <c r="AL165" s="28"/>
      <c r="AM165" s="13"/>
      <c r="AN165" s="28"/>
      <c r="AO165" s="13"/>
      <c r="AP165" s="28"/>
      <c r="AQ165" s="13"/>
      <c r="AR165" s="28"/>
      <c r="AS165" s="19">
        <f>SUM(H165,J165,L165,N165,P165,R165,T165,V165,X165,Z165,AB165,AD165,AF165,AH165,AJ165,AL165,AN165)</f>
        <v>0</v>
      </c>
      <c r="AT165" s="29" t="str">
        <f>IF(C165="","",DATE(YEAR(C165),MONTH(C165),1))</f>
        <v/>
      </c>
      <c r="AU165" s="28" t="str">
        <f>IF(AT165="","",TEXT(AT165,"mmmm yyyy"))</f>
        <v/>
      </c>
      <c r="AV165" s="29" t="str">
        <f>IF(C165="","",C165-WEEKDAY(C165,2)+1)</f>
        <v/>
      </c>
      <c r="AW165" s="29" t="str">
        <f>IF(AV165="","",AV165+6)</f>
        <v/>
      </c>
      <c r="AX165" s="28" t="str">
        <f>IF(AV165="","",TEXT(AV165,"dd/mm/yyyy")&amp;" - "&amp;TEXT(AW165,"dd/mm/yyyy"))</f>
        <v/>
      </c>
      <c r="AY165" s="28" t="str">
        <f>IF(B165="","",COUNTIFS($B$5:B165,B165,$AT$5:AT165,AT165))</f>
        <v/>
      </c>
      <c r="AZ165" s="28" t="str">
        <f>IF(B165="","",COUNTIFS($B$5:B165,B165,$AV$5:AV165,AV165))</f>
        <v/>
      </c>
      <c r="BA165" s="28" t="str">
        <f>IF(B165="","",TEXT(AY165,"00")&amp;"|"&amp;B165&amp;"|"&amp;TEXT(AT165,"yyyymmdd"))</f>
        <v/>
      </c>
      <c r="BB165" s="28" t="str">
        <f>IF(B165="","",TEXT(AZ165,"00")&amp;"|"&amp;B165&amp;"|"&amp;TEXT(AV165,"yyyymmdd"))</f>
        <v/>
      </c>
      <c r="BC165" s="28">
        <f>IF(OR(AQ165="YES",AQ165="Yes",AQ165="Y",AQ165=1),1,0)</f>
        <v>0</v>
      </c>
    </row>
    <row r="166" spans="1:55" ht="15" customHeight="1">
      <c r="A166" s="27"/>
      <c r="B166" s="28"/>
      <c r="C166" s="29"/>
      <c r="D166" s="30"/>
      <c r="E166" s="30"/>
      <c r="F166" s="28"/>
      <c r="G166" s="28"/>
      <c r="H166" s="28"/>
      <c r="I166" s="13"/>
      <c r="J166" s="28"/>
      <c r="K166" s="13"/>
      <c r="L166" s="28"/>
      <c r="M166" s="13"/>
      <c r="N166" s="28"/>
      <c r="O166" s="13"/>
      <c r="P166" s="28"/>
      <c r="Q166" s="20"/>
      <c r="R166" s="28"/>
      <c r="S166" s="20"/>
      <c r="T166" s="28"/>
      <c r="U166" s="13"/>
      <c r="V166" s="28"/>
      <c r="W166" s="13"/>
      <c r="X166" s="28"/>
      <c r="Y166" s="13"/>
      <c r="Z166" s="28"/>
      <c r="AA166" s="13"/>
      <c r="AB166" s="28"/>
      <c r="AC166" s="13"/>
      <c r="AD166" s="28"/>
      <c r="AE166" s="13"/>
      <c r="AF166" s="28"/>
      <c r="AG166" s="13"/>
      <c r="AH166" s="28"/>
      <c r="AI166" s="13"/>
      <c r="AJ166" s="28"/>
      <c r="AK166" s="13"/>
      <c r="AL166" s="28"/>
      <c r="AM166" s="13"/>
      <c r="AN166" s="28"/>
      <c r="AO166" s="13"/>
      <c r="AP166" s="28"/>
      <c r="AQ166" s="13"/>
      <c r="AR166" s="28"/>
      <c r="AS166" s="19">
        <f>SUM(H166,J166,L166,N166,P166,R166,T166,V166,X166,Z166,AB166,AD166,AF166,AH166,AJ166,AL166,AN166)</f>
        <v>0</v>
      </c>
      <c r="AT166" s="29" t="str">
        <f>IF(C166="","",DATE(YEAR(C166),MONTH(C166),1))</f>
        <v/>
      </c>
      <c r="AU166" s="28" t="str">
        <f>IF(AT166="","",TEXT(AT166,"mmmm yyyy"))</f>
        <v/>
      </c>
      <c r="AV166" s="29" t="str">
        <f>IF(C166="","",C166-WEEKDAY(C166,2)+1)</f>
        <v/>
      </c>
      <c r="AW166" s="29" t="str">
        <f>IF(AV166="","",AV166+6)</f>
        <v/>
      </c>
      <c r="AX166" s="28" t="str">
        <f>IF(AV166="","",TEXT(AV166,"dd/mm/yyyy")&amp;" - "&amp;TEXT(AW166,"dd/mm/yyyy"))</f>
        <v/>
      </c>
      <c r="AY166" s="28" t="str">
        <f>IF(B166="","",COUNTIFS($B$5:B166,B166,$AT$5:AT166,AT166))</f>
        <v/>
      </c>
      <c r="AZ166" s="28" t="str">
        <f>IF(B166="","",COUNTIFS($B$5:B166,B166,$AV$5:AV166,AV166))</f>
        <v/>
      </c>
      <c r="BA166" s="28" t="str">
        <f>IF(B166="","",TEXT(AY166,"00")&amp;"|"&amp;B166&amp;"|"&amp;TEXT(AT166,"yyyymmdd"))</f>
        <v/>
      </c>
      <c r="BB166" s="28" t="str">
        <f>IF(B166="","",TEXT(AZ166,"00")&amp;"|"&amp;B166&amp;"|"&amp;TEXT(AV166,"yyyymmdd"))</f>
        <v/>
      </c>
      <c r="BC166" s="28">
        <f>IF(OR(AQ166="YES",AQ166="Yes",AQ166="Y",AQ166=1),1,0)</f>
        <v>0</v>
      </c>
    </row>
    <row r="167" spans="1:55" ht="15" customHeight="1">
      <c r="A167" s="27"/>
      <c r="B167" s="28"/>
      <c r="C167" s="29"/>
      <c r="D167" s="30"/>
      <c r="E167" s="30"/>
      <c r="F167" s="28"/>
      <c r="G167" s="28"/>
      <c r="H167" s="28"/>
      <c r="I167" s="13"/>
      <c r="J167" s="28"/>
      <c r="K167" s="13"/>
      <c r="L167" s="28"/>
      <c r="M167" s="13"/>
      <c r="N167" s="28"/>
      <c r="O167" s="13"/>
      <c r="P167" s="28"/>
      <c r="Q167" s="20"/>
      <c r="R167" s="28"/>
      <c r="S167" s="20"/>
      <c r="T167" s="28"/>
      <c r="U167" s="13"/>
      <c r="V167" s="28"/>
      <c r="W167" s="13"/>
      <c r="X167" s="28"/>
      <c r="Y167" s="13"/>
      <c r="Z167" s="28"/>
      <c r="AA167" s="13"/>
      <c r="AB167" s="28"/>
      <c r="AC167" s="13"/>
      <c r="AD167" s="28"/>
      <c r="AE167" s="13"/>
      <c r="AF167" s="28"/>
      <c r="AG167" s="13"/>
      <c r="AH167" s="28"/>
      <c r="AI167" s="13"/>
      <c r="AJ167" s="28"/>
      <c r="AK167" s="13"/>
      <c r="AL167" s="28"/>
      <c r="AM167" s="13"/>
      <c r="AN167" s="28"/>
      <c r="AO167" s="13"/>
      <c r="AP167" s="28"/>
      <c r="AQ167" s="13"/>
      <c r="AR167" s="28"/>
      <c r="AS167" s="19">
        <f>SUM(H167,J167,L167,N167,P167,R167,T167,V167,X167,Z167,AB167,AD167,AF167,AH167,AJ167,AL167,AN167)</f>
        <v>0</v>
      </c>
      <c r="AT167" s="29" t="str">
        <f>IF(C167="","",DATE(YEAR(C167),MONTH(C167),1))</f>
        <v/>
      </c>
      <c r="AU167" s="28" t="str">
        <f>IF(AT167="","",TEXT(AT167,"mmmm yyyy"))</f>
        <v/>
      </c>
      <c r="AV167" s="29" t="str">
        <f>IF(C167="","",C167-WEEKDAY(C167,2)+1)</f>
        <v/>
      </c>
      <c r="AW167" s="29" t="str">
        <f>IF(AV167="","",AV167+6)</f>
        <v/>
      </c>
      <c r="AX167" s="28" t="str">
        <f>IF(AV167="","",TEXT(AV167,"dd/mm/yyyy")&amp;" - "&amp;TEXT(AW167,"dd/mm/yyyy"))</f>
        <v/>
      </c>
      <c r="AY167" s="28" t="str">
        <f>IF(B167="","",COUNTIFS($B$5:B167,B167,$AT$5:AT167,AT167))</f>
        <v/>
      </c>
      <c r="AZ167" s="28" t="str">
        <f>IF(B167="","",COUNTIFS($B$5:B167,B167,$AV$5:AV167,AV167))</f>
        <v/>
      </c>
      <c r="BA167" s="28" t="str">
        <f>IF(B167="","",TEXT(AY167,"00")&amp;"|"&amp;B167&amp;"|"&amp;TEXT(AT167,"yyyymmdd"))</f>
        <v/>
      </c>
      <c r="BB167" s="28" t="str">
        <f>IF(B167="","",TEXT(AZ167,"00")&amp;"|"&amp;B167&amp;"|"&amp;TEXT(AV167,"yyyymmdd"))</f>
        <v/>
      </c>
      <c r="BC167" s="28">
        <f>IF(OR(AQ167="YES",AQ167="Yes",AQ167="Y",AQ167=1),1,0)</f>
        <v>0</v>
      </c>
    </row>
    <row r="168" spans="1:55" ht="15" customHeight="1">
      <c r="A168" s="27"/>
      <c r="B168" s="28"/>
      <c r="C168" s="29"/>
      <c r="D168" s="30"/>
      <c r="E168" s="30"/>
      <c r="F168" s="28"/>
      <c r="G168" s="28"/>
      <c r="H168" s="28"/>
      <c r="I168" s="13"/>
      <c r="J168" s="28"/>
      <c r="K168" s="13"/>
      <c r="L168" s="28"/>
      <c r="M168" s="13"/>
      <c r="N168" s="28"/>
      <c r="O168" s="13"/>
      <c r="P168" s="28"/>
      <c r="Q168" s="20"/>
      <c r="R168" s="28"/>
      <c r="S168" s="20"/>
      <c r="T168" s="28"/>
      <c r="U168" s="13"/>
      <c r="V168" s="28"/>
      <c r="W168" s="13"/>
      <c r="X168" s="28"/>
      <c r="Y168" s="13"/>
      <c r="Z168" s="28"/>
      <c r="AA168" s="13"/>
      <c r="AB168" s="28"/>
      <c r="AC168" s="13"/>
      <c r="AD168" s="28"/>
      <c r="AE168" s="13"/>
      <c r="AF168" s="28"/>
      <c r="AG168" s="13"/>
      <c r="AH168" s="28"/>
      <c r="AI168" s="13"/>
      <c r="AJ168" s="28"/>
      <c r="AK168" s="13"/>
      <c r="AL168" s="28"/>
      <c r="AM168" s="13"/>
      <c r="AN168" s="28"/>
      <c r="AO168" s="13"/>
      <c r="AP168" s="28"/>
      <c r="AQ168" s="13"/>
      <c r="AR168" s="28"/>
      <c r="AS168" s="19">
        <f>SUM(H168,J168,L168,N168,P168,R168,T168,V168,X168,Z168,AB168,AD168,AF168,AH168,AJ168,AL168,AN168)</f>
        <v>0</v>
      </c>
      <c r="AT168" s="29" t="str">
        <f>IF(C168="","",DATE(YEAR(C168),MONTH(C168),1))</f>
        <v/>
      </c>
      <c r="AU168" s="28" t="str">
        <f>IF(AT168="","",TEXT(AT168,"mmmm yyyy"))</f>
        <v/>
      </c>
      <c r="AV168" s="29" t="str">
        <f>IF(C168="","",C168-WEEKDAY(C168,2)+1)</f>
        <v/>
      </c>
      <c r="AW168" s="29" t="str">
        <f>IF(AV168="","",AV168+6)</f>
        <v/>
      </c>
      <c r="AX168" s="28" t="str">
        <f>IF(AV168="","",TEXT(AV168,"dd/mm/yyyy")&amp;" - "&amp;TEXT(AW168,"dd/mm/yyyy"))</f>
        <v/>
      </c>
      <c r="AY168" s="28" t="str">
        <f>IF(B168="","",COUNTIFS($B$5:B168,B168,$AT$5:AT168,AT168))</f>
        <v/>
      </c>
      <c r="AZ168" s="28" t="str">
        <f>IF(B168="","",COUNTIFS($B$5:B168,B168,$AV$5:AV168,AV168))</f>
        <v/>
      </c>
      <c r="BA168" s="28" t="str">
        <f>IF(B168="","",TEXT(AY168,"00")&amp;"|"&amp;B168&amp;"|"&amp;TEXT(AT168,"yyyymmdd"))</f>
        <v/>
      </c>
      <c r="BB168" s="28" t="str">
        <f>IF(B168="","",TEXT(AZ168,"00")&amp;"|"&amp;B168&amp;"|"&amp;TEXT(AV168,"yyyymmdd"))</f>
        <v/>
      </c>
      <c r="BC168" s="28">
        <f>IF(OR(AQ168="YES",AQ168="Yes",AQ168="Y",AQ168=1),1,0)</f>
        <v>0</v>
      </c>
    </row>
    <row r="169" spans="1:55" ht="15" customHeight="1">
      <c r="A169" s="27"/>
      <c r="B169" s="28"/>
      <c r="C169" s="29"/>
      <c r="D169" s="30"/>
      <c r="E169" s="30"/>
      <c r="F169" s="28"/>
      <c r="G169" s="28"/>
      <c r="H169" s="28"/>
      <c r="I169" s="13"/>
      <c r="J169" s="28"/>
      <c r="K169" s="13"/>
      <c r="L169" s="28"/>
      <c r="M169" s="13"/>
      <c r="N169" s="28"/>
      <c r="O169" s="13"/>
      <c r="P169" s="28"/>
      <c r="Q169" s="20"/>
      <c r="R169" s="28"/>
      <c r="S169" s="20"/>
      <c r="T169" s="28"/>
      <c r="U169" s="13"/>
      <c r="V169" s="28"/>
      <c r="W169" s="13"/>
      <c r="X169" s="28"/>
      <c r="Y169" s="13"/>
      <c r="Z169" s="28"/>
      <c r="AA169" s="13"/>
      <c r="AB169" s="28"/>
      <c r="AC169" s="13"/>
      <c r="AD169" s="28"/>
      <c r="AE169" s="13"/>
      <c r="AF169" s="28"/>
      <c r="AG169" s="13"/>
      <c r="AH169" s="28"/>
      <c r="AI169" s="13"/>
      <c r="AJ169" s="28"/>
      <c r="AK169" s="13"/>
      <c r="AL169" s="28"/>
      <c r="AM169" s="13"/>
      <c r="AN169" s="28"/>
      <c r="AO169" s="13"/>
      <c r="AP169" s="28"/>
      <c r="AQ169" s="13"/>
      <c r="AR169" s="28"/>
      <c r="AS169" s="19">
        <f>SUM(H169,J169,L169,N169,P169,R169,T169,V169,X169,Z169,AB169,AD169,AF169,AH169,AJ169,AL169,AN169)</f>
        <v>0</v>
      </c>
      <c r="AT169" s="29" t="str">
        <f>IF(C169="","",DATE(YEAR(C169),MONTH(C169),1))</f>
        <v/>
      </c>
      <c r="AU169" s="28" t="str">
        <f>IF(AT169="","",TEXT(AT169,"mmmm yyyy"))</f>
        <v/>
      </c>
      <c r="AV169" s="29" t="str">
        <f>IF(C169="","",C169-WEEKDAY(C169,2)+1)</f>
        <v/>
      </c>
      <c r="AW169" s="29" t="str">
        <f>IF(AV169="","",AV169+6)</f>
        <v/>
      </c>
      <c r="AX169" s="28" t="str">
        <f>IF(AV169="","",TEXT(AV169,"dd/mm/yyyy")&amp;" - "&amp;TEXT(AW169,"dd/mm/yyyy"))</f>
        <v/>
      </c>
      <c r="AY169" s="28" t="str">
        <f>IF(B169="","",COUNTIFS($B$5:B169,B169,$AT$5:AT169,AT169))</f>
        <v/>
      </c>
      <c r="AZ169" s="28" t="str">
        <f>IF(B169="","",COUNTIFS($B$5:B169,B169,$AV$5:AV169,AV169))</f>
        <v/>
      </c>
      <c r="BA169" s="28" t="str">
        <f>IF(B169="","",TEXT(AY169,"00")&amp;"|"&amp;B169&amp;"|"&amp;TEXT(AT169,"yyyymmdd"))</f>
        <v/>
      </c>
      <c r="BB169" s="28" t="str">
        <f>IF(B169="","",TEXT(AZ169,"00")&amp;"|"&amp;B169&amp;"|"&amp;TEXT(AV169,"yyyymmdd"))</f>
        <v/>
      </c>
      <c r="BC169" s="28">
        <f>IF(OR(AQ169="YES",AQ169="Yes",AQ169="Y",AQ169=1),1,0)</f>
        <v>0</v>
      </c>
    </row>
    <row r="170" spans="1:55" ht="15" customHeight="1">
      <c r="A170" s="27"/>
      <c r="B170" s="28"/>
      <c r="C170" s="29"/>
      <c r="D170" s="30"/>
      <c r="E170" s="30"/>
      <c r="F170" s="28"/>
      <c r="G170" s="28"/>
      <c r="H170" s="28"/>
      <c r="I170" s="13"/>
      <c r="J170" s="28"/>
      <c r="K170" s="13"/>
      <c r="L170" s="28"/>
      <c r="M170" s="13"/>
      <c r="N170" s="28"/>
      <c r="O170" s="13"/>
      <c r="P170" s="28"/>
      <c r="Q170" s="20"/>
      <c r="R170" s="28"/>
      <c r="S170" s="20"/>
      <c r="T170" s="28"/>
      <c r="U170" s="13"/>
      <c r="V170" s="28"/>
      <c r="W170" s="13"/>
      <c r="X170" s="28"/>
      <c r="Y170" s="13"/>
      <c r="Z170" s="28"/>
      <c r="AA170" s="13"/>
      <c r="AB170" s="28"/>
      <c r="AC170" s="13"/>
      <c r="AD170" s="28"/>
      <c r="AE170" s="13"/>
      <c r="AF170" s="28"/>
      <c r="AG170" s="13"/>
      <c r="AH170" s="28"/>
      <c r="AI170" s="13"/>
      <c r="AJ170" s="28"/>
      <c r="AK170" s="13"/>
      <c r="AL170" s="28"/>
      <c r="AM170" s="13"/>
      <c r="AN170" s="28"/>
      <c r="AO170" s="13"/>
      <c r="AP170" s="28"/>
      <c r="AQ170" s="13"/>
      <c r="AR170" s="28"/>
      <c r="AS170" s="19">
        <f>SUM(H170,J170,L170,N170,P170,R170,T170,V170,X170,Z170,AB170,AD170,AF170,AH170,AJ170,AL170,AN170)</f>
        <v>0</v>
      </c>
      <c r="AT170" s="29" t="str">
        <f>IF(C170="","",DATE(YEAR(C170),MONTH(C170),1))</f>
        <v/>
      </c>
      <c r="AU170" s="28" t="str">
        <f>IF(AT170="","",TEXT(AT170,"mmmm yyyy"))</f>
        <v/>
      </c>
      <c r="AV170" s="29" t="str">
        <f>IF(C170="","",C170-WEEKDAY(C170,2)+1)</f>
        <v/>
      </c>
      <c r="AW170" s="29" t="str">
        <f>IF(AV170="","",AV170+6)</f>
        <v/>
      </c>
      <c r="AX170" s="28" t="str">
        <f>IF(AV170="","",TEXT(AV170,"dd/mm/yyyy")&amp;" - "&amp;TEXT(AW170,"dd/mm/yyyy"))</f>
        <v/>
      </c>
      <c r="AY170" s="28" t="str">
        <f>IF(B170="","",COUNTIFS($B$5:B170,B170,$AT$5:AT170,AT170))</f>
        <v/>
      </c>
      <c r="AZ170" s="28" t="str">
        <f>IF(B170="","",COUNTIFS($B$5:B170,B170,$AV$5:AV170,AV170))</f>
        <v/>
      </c>
      <c r="BA170" s="28" t="str">
        <f>IF(B170="","",TEXT(AY170,"00")&amp;"|"&amp;B170&amp;"|"&amp;TEXT(AT170,"yyyymmdd"))</f>
        <v/>
      </c>
      <c r="BB170" s="28" t="str">
        <f>IF(B170="","",TEXT(AZ170,"00")&amp;"|"&amp;B170&amp;"|"&amp;TEXT(AV170,"yyyymmdd"))</f>
        <v/>
      </c>
      <c r="BC170" s="28">
        <f>IF(OR(AQ170="YES",AQ170="Yes",AQ170="Y",AQ170=1),1,0)</f>
        <v>0</v>
      </c>
    </row>
    <row r="171" spans="1:55" ht="15" customHeight="1">
      <c r="A171" s="27"/>
      <c r="B171" s="28"/>
      <c r="C171" s="29"/>
      <c r="D171" s="30"/>
      <c r="E171" s="30"/>
      <c r="F171" s="28"/>
      <c r="G171" s="28"/>
      <c r="H171" s="28"/>
      <c r="I171" s="13"/>
      <c r="J171" s="28"/>
      <c r="K171" s="13"/>
      <c r="L171" s="28"/>
      <c r="M171" s="13"/>
      <c r="N171" s="28"/>
      <c r="O171" s="13"/>
      <c r="P171" s="28"/>
      <c r="Q171" s="20"/>
      <c r="R171" s="28"/>
      <c r="S171" s="20"/>
      <c r="T171" s="28"/>
      <c r="U171" s="13"/>
      <c r="V171" s="28"/>
      <c r="W171" s="13"/>
      <c r="X171" s="28"/>
      <c r="Y171" s="13"/>
      <c r="Z171" s="28"/>
      <c r="AA171" s="13"/>
      <c r="AB171" s="28"/>
      <c r="AC171" s="13"/>
      <c r="AD171" s="28"/>
      <c r="AE171" s="13"/>
      <c r="AF171" s="28"/>
      <c r="AG171" s="13"/>
      <c r="AH171" s="28"/>
      <c r="AI171" s="13"/>
      <c r="AJ171" s="28"/>
      <c r="AK171" s="13"/>
      <c r="AL171" s="28"/>
      <c r="AM171" s="13"/>
      <c r="AN171" s="28"/>
      <c r="AO171" s="13"/>
      <c r="AP171" s="28"/>
      <c r="AQ171" s="13"/>
      <c r="AR171" s="28"/>
      <c r="AS171" s="19">
        <f>SUM(H171,J171,L171,N171,P171,R171,T171,V171,X171,Z171,AB171,AD171,AF171,AH171,AJ171,AL171,AN171)</f>
        <v>0</v>
      </c>
      <c r="AT171" s="29" t="str">
        <f>IF(C171="","",DATE(YEAR(C171),MONTH(C171),1))</f>
        <v/>
      </c>
      <c r="AU171" s="28" t="str">
        <f>IF(AT171="","",TEXT(AT171,"mmmm yyyy"))</f>
        <v/>
      </c>
      <c r="AV171" s="29" t="str">
        <f>IF(C171="","",C171-WEEKDAY(C171,2)+1)</f>
        <v/>
      </c>
      <c r="AW171" s="29" t="str">
        <f>IF(AV171="","",AV171+6)</f>
        <v/>
      </c>
      <c r="AX171" s="28" t="str">
        <f>IF(AV171="","",TEXT(AV171,"dd/mm/yyyy")&amp;" - "&amp;TEXT(AW171,"dd/mm/yyyy"))</f>
        <v/>
      </c>
      <c r="AY171" s="28" t="str">
        <f>IF(B171="","",COUNTIFS($B$5:B171,B171,$AT$5:AT171,AT171))</f>
        <v/>
      </c>
      <c r="AZ171" s="28" t="str">
        <f>IF(B171="","",COUNTIFS($B$5:B171,B171,$AV$5:AV171,AV171))</f>
        <v/>
      </c>
      <c r="BA171" s="28" t="str">
        <f>IF(B171="","",TEXT(AY171,"00")&amp;"|"&amp;B171&amp;"|"&amp;TEXT(AT171,"yyyymmdd"))</f>
        <v/>
      </c>
      <c r="BB171" s="28" t="str">
        <f>IF(B171="","",TEXT(AZ171,"00")&amp;"|"&amp;B171&amp;"|"&amp;TEXT(AV171,"yyyymmdd"))</f>
        <v/>
      </c>
      <c r="BC171" s="28">
        <f>IF(OR(AQ171="YES",AQ171="Yes",AQ171="Y",AQ171=1),1,0)</f>
        <v>0</v>
      </c>
    </row>
    <row r="172" spans="1:55" ht="15" customHeight="1">
      <c r="A172" s="27"/>
      <c r="B172" s="28"/>
      <c r="C172" s="29"/>
      <c r="D172" s="30"/>
      <c r="E172" s="30"/>
      <c r="F172" s="28"/>
      <c r="G172" s="28"/>
      <c r="H172" s="28"/>
      <c r="I172" s="13"/>
      <c r="J172" s="28"/>
      <c r="K172" s="13"/>
      <c r="L172" s="28"/>
      <c r="M172" s="13"/>
      <c r="N172" s="28"/>
      <c r="O172" s="13"/>
      <c r="P172" s="28"/>
      <c r="Q172" s="20"/>
      <c r="R172" s="28"/>
      <c r="S172" s="20"/>
      <c r="T172" s="28"/>
      <c r="U172" s="13"/>
      <c r="V172" s="28"/>
      <c r="W172" s="13"/>
      <c r="X172" s="28"/>
      <c r="Y172" s="13"/>
      <c r="Z172" s="28"/>
      <c r="AA172" s="13"/>
      <c r="AB172" s="28"/>
      <c r="AC172" s="13"/>
      <c r="AD172" s="28"/>
      <c r="AE172" s="13"/>
      <c r="AF172" s="28"/>
      <c r="AG172" s="13"/>
      <c r="AH172" s="28"/>
      <c r="AI172" s="13"/>
      <c r="AJ172" s="28"/>
      <c r="AK172" s="13"/>
      <c r="AL172" s="28"/>
      <c r="AM172" s="13"/>
      <c r="AN172" s="28"/>
      <c r="AO172" s="13"/>
      <c r="AP172" s="28"/>
      <c r="AQ172" s="13"/>
      <c r="AR172" s="28"/>
      <c r="AS172" s="19">
        <f>SUM(H172,J172,L172,N172,P172,R172,T172,V172,X172,Z172,AB172,AD172,AF172,AH172,AJ172,AL172,AN172)</f>
        <v>0</v>
      </c>
      <c r="AT172" s="29" t="str">
        <f>IF(C172="","",DATE(YEAR(C172),MONTH(C172),1))</f>
        <v/>
      </c>
      <c r="AU172" s="28" t="str">
        <f>IF(AT172="","",TEXT(AT172,"mmmm yyyy"))</f>
        <v/>
      </c>
      <c r="AV172" s="29" t="str">
        <f>IF(C172="","",C172-WEEKDAY(C172,2)+1)</f>
        <v/>
      </c>
      <c r="AW172" s="29" t="str">
        <f>IF(AV172="","",AV172+6)</f>
        <v/>
      </c>
      <c r="AX172" s="28" t="str">
        <f>IF(AV172="","",TEXT(AV172,"dd/mm/yyyy")&amp;" - "&amp;TEXT(AW172,"dd/mm/yyyy"))</f>
        <v/>
      </c>
      <c r="AY172" s="28" t="str">
        <f>IF(B172="","",COUNTIFS($B$5:B172,B172,$AT$5:AT172,AT172))</f>
        <v/>
      </c>
      <c r="AZ172" s="28" t="str">
        <f>IF(B172="","",COUNTIFS($B$5:B172,B172,$AV$5:AV172,AV172))</f>
        <v/>
      </c>
      <c r="BA172" s="28" t="str">
        <f>IF(B172="","",TEXT(AY172,"00")&amp;"|"&amp;B172&amp;"|"&amp;TEXT(AT172,"yyyymmdd"))</f>
        <v/>
      </c>
      <c r="BB172" s="28" t="str">
        <f>IF(B172="","",TEXT(AZ172,"00")&amp;"|"&amp;B172&amp;"|"&amp;TEXT(AV172,"yyyymmdd"))</f>
        <v/>
      </c>
      <c r="BC172" s="28">
        <f>IF(OR(AQ172="YES",AQ172="Yes",AQ172="Y",AQ172=1),1,0)</f>
        <v>0</v>
      </c>
    </row>
    <row r="173" spans="1:55" ht="15" customHeight="1">
      <c r="A173" s="27"/>
      <c r="B173" s="28"/>
      <c r="C173" s="29"/>
      <c r="D173" s="30"/>
      <c r="E173" s="30"/>
      <c r="F173" s="28"/>
      <c r="G173" s="28"/>
      <c r="H173" s="28"/>
      <c r="I173" s="13"/>
      <c r="J173" s="28"/>
      <c r="K173" s="13"/>
      <c r="L173" s="28"/>
      <c r="M173" s="13"/>
      <c r="N173" s="28"/>
      <c r="O173" s="13"/>
      <c r="P173" s="28"/>
      <c r="Q173" s="20"/>
      <c r="R173" s="28"/>
      <c r="S173" s="20"/>
      <c r="T173" s="28"/>
      <c r="U173" s="13"/>
      <c r="V173" s="28"/>
      <c r="W173" s="13"/>
      <c r="X173" s="28"/>
      <c r="Y173" s="13"/>
      <c r="Z173" s="28"/>
      <c r="AA173" s="13"/>
      <c r="AB173" s="28"/>
      <c r="AC173" s="13"/>
      <c r="AD173" s="28"/>
      <c r="AE173" s="13"/>
      <c r="AF173" s="28"/>
      <c r="AG173" s="13"/>
      <c r="AH173" s="28"/>
      <c r="AI173" s="13"/>
      <c r="AJ173" s="28"/>
      <c r="AK173" s="13"/>
      <c r="AL173" s="28"/>
      <c r="AM173" s="13"/>
      <c r="AN173" s="28"/>
      <c r="AO173" s="13"/>
      <c r="AP173" s="28"/>
      <c r="AQ173" s="13"/>
      <c r="AR173" s="28"/>
      <c r="AS173" s="19">
        <f>SUM(H173,J173,L173,N173,P173,R173,T173,V173,X173,Z173,AB173,AD173,AF173,AH173,AJ173,AL173,AN173)</f>
        <v>0</v>
      </c>
      <c r="AT173" s="29" t="str">
        <f>IF(C173="","",DATE(YEAR(C173),MONTH(C173),1))</f>
        <v/>
      </c>
      <c r="AU173" s="28" t="str">
        <f>IF(AT173="","",TEXT(AT173,"mmmm yyyy"))</f>
        <v/>
      </c>
      <c r="AV173" s="29" t="str">
        <f>IF(C173="","",C173-WEEKDAY(C173,2)+1)</f>
        <v/>
      </c>
      <c r="AW173" s="29" t="str">
        <f>IF(AV173="","",AV173+6)</f>
        <v/>
      </c>
      <c r="AX173" s="28" t="str">
        <f>IF(AV173="","",TEXT(AV173,"dd/mm/yyyy")&amp;" - "&amp;TEXT(AW173,"dd/mm/yyyy"))</f>
        <v/>
      </c>
      <c r="AY173" s="28" t="str">
        <f>IF(B173="","",COUNTIFS($B$5:B173,B173,$AT$5:AT173,AT173))</f>
        <v/>
      </c>
      <c r="AZ173" s="28" t="str">
        <f>IF(B173="","",COUNTIFS($B$5:B173,B173,$AV$5:AV173,AV173))</f>
        <v/>
      </c>
      <c r="BA173" s="28" t="str">
        <f>IF(B173="","",TEXT(AY173,"00")&amp;"|"&amp;B173&amp;"|"&amp;TEXT(AT173,"yyyymmdd"))</f>
        <v/>
      </c>
      <c r="BB173" s="28" t="str">
        <f>IF(B173="","",TEXT(AZ173,"00")&amp;"|"&amp;B173&amp;"|"&amp;TEXT(AV173,"yyyymmdd"))</f>
        <v/>
      </c>
      <c r="BC173" s="28">
        <f>IF(OR(AQ173="YES",AQ173="Yes",AQ173="Y",AQ173=1),1,0)</f>
        <v>0</v>
      </c>
    </row>
    <row r="174" spans="1:55" ht="15" customHeight="1">
      <c r="A174" s="27"/>
      <c r="B174" s="28"/>
      <c r="C174" s="29"/>
      <c r="D174" s="30"/>
      <c r="E174" s="30"/>
      <c r="F174" s="28"/>
      <c r="G174" s="28"/>
      <c r="H174" s="28"/>
      <c r="I174" s="13"/>
      <c r="J174" s="28"/>
      <c r="K174" s="13"/>
      <c r="L174" s="28"/>
      <c r="M174" s="13"/>
      <c r="N174" s="28"/>
      <c r="O174" s="13"/>
      <c r="P174" s="28"/>
      <c r="Q174" s="20"/>
      <c r="R174" s="28"/>
      <c r="S174" s="20"/>
      <c r="T174" s="28"/>
      <c r="U174" s="13"/>
      <c r="V174" s="28"/>
      <c r="W174" s="13"/>
      <c r="X174" s="28"/>
      <c r="Y174" s="13"/>
      <c r="Z174" s="28"/>
      <c r="AA174" s="13"/>
      <c r="AB174" s="28"/>
      <c r="AC174" s="13"/>
      <c r="AD174" s="28"/>
      <c r="AE174" s="13"/>
      <c r="AF174" s="28"/>
      <c r="AG174" s="13"/>
      <c r="AH174" s="28"/>
      <c r="AI174" s="13"/>
      <c r="AJ174" s="28"/>
      <c r="AK174" s="13"/>
      <c r="AL174" s="28"/>
      <c r="AM174" s="13"/>
      <c r="AN174" s="28"/>
      <c r="AO174" s="13"/>
      <c r="AP174" s="28"/>
      <c r="AQ174" s="13"/>
      <c r="AR174" s="28"/>
      <c r="AS174" s="19">
        <f>SUM(H174,J174,L174,N174,P174,R174,T174,V174,X174,Z174,AB174,AD174,AF174,AH174,AJ174,AL174,AN174)</f>
        <v>0</v>
      </c>
      <c r="AT174" s="29" t="str">
        <f>IF(C174="","",DATE(YEAR(C174),MONTH(C174),1))</f>
        <v/>
      </c>
      <c r="AU174" s="28" t="str">
        <f>IF(AT174="","",TEXT(AT174,"mmmm yyyy"))</f>
        <v/>
      </c>
      <c r="AV174" s="29" t="str">
        <f>IF(C174="","",C174-WEEKDAY(C174,2)+1)</f>
        <v/>
      </c>
      <c r="AW174" s="29" t="str">
        <f>IF(AV174="","",AV174+6)</f>
        <v/>
      </c>
      <c r="AX174" s="28" t="str">
        <f>IF(AV174="","",TEXT(AV174,"dd/mm/yyyy")&amp;" - "&amp;TEXT(AW174,"dd/mm/yyyy"))</f>
        <v/>
      </c>
      <c r="AY174" s="28" t="str">
        <f>IF(B174="","",COUNTIFS($B$5:B174,B174,$AT$5:AT174,AT174))</f>
        <v/>
      </c>
      <c r="AZ174" s="28" t="str">
        <f>IF(B174="","",COUNTIFS($B$5:B174,B174,$AV$5:AV174,AV174))</f>
        <v/>
      </c>
      <c r="BA174" s="28" t="str">
        <f>IF(B174="","",TEXT(AY174,"00")&amp;"|"&amp;B174&amp;"|"&amp;TEXT(AT174,"yyyymmdd"))</f>
        <v/>
      </c>
      <c r="BB174" s="28" t="str">
        <f>IF(B174="","",TEXT(AZ174,"00")&amp;"|"&amp;B174&amp;"|"&amp;TEXT(AV174,"yyyymmdd"))</f>
        <v/>
      </c>
      <c r="BC174" s="28">
        <f>IF(OR(AQ174="YES",AQ174="Yes",AQ174="Y",AQ174=1),1,0)</f>
        <v>0</v>
      </c>
    </row>
    <row r="175" spans="1:55" ht="15" customHeight="1">
      <c r="A175" s="27"/>
      <c r="B175" s="28"/>
      <c r="C175" s="29"/>
      <c r="D175" s="30"/>
      <c r="E175" s="30"/>
      <c r="F175" s="28"/>
      <c r="G175" s="28"/>
      <c r="H175" s="28"/>
      <c r="I175" s="13"/>
      <c r="J175" s="28"/>
      <c r="K175" s="13"/>
      <c r="L175" s="28"/>
      <c r="M175" s="13"/>
      <c r="N175" s="28"/>
      <c r="O175" s="13"/>
      <c r="P175" s="28"/>
      <c r="Q175" s="20"/>
      <c r="R175" s="28"/>
      <c r="S175" s="20"/>
      <c r="T175" s="28"/>
      <c r="U175" s="13"/>
      <c r="V175" s="28"/>
      <c r="W175" s="13"/>
      <c r="X175" s="28"/>
      <c r="Y175" s="13"/>
      <c r="Z175" s="28"/>
      <c r="AA175" s="13"/>
      <c r="AB175" s="28"/>
      <c r="AC175" s="13"/>
      <c r="AD175" s="28"/>
      <c r="AE175" s="13"/>
      <c r="AF175" s="28"/>
      <c r="AG175" s="13"/>
      <c r="AH175" s="28"/>
      <c r="AI175" s="13"/>
      <c r="AJ175" s="28"/>
      <c r="AK175" s="13"/>
      <c r="AL175" s="28"/>
      <c r="AM175" s="13"/>
      <c r="AN175" s="28"/>
      <c r="AO175" s="13"/>
      <c r="AP175" s="28"/>
      <c r="AQ175" s="13"/>
      <c r="AR175" s="28"/>
      <c r="AS175" s="19">
        <f>SUM(H175,J175,L175,N175,P175,R175,T175,V175,X175,Z175,AB175,AD175,AF175,AH175,AJ175,AL175,AN175)</f>
        <v>0</v>
      </c>
      <c r="AT175" s="29" t="str">
        <f>IF(C175="","",DATE(YEAR(C175),MONTH(C175),1))</f>
        <v/>
      </c>
      <c r="AU175" s="28" t="str">
        <f>IF(AT175="","",TEXT(AT175,"mmmm yyyy"))</f>
        <v/>
      </c>
      <c r="AV175" s="29" t="str">
        <f>IF(C175="","",C175-WEEKDAY(C175,2)+1)</f>
        <v/>
      </c>
      <c r="AW175" s="29" t="str">
        <f>IF(AV175="","",AV175+6)</f>
        <v/>
      </c>
      <c r="AX175" s="28" t="str">
        <f>IF(AV175="","",TEXT(AV175,"dd/mm/yyyy")&amp;" - "&amp;TEXT(AW175,"dd/mm/yyyy"))</f>
        <v/>
      </c>
      <c r="AY175" s="28" t="str">
        <f>IF(B175="","",COUNTIFS($B$5:B175,B175,$AT$5:AT175,AT175))</f>
        <v/>
      </c>
      <c r="AZ175" s="28" t="str">
        <f>IF(B175="","",COUNTIFS($B$5:B175,B175,$AV$5:AV175,AV175))</f>
        <v/>
      </c>
      <c r="BA175" s="28" t="str">
        <f>IF(B175="","",TEXT(AY175,"00")&amp;"|"&amp;B175&amp;"|"&amp;TEXT(AT175,"yyyymmdd"))</f>
        <v/>
      </c>
      <c r="BB175" s="28" t="str">
        <f>IF(B175="","",TEXT(AZ175,"00")&amp;"|"&amp;B175&amp;"|"&amp;TEXT(AV175,"yyyymmdd"))</f>
        <v/>
      </c>
      <c r="BC175" s="28">
        <f>IF(OR(AQ175="YES",AQ175="Yes",AQ175="Y",AQ175=1),1,0)</f>
        <v>0</v>
      </c>
    </row>
    <row r="176" spans="1:55" ht="15" customHeight="1">
      <c r="A176" s="27"/>
      <c r="B176" s="28"/>
      <c r="C176" s="29"/>
      <c r="D176" s="30"/>
      <c r="E176" s="30"/>
      <c r="F176" s="28"/>
      <c r="G176" s="28"/>
      <c r="H176" s="28"/>
      <c r="I176" s="13"/>
      <c r="J176" s="28"/>
      <c r="K176" s="13"/>
      <c r="L176" s="28"/>
      <c r="M176" s="13"/>
      <c r="N176" s="28"/>
      <c r="O176" s="13"/>
      <c r="P176" s="28"/>
      <c r="Q176" s="20"/>
      <c r="R176" s="28"/>
      <c r="S176" s="20"/>
      <c r="T176" s="28"/>
      <c r="U176" s="13"/>
      <c r="V176" s="28"/>
      <c r="W176" s="13"/>
      <c r="X176" s="28"/>
      <c r="Y176" s="13"/>
      <c r="Z176" s="28"/>
      <c r="AA176" s="13"/>
      <c r="AB176" s="28"/>
      <c r="AC176" s="13"/>
      <c r="AD176" s="28"/>
      <c r="AE176" s="13"/>
      <c r="AF176" s="28"/>
      <c r="AG176" s="13"/>
      <c r="AH176" s="28"/>
      <c r="AI176" s="13"/>
      <c r="AJ176" s="28"/>
      <c r="AK176" s="13"/>
      <c r="AL176" s="28"/>
      <c r="AM176" s="13"/>
      <c r="AN176" s="28"/>
      <c r="AO176" s="13"/>
      <c r="AP176" s="28"/>
      <c r="AQ176" s="13"/>
      <c r="AR176" s="28"/>
      <c r="AS176" s="19">
        <f>SUM(H176,J176,L176,N176,P176,R176,T176,V176,X176,Z176,AB176,AD176,AF176,AH176,AJ176,AL176,AN176)</f>
        <v>0</v>
      </c>
      <c r="AT176" s="29" t="str">
        <f>IF(C176="","",DATE(YEAR(C176),MONTH(C176),1))</f>
        <v/>
      </c>
      <c r="AU176" s="28" t="str">
        <f>IF(AT176="","",TEXT(AT176,"mmmm yyyy"))</f>
        <v/>
      </c>
      <c r="AV176" s="29" t="str">
        <f>IF(C176="","",C176-WEEKDAY(C176,2)+1)</f>
        <v/>
      </c>
      <c r="AW176" s="29" t="str">
        <f>IF(AV176="","",AV176+6)</f>
        <v/>
      </c>
      <c r="AX176" s="28" t="str">
        <f>IF(AV176="","",TEXT(AV176,"dd/mm/yyyy")&amp;" - "&amp;TEXT(AW176,"dd/mm/yyyy"))</f>
        <v/>
      </c>
      <c r="AY176" s="28" t="str">
        <f>IF(B176="","",COUNTIFS($B$5:B176,B176,$AT$5:AT176,AT176))</f>
        <v/>
      </c>
      <c r="AZ176" s="28" t="str">
        <f>IF(B176="","",COUNTIFS($B$5:B176,B176,$AV$5:AV176,AV176))</f>
        <v/>
      </c>
      <c r="BA176" s="28" t="str">
        <f>IF(B176="","",TEXT(AY176,"00")&amp;"|"&amp;B176&amp;"|"&amp;TEXT(AT176,"yyyymmdd"))</f>
        <v/>
      </c>
      <c r="BB176" s="28" t="str">
        <f>IF(B176="","",TEXT(AZ176,"00")&amp;"|"&amp;B176&amp;"|"&amp;TEXT(AV176,"yyyymmdd"))</f>
        <v/>
      </c>
      <c r="BC176" s="28">
        <f>IF(OR(AQ176="YES",AQ176="Yes",AQ176="Y",AQ176=1),1,0)</f>
        <v>0</v>
      </c>
    </row>
    <row r="177" spans="1:55" ht="15" customHeight="1">
      <c r="A177" s="27"/>
      <c r="B177" s="28"/>
      <c r="C177" s="29"/>
      <c r="D177" s="30"/>
      <c r="E177" s="30"/>
      <c r="F177" s="28"/>
      <c r="G177" s="28"/>
      <c r="H177" s="28"/>
      <c r="I177" s="13"/>
      <c r="J177" s="28"/>
      <c r="K177" s="13"/>
      <c r="L177" s="28"/>
      <c r="M177" s="13"/>
      <c r="N177" s="28"/>
      <c r="O177" s="13"/>
      <c r="P177" s="28"/>
      <c r="Q177" s="20"/>
      <c r="R177" s="28"/>
      <c r="S177" s="20"/>
      <c r="T177" s="28"/>
      <c r="U177" s="13"/>
      <c r="V177" s="28"/>
      <c r="W177" s="13"/>
      <c r="X177" s="28"/>
      <c r="Y177" s="13"/>
      <c r="Z177" s="28"/>
      <c r="AA177" s="13"/>
      <c r="AB177" s="28"/>
      <c r="AC177" s="13"/>
      <c r="AD177" s="28"/>
      <c r="AE177" s="13"/>
      <c r="AF177" s="28"/>
      <c r="AG177" s="13"/>
      <c r="AH177" s="28"/>
      <c r="AI177" s="13"/>
      <c r="AJ177" s="28"/>
      <c r="AK177" s="13"/>
      <c r="AL177" s="28"/>
      <c r="AM177" s="13"/>
      <c r="AN177" s="28"/>
      <c r="AO177" s="13"/>
      <c r="AP177" s="28"/>
      <c r="AQ177" s="13"/>
      <c r="AR177" s="28"/>
      <c r="AS177" s="19">
        <f>SUM(H177,J177,L177,N177,P177,R177,T177,V177,X177,Z177,AB177,AD177,AF177,AH177,AJ177,AL177,AN177)</f>
        <v>0</v>
      </c>
      <c r="AT177" s="29" t="str">
        <f>IF(C177="","",DATE(YEAR(C177),MONTH(C177),1))</f>
        <v/>
      </c>
      <c r="AU177" s="28" t="str">
        <f>IF(AT177="","",TEXT(AT177,"mmmm yyyy"))</f>
        <v/>
      </c>
      <c r="AV177" s="29" t="str">
        <f>IF(C177="","",C177-WEEKDAY(C177,2)+1)</f>
        <v/>
      </c>
      <c r="AW177" s="29" t="str">
        <f>IF(AV177="","",AV177+6)</f>
        <v/>
      </c>
      <c r="AX177" s="28" t="str">
        <f>IF(AV177="","",TEXT(AV177,"dd/mm/yyyy")&amp;" - "&amp;TEXT(AW177,"dd/mm/yyyy"))</f>
        <v/>
      </c>
      <c r="AY177" s="28" t="str">
        <f>IF(B177="","",COUNTIFS($B$5:B177,B177,$AT$5:AT177,AT177))</f>
        <v/>
      </c>
      <c r="AZ177" s="28" t="str">
        <f>IF(B177="","",COUNTIFS($B$5:B177,B177,$AV$5:AV177,AV177))</f>
        <v/>
      </c>
      <c r="BA177" s="28" t="str">
        <f>IF(B177="","",TEXT(AY177,"00")&amp;"|"&amp;B177&amp;"|"&amp;TEXT(AT177,"yyyymmdd"))</f>
        <v/>
      </c>
      <c r="BB177" s="28" t="str">
        <f>IF(B177="","",TEXT(AZ177,"00")&amp;"|"&amp;B177&amp;"|"&amp;TEXT(AV177,"yyyymmdd"))</f>
        <v/>
      </c>
      <c r="BC177" s="28">
        <f>IF(OR(AQ177="YES",AQ177="Yes",AQ177="Y",AQ177=1),1,0)</f>
        <v>0</v>
      </c>
    </row>
    <row r="178" spans="1:55" ht="15" customHeight="1">
      <c r="A178" s="27"/>
      <c r="B178" s="28"/>
      <c r="C178" s="29"/>
      <c r="D178" s="30"/>
      <c r="E178" s="30"/>
      <c r="F178" s="28"/>
      <c r="G178" s="28"/>
      <c r="H178" s="28"/>
      <c r="I178" s="13"/>
      <c r="J178" s="28"/>
      <c r="K178" s="13"/>
      <c r="L178" s="28"/>
      <c r="M178" s="13"/>
      <c r="N178" s="28"/>
      <c r="O178" s="13"/>
      <c r="P178" s="28"/>
      <c r="Q178" s="20"/>
      <c r="R178" s="28"/>
      <c r="S178" s="20"/>
      <c r="T178" s="28"/>
      <c r="U178" s="13"/>
      <c r="V178" s="28"/>
      <c r="W178" s="13"/>
      <c r="X178" s="28"/>
      <c r="Y178" s="13"/>
      <c r="Z178" s="28"/>
      <c r="AA178" s="13"/>
      <c r="AB178" s="28"/>
      <c r="AC178" s="13"/>
      <c r="AD178" s="28"/>
      <c r="AE178" s="13"/>
      <c r="AF178" s="28"/>
      <c r="AG178" s="13"/>
      <c r="AH178" s="28"/>
      <c r="AI178" s="13"/>
      <c r="AJ178" s="28"/>
      <c r="AK178" s="13"/>
      <c r="AL178" s="28"/>
      <c r="AM178" s="13"/>
      <c r="AN178" s="28"/>
      <c r="AO178" s="13"/>
      <c r="AP178" s="28"/>
      <c r="AQ178" s="13"/>
      <c r="AR178" s="28"/>
      <c r="AS178" s="19">
        <f>SUM(H178,J178,L178,N178,P178,R178,T178,V178,X178,Z178,AB178,AD178,AF178,AH178,AJ178,AL178,AN178)</f>
        <v>0</v>
      </c>
      <c r="AT178" s="29" t="str">
        <f>IF(C178="","",DATE(YEAR(C178),MONTH(C178),1))</f>
        <v/>
      </c>
      <c r="AU178" s="28" t="str">
        <f>IF(AT178="","",TEXT(AT178,"mmmm yyyy"))</f>
        <v/>
      </c>
      <c r="AV178" s="29" t="str">
        <f>IF(C178="","",C178-WEEKDAY(C178,2)+1)</f>
        <v/>
      </c>
      <c r="AW178" s="29" t="str">
        <f>IF(AV178="","",AV178+6)</f>
        <v/>
      </c>
      <c r="AX178" s="28" t="str">
        <f>IF(AV178="","",TEXT(AV178,"dd/mm/yyyy")&amp;" - "&amp;TEXT(AW178,"dd/mm/yyyy"))</f>
        <v/>
      </c>
      <c r="AY178" s="28" t="str">
        <f>IF(B178="","",COUNTIFS($B$5:B178,B178,$AT$5:AT178,AT178))</f>
        <v/>
      </c>
      <c r="AZ178" s="28" t="str">
        <f>IF(B178="","",COUNTIFS($B$5:B178,B178,$AV$5:AV178,AV178))</f>
        <v/>
      </c>
      <c r="BA178" s="28" t="str">
        <f>IF(B178="","",TEXT(AY178,"00")&amp;"|"&amp;B178&amp;"|"&amp;TEXT(AT178,"yyyymmdd"))</f>
        <v/>
      </c>
      <c r="BB178" s="28" t="str">
        <f>IF(B178="","",TEXT(AZ178,"00")&amp;"|"&amp;B178&amp;"|"&amp;TEXT(AV178,"yyyymmdd"))</f>
        <v/>
      </c>
      <c r="BC178" s="28">
        <f>IF(OR(AQ178="YES",AQ178="Yes",AQ178="Y",AQ178=1),1,0)</f>
        <v>0</v>
      </c>
    </row>
    <row r="179" spans="1:55" ht="15" customHeight="1">
      <c r="A179" s="27"/>
      <c r="B179" s="28"/>
      <c r="C179" s="29"/>
      <c r="D179" s="30"/>
      <c r="E179" s="30"/>
      <c r="F179" s="28"/>
      <c r="G179" s="28"/>
      <c r="H179" s="28"/>
      <c r="I179" s="13"/>
      <c r="J179" s="28"/>
      <c r="K179" s="13"/>
      <c r="L179" s="28"/>
      <c r="M179" s="13"/>
      <c r="N179" s="28"/>
      <c r="O179" s="13"/>
      <c r="P179" s="28"/>
      <c r="Q179" s="20"/>
      <c r="R179" s="28"/>
      <c r="S179" s="20"/>
      <c r="T179" s="28"/>
      <c r="U179" s="13"/>
      <c r="V179" s="28"/>
      <c r="W179" s="13"/>
      <c r="X179" s="28"/>
      <c r="Y179" s="13"/>
      <c r="Z179" s="28"/>
      <c r="AA179" s="13"/>
      <c r="AB179" s="28"/>
      <c r="AC179" s="13"/>
      <c r="AD179" s="28"/>
      <c r="AE179" s="13"/>
      <c r="AF179" s="28"/>
      <c r="AG179" s="13"/>
      <c r="AH179" s="28"/>
      <c r="AI179" s="13"/>
      <c r="AJ179" s="28"/>
      <c r="AK179" s="13"/>
      <c r="AL179" s="28"/>
      <c r="AM179" s="13"/>
      <c r="AN179" s="28"/>
      <c r="AO179" s="13"/>
      <c r="AP179" s="28"/>
      <c r="AQ179" s="13"/>
      <c r="AR179" s="28"/>
      <c r="AS179" s="19">
        <f>SUM(H179,J179,L179,N179,P179,R179,T179,V179,X179,Z179,AB179,AD179,AF179,AH179,AJ179,AL179,AN179)</f>
        <v>0</v>
      </c>
      <c r="AT179" s="29" t="str">
        <f>IF(C179="","",DATE(YEAR(C179),MONTH(C179),1))</f>
        <v/>
      </c>
      <c r="AU179" s="28" t="str">
        <f>IF(AT179="","",TEXT(AT179,"mmmm yyyy"))</f>
        <v/>
      </c>
      <c r="AV179" s="29" t="str">
        <f>IF(C179="","",C179-WEEKDAY(C179,2)+1)</f>
        <v/>
      </c>
      <c r="AW179" s="29" t="str">
        <f>IF(AV179="","",AV179+6)</f>
        <v/>
      </c>
      <c r="AX179" s="28" t="str">
        <f>IF(AV179="","",TEXT(AV179,"dd/mm/yyyy")&amp;" - "&amp;TEXT(AW179,"dd/mm/yyyy"))</f>
        <v/>
      </c>
      <c r="AY179" s="28" t="str">
        <f>IF(B179="","",COUNTIFS($B$5:B179,B179,$AT$5:AT179,AT179))</f>
        <v/>
      </c>
      <c r="AZ179" s="28" t="str">
        <f>IF(B179="","",COUNTIFS($B$5:B179,B179,$AV$5:AV179,AV179))</f>
        <v/>
      </c>
      <c r="BA179" s="28" t="str">
        <f>IF(B179="","",TEXT(AY179,"00")&amp;"|"&amp;B179&amp;"|"&amp;TEXT(AT179,"yyyymmdd"))</f>
        <v/>
      </c>
      <c r="BB179" s="28" t="str">
        <f>IF(B179="","",TEXT(AZ179,"00")&amp;"|"&amp;B179&amp;"|"&amp;TEXT(AV179,"yyyymmdd"))</f>
        <v/>
      </c>
      <c r="BC179" s="28">
        <f>IF(OR(AQ179="YES",AQ179="Yes",AQ179="Y",AQ179=1),1,0)</f>
        <v>0</v>
      </c>
    </row>
    <row r="180" spans="1:55" ht="15" customHeight="1">
      <c r="A180" s="27"/>
      <c r="B180" s="28"/>
      <c r="C180" s="29"/>
      <c r="D180" s="30"/>
      <c r="E180" s="30"/>
      <c r="F180" s="28"/>
      <c r="G180" s="28"/>
      <c r="H180" s="28"/>
      <c r="I180" s="13"/>
      <c r="J180" s="28"/>
      <c r="K180" s="13"/>
      <c r="L180" s="28"/>
      <c r="M180" s="13"/>
      <c r="N180" s="28"/>
      <c r="O180" s="13"/>
      <c r="P180" s="28"/>
      <c r="Q180" s="20"/>
      <c r="R180" s="28"/>
      <c r="S180" s="20"/>
      <c r="T180" s="28"/>
      <c r="U180" s="13"/>
      <c r="V180" s="28"/>
      <c r="W180" s="13"/>
      <c r="X180" s="28"/>
      <c r="Y180" s="13"/>
      <c r="Z180" s="28"/>
      <c r="AA180" s="13"/>
      <c r="AB180" s="28"/>
      <c r="AC180" s="13"/>
      <c r="AD180" s="28"/>
      <c r="AE180" s="13"/>
      <c r="AF180" s="28"/>
      <c r="AG180" s="13"/>
      <c r="AH180" s="28"/>
      <c r="AI180" s="13"/>
      <c r="AJ180" s="28"/>
      <c r="AK180" s="13"/>
      <c r="AL180" s="28"/>
      <c r="AM180" s="13"/>
      <c r="AN180" s="28"/>
      <c r="AO180" s="13"/>
      <c r="AP180" s="28"/>
      <c r="AQ180" s="13"/>
      <c r="AR180" s="28"/>
      <c r="AS180" s="19">
        <f>SUM(H180,J180,L180,N180,P180,R180,T180,V180,X180,Z180,AB180,AD180,AF180,AH180,AJ180,AL180,AN180)</f>
        <v>0</v>
      </c>
      <c r="AT180" s="29" t="str">
        <f>IF(C180="","",DATE(YEAR(C180),MONTH(C180),1))</f>
        <v/>
      </c>
      <c r="AU180" s="28" t="str">
        <f>IF(AT180="","",TEXT(AT180,"mmmm yyyy"))</f>
        <v/>
      </c>
      <c r="AV180" s="29" t="str">
        <f>IF(C180="","",C180-WEEKDAY(C180,2)+1)</f>
        <v/>
      </c>
      <c r="AW180" s="29" t="str">
        <f>IF(AV180="","",AV180+6)</f>
        <v/>
      </c>
      <c r="AX180" s="28" t="str">
        <f>IF(AV180="","",TEXT(AV180,"dd/mm/yyyy")&amp;" - "&amp;TEXT(AW180,"dd/mm/yyyy"))</f>
        <v/>
      </c>
      <c r="AY180" s="28" t="str">
        <f>IF(B180="","",COUNTIFS($B$5:B180,B180,$AT$5:AT180,AT180))</f>
        <v/>
      </c>
      <c r="AZ180" s="28" t="str">
        <f>IF(B180="","",COUNTIFS($B$5:B180,B180,$AV$5:AV180,AV180))</f>
        <v/>
      </c>
      <c r="BA180" s="28" t="str">
        <f>IF(B180="","",TEXT(AY180,"00")&amp;"|"&amp;B180&amp;"|"&amp;TEXT(AT180,"yyyymmdd"))</f>
        <v/>
      </c>
      <c r="BB180" s="28" t="str">
        <f>IF(B180="","",TEXT(AZ180,"00")&amp;"|"&amp;B180&amp;"|"&amp;TEXT(AV180,"yyyymmdd"))</f>
        <v/>
      </c>
      <c r="BC180" s="28">
        <f>IF(OR(AQ180="YES",AQ180="Yes",AQ180="Y",AQ180=1),1,0)</f>
        <v>0</v>
      </c>
    </row>
    <row r="181" spans="1:55" ht="15" customHeight="1">
      <c r="A181" s="27"/>
      <c r="B181" s="28"/>
      <c r="C181" s="29"/>
      <c r="D181" s="30"/>
      <c r="E181" s="30"/>
      <c r="F181" s="28"/>
      <c r="G181" s="28"/>
      <c r="H181" s="28"/>
      <c r="I181" s="13"/>
      <c r="J181" s="28"/>
      <c r="K181" s="13"/>
      <c r="L181" s="28"/>
      <c r="M181" s="13"/>
      <c r="N181" s="28"/>
      <c r="O181" s="13"/>
      <c r="P181" s="28"/>
      <c r="Q181" s="20"/>
      <c r="R181" s="28"/>
      <c r="S181" s="20"/>
      <c r="T181" s="28"/>
      <c r="U181" s="13"/>
      <c r="V181" s="28"/>
      <c r="W181" s="13"/>
      <c r="X181" s="28"/>
      <c r="Y181" s="13"/>
      <c r="Z181" s="28"/>
      <c r="AA181" s="13"/>
      <c r="AB181" s="28"/>
      <c r="AC181" s="13"/>
      <c r="AD181" s="28"/>
      <c r="AE181" s="13"/>
      <c r="AF181" s="28"/>
      <c r="AG181" s="13"/>
      <c r="AH181" s="28"/>
      <c r="AI181" s="13"/>
      <c r="AJ181" s="28"/>
      <c r="AK181" s="13"/>
      <c r="AL181" s="28"/>
      <c r="AM181" s="13"/>
      <c r="AN181" s="28"/>
      <c r="AO181" s="13"/>
      <c r="AP181" s="28"/>
      <c r="AQ181" s="13"/>
      <c r="AR181" s="28"/>
      <c r="AS181" s="19">
        <f>SUM(H181,J181,L181,N181,P181,R181,T181,V181,X181,Z181,AB181,AD181,AF181,AH181,AJ181,AL181,AN181)</f>
        <v>0</v>
      </c>
      <c r="AT181" s="29" t="str">
        <f>IF(C181="","",DATE(YEAR(C181),MONTH(C181),1))</f>
        <v/>
      </c>
      <c r="AU181" s="28" t="str">
        <f>IF(AT181="","",TEXT(AT181,"mmmm yyyy"))</f>
        <v/>
      </c>
      <c r="AV181" s="29" t="str">
        <f>IF(C181="","",C181-WEEKDAY(C181,2)+1)</f>
        <v/>
      </c>
      <c r="AW181" s="29" t="str">
        <f>IF(AV181="","",AV181+6)</f>
        <v/>
      </c>
      <c r="AX181" s="28" t="str">
        <f>IF(AV181="","",TEXT(AV181,"dd/mm/yyyy")&amp;" - "&amp;TEXT(AW181,"dd/mm/yyyy"))</f>
        <v/>
      </c>
      <c r="AY181" s="28" t="str">
        <f>IF(B181="","",COUNTIFS($B$5:B181,B181,$AT$5:AT181,AT181))</f>
        <v/>
      </c>
      <c r="AZ181" s="28" t="str">
        <f>IF(B181="","",COUNTIFS($B$5:B181,B181,$AV$5:AV181,AV181))</f>
        <v/>
      </c>
      <c r="BA181" s="28" t="str">
        <f>IF(B181="","",TEXT(AY181,"00")&amp;"|"&amp;B181&amp;"|"&amp;TEXT(AT181,"yyyymmdd"))</f>
        <v/>
      </c>
      <c r="BB181" s="28" t="str">
        <f>IF(B181="","",TEXT(AZ181,"00")&amp;"|"&amp;B181&amp;"|"&amp;TEXT(AV181,"yyyymmdd"))</f>
        <v/>
      </c>
      <c r="BC181" s="28">
        <f>IF(OR(AQ181="YES",AQ181="Yes",AQ181="Y",AQ181=1),1,0)</f>
        <v>0</v>
      </c>
    </row>
    <row r="182" spans="1:55" ht="15" customHeight="1">
      <c r="A182" s="27"/>
      <c r="B182" s="28"/>
      <c r="C182" s="29"/>
      <c r="D182" s="30"/>
      <c r="E182" s="30"/>
      <c r="F182" s="28"/>
      <c r="G182" s="28"/>
      <c r="H182" s="28"/>
      <c r="I182" s="13"/>
      <c r="J182" s="28"/>
      <c r="K182" s="13"/>
      <c r="L182" s="28"/>
      <c r="M182" s="13"/>
      <c r="N182" s="28"/>
      <c r="O182" s="13"/>
      <c r="P182" s="28"/>
      <c r="Q182" s="20"/>
      <c r="R182" s="28"/>
      <c r="S182" s="20"/>
      <c r="T182" s="28"/>
      <c r="U182" s="13"/>
      <c r="V182" s="28"/>
      <c r="W182" s="13"/>
      <c r="X182" s="28"/>
      <c r="Y182" s="13"/>
      <c r="Z182" s="28"/>
      <c r="AA182" s="13"/>
      <c r="AB182" s="28"/>
      <c r="AC182" s="13"/>
      <c r="AD182" s="28"/>
      <c r="AE182" s="13"/>
      <c r="AF182" s="28"/>
      <c r="AG182" s="13"/>
      <c r="AH182" s="28"/>
      <c r="AI182" s="13"/>
      <c r="AJ182" s="28"/>
      <c r="AK182" s="13"/>
      <c r="AL182" s="28"/>
      <c r="AM182" s="13"/>
      <c r="AN182" s="28"/>
      <c r="AO182" s="13"/>
      <c r="AP182" s="28"/>
      <c r="AQ182" s="13"/>
      <c r="AR182" s="28"/>
      <c r="AS182" s="19">
        <f>SUM(H182,J182,L182,N182,P182,R182,T182,V182,X182,Z182,AB182,AD182,AF182,AH182,AJ182,AL182,AN182)</f>
        <v>0</v>
      </c>
      <c r="AT182" s="29" t="str">
        <f>IF(C182="","",DATE(YEAR(C182),MONTH(C182),1))</f>
        <v/>
      </c>
      <c r="AU182" s="28" t="str">
        <f>IF(AT182="","",TEXT(AT182,"mmmm yyyy"))</f>
        <v/>
      </c>
      <c r="AV182" s="29" t="str">
        <f>IF(C182="","",C182-WEEKDAY(C182,2)+1)</f>
        <v/>
      </c>
      <c r="AW182" s="29" t="str">
        <f>IF(AV182="","",AV182+6)</f>
        <v/>
      </c>
      <c r="AX182" s="28" t="str">
        <f>IF(AV182="","",TEXT(AV182,"dd/mm/yyyy")&amp;" - "&amp;TEXT(AW182,"dd/mm/yyyy"))</f>
        <v/>
      </c>
      <c r="AY182" s="28" t="str">
        <f>IF(B182="","",COUNTIFS($B$5:B182,B182,$AT$5:AT182,AT182))</f>
        <v/>
      </c>
      <c r="AZ182" s="28" t="str">
        <f>IF(B182="","",COUNTIFS($B$5:B182,B182,$AV$5:AV182,AV182))</f>
        <v/>
      </c>
      <c r="BA182" s="28" t="str">
        <f>IF(B182="","",TEXT(AY182,"00")&amp;"|"&amp;B182&amp;"|"&amp;TEXT(AT182,"yyyymmdd"))</f>
        <v/>
      </c>
      <c r="BB182" s="28" t="str">
        <f>IF(B182="","",TEXT(AZ182,"00")&amp;"|"&amp;B182&amp;"|"&amp;TEXT(AV182,"yyyymmdd"))</f>
        <v/>
      </c>
      <c r="BC182" s="28">
        <f>IF(OR(AQ182="YES",AQ182="Yes",AQ182="Y",AQ182=1),1,0)</f>
        <v>0</v>
      </c>
    </row>
    <row r="183" spans="1:55" ht="15" customHeight="1">
      <c r="A183" s="27"/>
      <c r="B183" s="28"/>
      <c r="C183" s="29"/>
      <c r="D183" s="30"/>
      <c r="E183" s="30"/>
      <c r="F183" s="28"/>
      <c r="G183" s="28"/>
      <c r="H183" s="28"/>
      <c r="I183" s="13"/>
      <c r="J183" s="28"/>
      <c r="K183" s="13"/>
      <c r="L183" s="28"/>
      <c r="M183" s="13"/>
      <c r="N183" s="28"/>
      <c r="O183" s="13"/>
      <c r="P183" s="28"/>
      <c r="Q183" s="20"/>
      <c r="R183" s="28"/>
      <c r="S183" s="20"/>
      <c r="T183" s="28"/>
      <c r="U183" s="13"/>
      <c r="V183" s="28"/>
      <c r="W183" s="13"/>
      <c r="X183" s="28"/>
      <c r="Y183" s="13"/>
      <c r="Z183" s="28"/>
      <c r="AA183" s="13"/>
      <c r="AB183" s="28"/>
      <c r="AC183" s="13"/>
      <c r="AD183" s="28"/>
      <c r="AE183" s="13"/>
      <c r="AF183" s="28"/>
      <c r="AG183" s="13"/>
      <c r="AH183" s="28"/>
      <c r="AI183" s="13"/>
      <c r="AJ183" s="28"/>
      <c r="AK183" s="13"/>
      <c r="AL183" s="28"/>
      <c r="AM183" s="13"/>
      <c r="AN183" s="28"/>
      <c r="AO183" s="13"/>
      <c r="AP183" s="28"/>
      <c r="AQ183" s="13"/>
      <c r="AR183" s="28"/>
      <c r="AS183" s="19">
        <f>SUM(H183,J183,L183,N183,P183,R183,T183,V183,X183,Z183,AB183,AD183,AF183,AH183,AJ183,AL183,AN183)</f>
        <v>0</v>
      </c>
      <c r="AT183" s="29" t="str">
        <f>IF(C183="","",DATE(YEAR(C183),MONTH(C183),1))</f>
        <v/>
      </c>
      <c r="AU183" s="28" t="str">
        <f>IF(AT183="","",TEXT(AT183,"mmmm yyyy"))</f>
        <v/>
      </c>
      <c r="AV183" s="29" t="str">
        <f>IF(C183="","",C183-WEEKDAY(C183,2)+1)</f>
        <v/>
      </c>
      <c r="AW183" s="29" t="str">
        <f>IF(AV183="","",AV183+6)</f>
        <v/>
      </c>
      <c r="AX183" s="28" t="str">
        <f>IF(AV183="","",TEXT(AV183,"dd/mm/yyyy")&amp;" - "&amp;TEXT(AW183,"dd/mm/yyyy"))</f>
        <v/>
      </c>
      <c r="AY183" s="28" t="str">
        <f>IF(B183="","",COUNTIFS($B$5:B183,B183,$AT$5:AT183,AT183))</f>
        <v/>
      </c>
      <c r="AZ183" s="28" t="str">
        <f>IF(B183="","",COUNTIFS($B$5:B183,B183,$AV$5:AV183,AV183))</f>
        <v/>
      </c>
      <c r="BA183" s="28" t="str">
        <f>IF(B183="","",TEXT(AY183,"00")&amp;"|"&amp;B183&amp;"|"&amp;TEXT(AT183,"yyyymmdd"))</f>
        <v/>
      </c>
      <c r="BB183" s="28" t="str">
        <f>IF(B183="","",TEXT(AZ183,"00")&amp;"|"&amp;B183&amp;"|"&amp;TEXT(AV183,"yyyymmdd"))</f>
        <v/>
      </c>
      <c r="BC183" s="28">
        <f>IF(OR(AQ183="YES",AQ183="Yes",AQ183="Y",AQ183=1),1,0)</f>
        <v>0</v>
      </c>
    </row>
    <row r="184" spans="1:55" ht="15" customHeight="1">
      <c r="A184" s="27"/>
      <c r="B184" s="28"/>
      <c r="C184" s="29"/>
      <c r="D184" s="30"/>
      <c r="E184" s="30"/>
      <c r="F184" s="28"/>
      <c r="G184" s="28"/>
      <c r="H184" s="28"/>
      <c r="I184" s="13"/>
      <c r="J184" s="28"/>
      <c r="K184" s="13"/>
      <c r="L184" s="28"/>
      <c r="M184" s="13"/>
      <c r="N184" s="28"/>
      <c r="O184" s="13"/>
      <c r="P184" s="28"/>
      <c r="Q184" s="20"/>
      <c r="R184" s="28"/>
      <c r="S184" s="20"/>
      <c r="T184" s="28"/>
      <c r="U184" s="13"/>
      <c r="V184" s="28"/>
      <c r="W184" s="13"/>
      <c r="X184" s="28"/>
      <c r="Y184" s="13"/>
      <c r="Z184" s="28"/>
      <c r="AA184" s="13"/>
      <c r="AB184" s="28"/>
      <c r="AC184" s="13"/>
      <c r="AD184" s="28"/>
      <c r="AE184" s="13"/>
      <c r="AF184" s="28"/>
      <c r="AG184" s="13"/>
      <c r="AH184" s="28"/>
      <c r="AI184" s="13"/>
      <c r="AJ184" s="28"/>
      <c r="AK184" s="13"/>
      <c r="AL184" s="28"/>
      <c r="AM184" s="13"/>
      <c r="AN184" s="28"/>
      <c r="AO184" s="13"/>
      <c r="AP184" s="28"/>
      <c r="AQ184" s="13"/>
      <c r="AR184" s="28"/>
      <c r="AS184" s="19">
        <f>SUM(H184,J184,L184,N184,P184,R184,T184,V184,X184,Z184,AB184,AD184,AF184,AH184,AJ184,AL184,AN184)</f>
        <v>0</v>
      </c>
      <c r="AT184" s="29" t="str">
        <f>IF(C184="","",DATE(YEAR(C184),MONTH(C184),1))</f>
        <v/>
      </c>
      <c r="AU184" s="28" t="str">
        <f>IF(AT184="","",TEXT(AT184,"mmmm yyyy"))</f>
        <v/>
      </c>
      <c r="AV184" s="29" t="str">
        <f>IF(C184="","",C184-WEEKDAY(C184,2)+1)</f>
        <v/>
      </c>
      <c r="AW184" s="29" t="str">
        <f>IF(AV184="","",AV184+6)</f>
        <v/>
      </c>
      <c r="AX184" s="28" t="str">
        <f>IF(AV184="","",TEXT(AV184,"dd/mm/yyyy")&amp;" - "&amp;TEXT(AW184,"dd/mm/yyyy"))</f>
        <v/>
      </c>
      <c r="AY184" s="28" t="str">
        <f>IF(B184="","",COUNTIFS($B$5:B184,B184,$AT$5:AT184,AT184))</f>
        <v/>
      </c>
      <c r="AZ184" s="28" t="str">
        <f>IF(B184="","",COUNTIFS($B$5:B184,B184,$AV$5:AV184,AV184))</f>
        <v/>
      </c>
      <c r="BA184" s="28" t="str">
        <f>IF(B184="","",TEXT(AY184,"00")&amp;"|"&amp;B184&amp;"|"&amp;TEXT(AT184,"yyyymmdd"))</f>
        <v/>
      </c>
      <c r="BB184" s="28" t="str">
        <f>IF(B184="","",TEXT(AZ184,"00")&amp;"|"&amp;B184&amp;"|"&amp;TEXT(AV184,"yyyymmdd"))</f>
        <v/>
      </c>
      <c r="BC184" s="28">
        <f>IF(OR(AQ184="YES",AQ184="Yes",AQ184="Y",AQ184=1),1,0)</f>
        <v>0</v>
      </c>
    </row>
    <row r="185" spans="1:55" ht="15" customHeight="1">
      <c r="A185" s="27"/>
      <c r="B185" s="28"/>
      <c r="C185" s="29"/>
      <c r="D185" s="30"/>
      <c r="E185" s="30"/>
      <c r="F185" s="28"/>
      <c r="G185" s="28"/>
      <c r="H185" s="28"/>
      <c r="I185" s="13"/>
      <c r="J185" s="28"/>
      <c r="K185" s="13"/>
      <c r="L185" s="28"/>
      <c r="M185" s="13"/>
      <c r="N185" s="28"/>
      <c r="O185" s="13"/>
      <c r="P185" s="28"/>
      <c r="Q185" s="20"/>
      <c r="R185" s="28"/>
      <c r="S185" s="20"/>
      <c r="T185" s="28"/>
      <c r="U185" s="13"/>
      <c r="V185" s="28"/>
      <c r="W185" s="13"/>
      <c r="X185" s="28"/>
      <c r="Y185" s="13"/>
      <c r="Z185" s="28"/>
      <c r="AA185" s="13"/>
      <c r="AB185" s="28"/>
      <c r="AC185" s="13"/>
      <c r="AD185" s="28"/>
      <c r="AE185" s="13"/>
      <c r="AF185" s="28"/>
      <c r="AG185" s="13"/>
      <c r="AH185" s="28"/>
      <c r="AI185" s="13"/>
      <c r="AJ185" s="28"/>
      <c r="AK185" s="13"/>
      <c r="AL185" s="28"/>
      <c r="AM185" s="13"/>
      <c r="AN185" s="28"/>
      <c r="AO185" s="13"/>
      <c r="AP185" s="28"/>
      <c r="AQ185" s="13"/>
      <c r="AR185" s="28"/>
      <c r="AS185" s="19">
        <f>SUM(H185,J185,L185,N185,P185,R185,T185,V185,X185,Z185,AB185,AD185,AF185,AH185,AJ185,AL185,AN185)</f>
        <v>0</v>
      </c>
      <c r="AT185" s="29" t="str">
        <f>IF(C185="","",DATE(YEAR(C185),MONTH(C185),1))</f>
        <v/>
      </c>
      <c r="AU185" s="28" t="str">
        <f>IF(AT185="","",TEXT(AT185,"mmmm yyyy"))</f>
        <v/>
      </c>
      <c r="AV185" s="29" t="str">
        <f>IF(C185="","",C185-WEEKDAY(C185,2)+1)</f>
        <v/>
      </c>
      <c r="AW185" s="29" t="str">
        <f>IF(AV185="","",AV185+6)</f>
        <v/>
      </c>
      <c r="AX185" s="28" t="str">
        <f>IF(AV185="","",TEXT(AV185,"dd/mm/yyyy")&amp;" - "&amp;TEXT(AW185,"dd/mm/yyyy"))</f>
        <v/>
      </c>
      <c r="AY185" s="28" t="str">
        <f>IF(B185="","",COUNTIFS($B$5:B185,B185,$AT$5:AT185,AT185))</f>
        <v/>
      </c>
      <c r="AZ185" s="28" t="str">
        <f>IF(B185="","",COUNTIFS($B$5:B185,B185,$AV$5:AV185,AV185))</f>
        <v/>
      </c>
      <c r="BA185" s="28" t="str">
        <f>IF(B185="","",TEXT(AY185,"00")&amp;"|"&amp;B185&amp;"|"&amp;TEXT(AT185,"yyyymmdd"))</f>
        <v/>
      </c>
      <c r="BB185" s="28" t="str">
        <f>IF(B185="","",TEXT(AZ185,"00")&amp;"|"&amp;B185&amp;"|"&amp;TEXT(AV185,"yyyymmdd"))</f>
        <v/>
      </c>
      <c r="BC185" s="28">
        <f>IF(OR(AQ185="YES",AQ185="Yes",AQ185="Y",AQ185=1),1,0)</f>
        <v>0</v>
      </c>
    </row>
    <row r="186" spans="1:55" ht="15" customHeight="1">
      <c r="A186" s="27"/>
      <c r="B186" s="28"/>
      <c r="C186" s="29"/>
      <c r="D186" s="30"/>
      <c r="E186" s="30"/>
      <c r="F186" s="28"/>
      <c r="G186" s="28"/>
      <c r="H186" s="28"/>
      <c r="I186" s="13"/>
      <c r="J186" s="28"/>
      <c r="K186" s="13"/>
      <c r="L186" s="28"/>
      <c r="M186" s="13"/>
      <c r="N186" s="28"/>
      <c r="O186" s="13"/>
      <c r="P186" s="28"/>
      <c r="Q186" s="20"/>
      <c r="R186" s="28"/>
      <c r="S186" s="20"/>
      <c r="T186" s="28"/>
      <c r="U186" s="13"/>
      <c r="V186" s="28"/>
      <c r="W186" s="13"/>
      <c r="X186" s="28"/>
      <c r="Y186" s="13"/>
      <c r="Z186" s="28"/>
      <c r="AA186" s="13"/>
      <c r="AB186" s="28"/>
      <c r="AC186" s="13"/>
      <c r="AD186" s="28"/>
      <c r="AE186" s="13"/>
      <c r="AF186" s="28"/>
      <c r="AG186" s="13"/>
      <c r="AH186" s="28"/>
      <c r="AI186" s="13"/>
      <c r="AJ186" s="28"/>
      <c r="AK186" s="13"/>
      <c r="AL186" s="28"/>
      <c r="AM186" s="13"/>
      <c r="AN186" s="28"/>
      <c r="AO186" s="13"/>
      <c r="AP186" s="28"/>
      <c r="AQ186" s="13"/>
      <c r="AR186" s="28"/>
      <c r="AS186" s="19">
        <f>SUM(H186,J186,L186,N186,P186,R186,T186,V186,X186,Z186,AB186,AD186,AF186,AH186,AJ186,AL186,AN186)</f>
        <v>0</v>
      </c>
      <c r="AT186" s="29" t="str">
        <f>IF(C186="","",DATE(YEAR(C186),MONTH(C186),1))</f>
        <v/>
      </c>
      <c r="AU186" s="28" t="str">
        <f>IF(AT186="","",TEXT(AT186,"mmmm yyyy"))</f>
        <v/>
      </c>
      <c r="AV186" s="29" t="str">
        <f>IF(C186="","",C186-WEEKDAY(C186,2)+1)</f>
        <v/>
      </c>
      <c r="AW186" s="29" t="str">
        <f>IF(AV186="","",AV186+6)</f>
        <v/>
      </c>
      <c r="AX186" s="28" t="str">
        <f>IF(AV186="","",TEXT(AV186,"dd/mm/yyyy")&amp;" - "&amp;TEXT(AW186,"dd/mm/yyyy"))</f>
        <v/>
      </c>
      <c r="AY186" s="28" t="str">
        <f>IF(B186="","",COUNTIFS($B$5:B186,B186,$AT$5:AT186,AT186))</f>
        <v/>
      </c>
      <c r="AZ186" s="28" t="str">
        <f>IF(B186="","",COUNTIFS($B$5:B186,B186,$AV$5:AV186,AV186))</f>
        <v/>
      </c>
      <c r="BA186" s="28" t="str">
        <f>IF(B186="","",TEXT(AY186,"00")&amp;"|"&amp;B186&amp;"|"&amp;TEXT(AT186,"yyyymmdd"))</f>
        <v/>
      </c>
      <c r="BB186" s="28" t="str">
        <f>IF(B186="","",TEXT(AZ186,"00")&amp;"|"&amp;B186&amp;"|"&amp;TEXT(AV186,"yyyymmdd"))</f>
        <v/>
      </c>
      <c r="BC186" s="28">
        <f>IF(OR(AQ186="YES",AQ186="Yes",AQ186="Y",AQ186=1),1,0)</f>
        <v>0</v>
      </c>
    </row>
    <row r="187" spans="1:55" ht="15" customHeight="1">
      <c r="A187" s="27"/>
      <c r="B187" s="28"/>
      <c r="C187" s="29"/>
      <c r="D187" s="30"/>
      <c r="E187" s="30"/>
      <c r="F187" s="28"/>
      <c r="G187" s="28"/>
      <c r="H187" s="28"/>
      <c r="I187" s="13"/>
      <c r="J187" s="28"/>
      <c r="K187" s="13"/>
      <c r="L187" s="28"/>
      <c r="M187" s="13"/>
      <c r="N187" s="28"/>
      <c r="O187" s="13"/>
      <c r="P187" s="28"/>
      <c r="Q187" s="20"/>
      <c r="R187" s="28"/>
      <c r="S187" s="20"/>
      <c r="T187" s="28"/>
      <c r="U187" s="13"/>
      <c r="V187" s="28"/>
      <c r="W187" s="13"/>
      <c r="X187" s="28"/>
      <c r="Y187" s="13"/>
      <c r="Z187" s="28"/>
      <c r="AA187" s="13"/>
      <c r="AB187" s="28"/>
      <c r="AC187" s="13"/>
      <c r="AD187" s="28"/>
      <c r="AE187" s="13"/>
      <c r="AF187" s="28"/>
      <c r="AG187" s="13"/>
      <c r="AH187" s="28"/>
      <c r="AI187" s="13"/>
      <c r="AJ187" s="28"/>
      <c r="AK187" s="13"/>
      <c r="AL187" s="28"/>
      <c r="AM187" s="13"/>
      <c r="AN187" s="28"/>
      <c r="AO187" s="13"/>
      <c r="AP187" s="28"/>
      <c r="AQ187" s="13"/>
      <c r="AR187" s="28"/>
      <c r="AS187" s="19">
        <f>SUM(H187,J187,L187,N187,P187,R187,T187,V187,X187,Z187,AB187,AD187,AF187,AH187,AJ187,AL187,AN187)</f>
        <v>0</v>
      </c>
      <c r="AT187" s="29" t="str">
        <f>IF(C187="","",DATE(YEAR(C187),MONTH(C187),1))</f>
        <v/>
      </c>
      <c r="AU187" s="28" t="str">
        <f>IF(AT187="","",TEXT(AT187,"mmmm yyyy"))</f>
        <v/>
      </c>
      <c r="AV187" s="29" t="str">
        <f>IF(C187="","",C187-WEEKDAY(C187,2)+1)</f>
        <v/>
      </c>
      <c r="AW187" s="29" t="str">
        <f>IF(AV187="","",AV187+6)</f>
        <v/>
      </c>
      <c r="AX187" s="28" t="str">
        <f>IF(AV187="","",TEXT(AV187,"dd/mm/yyyy")&amp;" - "&amp;TEXT(AW187,"dd/mm/yyyy"))</f>
        <v/>
      </c>
      <c r="AY187" s="28" t="str">
        <f>IF(B187="","",COUNTIFS($B$5:B187,B187,$AT$5:AT187,AT187))</f>
        <v/>
      </c>
      <c r="AZ187" s="28" t="str">
        <f>IF(B187="","",COUNTIFS($B$5:B187,B187,$AV$5:AV187,AV187))</f>
        <v/>
      </c>
      <c r="BA187" s="28" t="str">
        <f>IF(B187="","",TEXT(AY187,"00")&amp;"|"&amp;B187&amp;"|"&amp;TEXT(AT187,"yyyymmdd"))</f>
        <v/>
      </c>
      <c r="BB187" s="28" t="str">
        <f>IF(B187="","",TEXT(AZ187,"00")&amp;"|"&amp;B187&amp;"|"&amp;TEXT(AV187,"yyyymmdd"))</f>
        <v/>
      </c>
      <c r="BC187" s="28">
        <f>IF(OR(AQ187="YES",AQ187="Yes",AQ187="Y",AQ187=1),1,0)</f>
        <v>0</v>
      </c>
    </row>
    <row r="188" spans="1:55" ht="15" customHeight="1">
      <c r="A188" s="27"/>
      <c r="B188" s="28"/>
      <c r="C188" s="29"/>
      <c r="D188" s="30"/>
      <c r="E188" s="30"/>
      <c r="F188" s="28"/>
      <c r="G188" s="28"/>
      <c r="H188" s="28"/>
      <c r="I188" s="13"/>
      <c r="J188" s="28"/>
      <c r="K188" s="13"/>
      <c r="L188" s="28"/>
      <c r="M188" s="13"/>
      <c r="N188" s="28"/>
      <c r="O188" s="13"/>
      <c r="P188" s="28"/>
      <c r="Q188" s="20"/>
      <c r="R188" s="28"/>
      <c r="S188" s="20"/>
      <c r="T188" s="28"/>
      <c r="U188" s="13"/>
      <c r="V188" s="28"/>
      <c r="W188" s="13"/>
      <c r="X188" s="28"/>
      <c r="Y188" s="13"/>
      <c r="Z188" s="28"/>
      <c r="AA188" s="13"/>
      <c r="AB188" s="28"/>
      <c r="AC188" s="13"/>
      <c r="AD188" s="28"/>
      <c r="AE188" s="13"/>
      <c r="AF188" s="28"/>
      <c r="AG188" s="13"/>
      <c r="AH188" s="28"/>
      <c r="AI188" s="13"/>
      <c r="AJ188" s="28"/>
      <c r="AK188" s="13"/>
      <c r="AL188" s="28"/>
      <c r="AM188" s="13"/>
      <c r="AN188" s="28"/>
      <c r="AO188" s="13"/>
      <c r="AP188" s="28"/>
      <c r="AQ188" s="13"/>
      <c r="AR188" s="28"/>
      <c r="AS188" s="19">
        <f>SUM(H188,J188,L188,N188,P188,R188,T188,V188,X188,Z188,AB188,AD188,AF188,AH188,AJ188,AL188,AN188)</f>
        <v>0</v>
      </c>
      <c r="AT188" s="29" t="str">
        <f>IF(C188="","",DATE(YEAR(C188),MONTH(C188),1))</f>
        <v/>
      </c>
      <c r="AU188" s="28" t="str">
        <f>IF(AT188="","",TEXT(AT188,"mmmm yyyy"))</f>
        <v/>
      </c>
      <c r="AV188" s="29" t="str">
        <f>IF(C188="","",C188-WEEKDAY(C188,2)+1)</f>
        <v/>
      </c>
      <c r="AW188" s="29" t="str">
        <f>IF(AV188="","",AV188+6)</f>
        <v/>
      </c>
      <c r="AX188" s="28" t="str">
        <f>IF(AV188="","",TEXT(AV188,"dd/mm/yyyy")&amp;" - "&amp;TEXT(AW188,"dd/mm/yyyy"))</f>
        <v/>
      </c>
      <c r="AY188" s="28" t="str">
        <f>IF(B188="","",COUNTIFS($B$5:B188,B188,$AT$5:AT188,AT188))</f>
        <v/>
      </c>
      <c r="AZ188" s="28" t="str">
        <f>IF(B188="","",COUNTIFS($B$5:B188,B188,$AV$5:AV188,AV188))</f>
        <v/>
      </c>
      <c r="BA188" s="28" t="str">
        <f>IF(B188="","",TEXT(AY188,"00")&amp;"|"&amp;B188&amp;"|"&amp;TEXT(AT188,"yyyymmdd"))</f>
        <v/>
      </c>
      <c r="BB188" s="28" t="str">
        <f>IF(B188="","",TEXT(AZ188,"00")&amp;"|"&amp;B188&amp;"|"&amp;TEXT(AV188,"yyyymmdd"))</f>
        <v/>
      </c>
      <c r="BC188" s="28">
        <f>IF(OR(AQ188="YES",AQ188="Yes",AQ188="Y",AQ188=1),1,0)</f>
        <v>0</v>
      </c>
    </row>
    <row r="189" spans="1:55" ht="15" customHeight="1">
      <c r="A189" s="27"/>
      <c r="B189" s="28"/>
      <c r="C189" s="29"/>
      <c r="D189" s="30"/>
      <c r="E189" s="30"/>
      <c r="F189" s="28"/>
      <c r="G189" s="28"/>
      <c r="H189" s="28"/>
      <c r="I189" s="13"/>
      <c r="J189" s="28"/>
      <c r="K189" s="13"/>
      <c r="L189" s="28"/>
      <c r="M189" s="13"/>
      <c r="N189" s="28"/>
      <c r="O189" s="13"/>
      <c r="P189" s="28"/>
      <c r="Q189" s="20"/>
      <c r="R189" s="28"/>
      <c r="S189" s="20"/>
      <c r="T189" s="28"/>
      <c r="U189" s="13"/>
      <c r="V189" s="28"/>
      <c r="W189" s="13"/>
      <c r="X189" s="28"/>
      <c r="Y189" s="13"/>
      <c r="Z189" s="28"/>
      <c r="AA189" s="13"/>
      <c r="AB189" s="28"/>
      <c r="AC189" s="13"/>
      <c r="AD189" s="28"/>
      <c r="AE189" s="13"/>
      <c r="AF189" s="28"/>
      <c r="AG189" s="13"/>
      <c r="AH189" s="28"/>
      <c r="AI189" s="13"/>
      <c r="AJ189" s="28"/>
      <c r="AK189" s="13"/>
      <c r="AL189" s="28"/>
      <c r="AM189" s="13"/>
      <c r="AN189" s="28"/>
      <c r="AO189" s="13"/>
      <c r="AP189" s="28"/>
      <c r="AQ189" s="13"/>
      <c r="AR189" s="28"/>
      <c r="AS189" s="19">
        <f>SUM(H189,J189,L189,N189,P189,R189,T189,V189,X189,Z189,AB189,AD189,AF189,AH189,AJ189,AL189,AN189)</f>
        <v>0</v>
      </c>
      <c r="AT189" s="29" t="str">
        <f>IF(C189="","",DATE(YEAR(C189),MONTH(C189),1))</f>
        <v/>
      </c>
      <c r="AU189" s="28" t="str">
        <f>IF(AT189="","",TEXT(AT189,"mmmm yyyy"))</f>
        <v/>
      </c>
      <c r="AV189" s="29" t="str">
        <f>IF(C189="","",C189-WEEKDAY(C189,2)+1)</f>
        <v/>
      </c>
      <c r="AW189" s="29" t="str">
        <f>IF(AV189="","",AV189+6)</f>
        <v/>
      </c>
      <c r="AX189" s="28" t="str">
        <f>IF(AV189="","",TEXT(AV189,"dd/mm/yyyy")&amp;" - "&amp;TEXT(AW189,"dd/mm/yyyy"))</f>
        <v/>
      </c>
      <c r="AY189" s="28" t="str">
        <f>IF(B189="","",COUNTIFS($B$5:B189,B189,$AT$5:AT189,AT189))</f>
        <v/>
      </c>
      <c r="AZ189" s="28" t="str">
        <f>IF(B189="","",COUNTIFS($B$5:B189,B189,$AV$5:AV189,AV189))</f>
        <v/>
      </c>
      <c r="BA189" s="28" t="str">
        <f>IF(B189="","",TEXT(AY189,"00")&amp;"|"&amp;B189&amp;"|"&amp;TEXT(AT189,"yyyymmdd"))</f>
        <v/>
      </c>
      <c r="BB189" s="28" t="str">
        <f>IF(B189="","",TEXT(AZ189,"00")&amp;"|"&amp;B189&amp;"|"&amp;TEXT(AV189,"yyyymmdd"))</f>
        <v/>
      </c>
      <c r="BC189" s="28">
        <f>IF(OR(AQ189="YES",AQ189="Yes",AQ189="Y",AQ189=1),1,0)</f>
        <v>0</v>
      </c>
    </row>
    <row r="190" spans="1:55" ht="15" customHeight="1">
      <c r="A190" s="27"/>
      <c r="B190" s="28"/>
      <c r="C190" s="29"/>
      <c r="D190" s="30"/>
      <c r="E190" s="30"/>
      <c r="F190" s="28"/>
      <c r="G190" s="28"/>
      <c r="H190" s="28"/>
      <c r="I190" s="13"/>
      <c r="J190" s="28"/>
      <c r="K190" s="13"/>
      <c r="L190" s="28"/>
      <c r="M190" s="13"/>
      <c r="N190" s="28"/>
      <c r="O190" s="13"/>
      <c r="P190" s="28"/>
      <c r="Q190" s="20"/>
      <c r="R190" s="28"/>
      <c r="S190" s="20"/>
      <c r="T190" s="28"/>
      <c r="U190" s="13"/>
      <c r="V190" s="28"/>
      <c r="W190" s="13"/>
      <c r="X190" s="28"/>
      <c r="Y190" s="13"/>
      <c r="Z190" s="28"/>
      <c r="AA190" s="13"/>
      <c r="AB190" s="28"/>
      <c r="AC190" s="13"/>
      <c r="AD190" s="28"/>
      <c r="AE190" s="13"/>
      <c r="AF190" s="28"/>
      <c r="AG190" s="13"/>
      <c r="AH190" s="28"/>
      <c r="AI190" s="13"/>
      <c r="AJ190" s="28"/>
      <c r="AK190" s="13"/>
      <c r="AL190" s="28"/>
      <c r="AM190" s="13"/>
      <c r="AN190" s="28"/>
      <c r="AO190" s="13"/>
      <c r="AP190" s="28"/>
      <c r="AQ190" s="13"/>
      <c r="AR190" s="28"/>
      <c r="AS190" s="19">
        <f>SUM(H190,J190,L190,N190,P190,R190,T190,V190,X190,Z190,AB190,AD190,AF190,AH190,AJ190,AL190,AN190)</f>
        <v>0</v>
      </c>
      <c r="AT190" s="29" t="str">
        <f>IF(C190="","",DATE(YEAR(C190),MONTH(C190),1))</f>
        <v/>
      </c>
      <c r="AU190" s="28" t="str">
        <f>IF(AT190="","",TEXT(AT190,"mmmm yyyy"))</f>
        <v/>
      </c>
      <c r="AV190" s="29" t="str">
        <f>IF(C190="","",C190-WEEKDAY(C190,2)+1)</f>
        <v/>
      </c>
      <c r="AW190" s="29" t="str">
        <f>IF(AV190="","",AV190+6)</f>
        <v/>
      </c>
      <c r="AX190" s="28" t="str">
        <f>IF(AV190="","",TEXT(AV190,"dd/mm/yyyy")&amp;" - "&amp;TEXT(AW190,"dd/mm/yyyy"))</f>
        <v/>
      </c>
      <c r="AY190" s="28" t="str">
        <f>IF(B190="","",COUNTIFS($B$5:B190,B190,$AT$5:AT190,AT190))</f>
        <v/>
      </c>
      <c r="AZ190" s="28" t="str">
        <f>IF(B190="","",COUNTIFS($B$5:B190,B190,$AV$5:AV190,AV190))</f>
        <v/>
      </c>
      <c r="BA190" s="28" t="str">
        <f>IF(B190="","",TEXT(AY190,"00")&amp;"|"&amp;B190&amp;"|"&amp;TEXT(AT190,"yyyymmdd"))</f>
        <v/>
      </c>
      <c r="BB190" s="28" t="str">
        <f>IF(B190="","",TEXT(AZ190,"00")&amp;"|"&amp;B190&amp;"|"&amp;TEXT(AV190,"yyyymmdd"))</f>
        <v/>
      </c>
      <c r="BC190" s="28">
        <f>IF(OR(AQ190="YES",AQ190="Yes",AQ190="Y",AQ190=1),1,0)</f>
        <v>0</v>
      </c>
    </row>
    <row r="191" spans="1:55" ht="15" customHeight="1">
      <c r="A191" s="27"/>
      <c r="B191" s="28"/>
      <c r="C191" s="29"/>
      <c r="D191" s="30"/>
      <c r="E191" s="30"/>
      <c r="F191" s="28"/>
      <c r="G191" s="28"/>
      <c r="H191" s="28"/>
      <c r="I191" s="13"/>
      <c r="J191" s="28"/>
      <c r="K191" s="13"/>
      <c r="L191" s="28"/>
      <c r="M191" s="13"/>
      <c r="N191" s="28"/>
      <c r="O191" s="13"/>
      <c r="P191" s="28"/>
      <c r="Q191" s="20"/>
      <c r="R191" s="28"/>
      <c r="S191" s="20"/>
      <c r="T191" s="28"/>
      <c r="U191" s="13"/>
      <c r="V191" s="28"/>
      <c r="W191" s="13"/>
      <c r="X191" s="28"/>
      <c r="Y191" s="13"/>
      <c r="Z191" s="28"/>
      <c r="AA191" s="13"/>
      <c r="AB191" s="28"/>
      <c r="AC191" s="13"/>
      <c r="AD191" s="28"/>
      <c r="AE191" s="13"/>
      <c r="AF191" s="28"/>
      <c r="AG191" s="13"/>
      <c r="AH191" s="28"/>
      <c r="AI191" s="13"/>
      <c r="AJ191" s="28"/>
      <c r="AK191" s="13"/>
      <c r="AL191" s="28"/>
      <c r="AM191" s="13"/>
      <c r="AN191" s="28"/>
      <c r="AO191" s="13"/>
      <c r="AP191" s="28"/>
      <c r="AQ191" s="13"/>
      <c r="AR191" s="28"/>
      <c r="AS191" s="19">
        <f>SUM(H191,J191,L191,N191,P191,R191,T191,V191,X191,Z191,AB191,AD191,AF191,AH191,AJ191,AL191,AN191)</f>
        <v>0</v>
      </c>
      <c r="AT191" s="29" t="str">
        <f>IF(C191="","",DATE(YEAR(C191),MONTH(C191),1))</f>
        <v/>
      </c>
      <c r="AU191" s="28" t="str">
        <f>IF(AT191="","",TEXT(AT191,"mmmm yyyy"))</f>
        <v/>
      </c>
      <c r="AV191" s="29" t="str">
        <f>IF(C191="","",C191-WEEKDAY(C191,2)+1)</f>
        <v/>
      </c>
      <c r="AW191" s="29" t="str">
        <f>IF(AV191="","",AV191+6)</f>
        <v/>
      </c>
      <c r="AX191" s="28" t="str">
        <f>IF(AV191="","",TEXT(AV191,"dd/mm/yyyy")&amp;" - "&amp;TEXT(AW191,"dd/mm/yyyy"))</f>
        <v/>
      </c>
      <c r="AY191" s="28" t="str">
        <f>IF(B191="","",COUNTIFS($B$5:B191,B191,$AT$5:AT191,AT191))</f>
        <v/>
      </c>
      <c r="AZ191" s="28" t="str">
        <f>IF(B191="","",COUNTIFS($B$5:B191,B191,$AV$5:AV191,AV191))</f>
        <v/>
      </c>
      <c r="BA191" s="28" t="str">
        <f>IF(B191="","",TEXT(AY191,"00")&amp;"|"&amp;B191&amp;"|"&amp;TEXT(AT191,"yyyymmdd"))</f>
        <v/>
      </c>
      <c r="BB191" s="28" t="str">
        <f>IF(B191="","",TEXT(AZ191,"00")&amp;"|"&amp;B191&amp;"|"&amp;TEXT(AV191,"yyyymmdd"))</f>
        <v/>
      </c>
      <c r="BC191" s="28">
        <f>IF(OR(AQ191="YES",AQ191="Yes",AQ191="Y",AQ191=1),1,0)</f>
        <v>0</v>
      </c>
    </row>
    <row r="192" spans="1:55" ht="15" customHeight="1">
      <c r="A192" s="27"/>
      <c r="B192" s="28"/>
      <c r="C192" s="29"/>
      <c r="D192" s="30"/>
      <c r="E192" s="30"/>
      <c r="F192" s="28"/>
      <c r="G192" s="28"/>
      <c r="H192" s="28"/>
      <c r="I192" s="13"/>
      <c r="J192" s="28"/>
      <c r="K192" s="13"/>
      <c r="L192" s="28"/>
      <c r="M192" s="13"/>
      <c r="N192" s="28"/>
      <c r="O192" s="13"/>
      <c r="P192" s="28"/>
      <c r="Q192" s="20"/>
      <c r="R192" s="28"/>
      <c r="S192" s="20"/>
      <c r="T192" s="28"/>
      <c r="U192" s="13"/>
      <c r="V192" s="28"/>
      <c r="W192" s="13"/>
      <c r="X192" s="28"/>
      <c r="Y192" s="13"/>
      <c r="Z192" s="28"/>
      <c r="AA192" s="13"/>
      <c r="AB192" s="28"/>
      <c r="AC192" s="13"/>
      <c r="AD192" s="28"/>
      <c r="AE192" s="13"/>
      <c r="AF192" s="28"/>
      <c r="AG192" s="13"/>
      <c r="AH192" s="28"/>
      <c r="AI192" s="13"/>
      <c r="AJ192" s="28"/>
      <c r="AK192" s="13"/>
      <c r="AL192" s="28"/>
      <c r="AM192" s="13"/>
      <c r="AN192" s="28"/>
      <c r="AO192" s="13"/>
      <c r="AP192" s="28"/>
      <c r="AQ192" s="13"/>
      <c r="AR192" s="28"/>
      <c r="AS192" s="19">
        <f>SUM(H192,J192,L192,N192,P192,R192,T192,V192,X192,Z192,AB192,AD192,AF192,AH192,AJ192,AL192,AN192)</f>
        <v>0</v>
      </c>
      <c r="AT192" s="29" t="str">
        <f>IF(C192="","",DATE(YEAR(C192),MONTH(C192),1))</f>
        <v/>
      </c>
      <c r="AU192" s="28" t="str">
        <f>IF(AT192="","",TEXT(AT192,"mmmm yyyy"))</f>
        <v/>
      </c>
      <c r="AV192" s="29" t="str">
        <f>IF(C192="","",C192-WEEKDAY(C192,2)+1)</f>
        <v/>
      </c>
      <c r="AW192" s="29" t="str">
        <f>IF(AV192="","",AV192+6)</f>
        <v/>
      </c>
      <c r="AX192" s="28" t="str">
        <f>IF(AV192="","",TEXT(AV192,"dd/mm/yyyy")&amp;" - "&amp;TEXT(AW192,"dd/mm/yyyy"))</f>
        <v/>
      </c>
      <c r="AY192" s="28" t="str">
        <f>IF(B192="","",COUNTIFS($B$5:B192,B192,$AT$5:AT192,AT192))</f>
        <v/>
      </c>
      <c r="AZ192" s="28" t="str">
        <f>IF(B192="","",COUNTIFS($B$5:B192,B192,$AV$5:AV192,AV192))</f>
        <v/>
      </c>
      <c r="BA192" s="28" t="str">
        <f>IF(B192="","",TEXT(AY192,"00")&amp;"|"&amp;B192&amp;"|"&amp;TEXT(AT192,"yyyymmdd"))</f>
        <v/>
      </c>
      <c r="BB192" s="28" t="str">
        <f>IF(B192="","",TEXT(AZ192,"00")&amp;"|"&amp;B192&amp;"|"&amp;TEXT(AV192,"yyyymmdd"))</f>
        <v/>
      </c>
      <c r="BC192" s="28">
        <f>IF(OR(AQ192="YES",AQ192="Yes",AQ192="Y",AQ192=1),1,0)</f>
        <v>0</v>
      </c>
    </row>
    <row r="193" spans="1:55" ht="15" customHeight="1">
      <c r="A193" s="27"/>
      <c r="B193" s="28"/>
      <c r="C193" s="29"/>
      <c r="D193" s="30"/>
      <c r="E193" s="30"/>
      <c r="F193" s="28"/>
      <c r="G193" s="28"/>
      <c r="H193" s="28"/>
      <c r="I193" s="13"/>
      <c r="J193" s="28"/>
      <c r="K193" s="13"/>
      <c r="L193" s="28"/>
      <c r="M193" s="13"/>
      <c r="N193" s="28"/>
      <c r="O193" s="13"/>
      <c r="P193" s="28"/>
      <c r="Q193" s="20"/>
      <c r="R193" s="28"/>
      <c r="S193" s="20"/>
      <c r="T193" s="28"/>
      <c r="U193" s="13"/>
      <c r="V193" s="28"/>
      <c r="W193" s="13"/>
      <c r="X193" s="28"/>
      <c r="Y193" s="13"/>
      <c r="Z193" s="28"/>
      <c r="AA193" s="13"/>
      <c r="AB193" s="28"/>
      <c r="AC193" s="13"/>
      <c r="AD193" s="28"/>
      <c r="AE193" s="13"/>
      <c r="AF193" s="28"/>
      <c r="AG193" s="13"/>
      <c r="AH193" s="28"/>
      <c r="AI193" s="13"/>
      <c r="AJ193" s="28"/>
      <c r="AK193" s="13"/>
      <c r="AL193" s="28"/>
      <c r="AM193" s="13"/>
      <c r="AN193" s="28"/>
      <c r="AO193" s="13"/>
      <c r="AP193" s="28"/>
      <c r="AQ193" s="13"/>
      <c r="AR193" s="28"/>
      <c r="AS193" s="19">
        <f>SUM(H193,J193,L193,N193,P193,R193,T193,V193,X193,Z193,AB193,AD193,AF193,AH193,AJ193,AL193,AN193)</f>
        <v>0</v>
      </c>
      <c r="AT193" s="29" t="str">
        <f>IF(C193="","",DATE(YEAR(C193),MONTH(C193),1))</f>
        <v/>
      </c>
      <c r="AU193" s="28" t="str">
        <f>IF(AT193="","",TEXT(AT193,"mmmm yyyy"))</f>
        <v/>
      </c>
      <c r="AV193" s="29" t="str">
        <f>IF(C193="","",C193-WEEKDAY(C193,2)+1)</f>
        <v/>
      </c>
      <c r="AW193" s="29" t="str">
        <f>IF(AV193="","",AV193+6)</f>
        <v/>
      </c>
      <c r="AX193" s="28" t="str">
        <f>IF(AV193="","",TEXT(AV193,"dd/mm/yyyy")&amp;" - "&amp;TEXT(AW193,"dd/mm/yyyy"))</f>
        <v/>
      </c>
      <c r="AY193" s="28" t="str">
        <f>IF(B193="","",COUNTIFS($B$5:B193,B193,$AT$5:AT193,AT193))</f>
        <v/>
      </c>
      <c r="AZ193" s="28" t="str">
        <f>IF(B193="","",COUNTIFS($B$5:B193,B193,$AV$5:AV193,AV193))</f>
        <v/>
      </c>
      <c r="BA193" s="28" t="str">
        <f>IF(B193="","",TEXT(AY193,"00")&amp;"|"&amp;B193&amp;"|"&amp;TEXT(AT193,"yyyymmdd"))</f>
        <v/>
      </c>
      <c r="BB193" s="28" t="str">
        <f>IF(B193="","",TEXT(AZ193,"00")&amp;"|"&amp;B193&amp;"|"&amp;TEXT(AV193,"yyyymmdd"))</f>
        <v/>
      </c>
      <c r="BC193" s="28">
        <f>IF(OR(AQ193="YES",AQ193="Yes",AQ193="Y",AQ193=1),1,0)</f>
        <v>0</v>
      </c>
    </row>
    <row r="194" spans="1:55" ht="15" customHeight="1">
      <c r="A194" s="27"/>
      <c r="B194" s="28"/>
      <c r="C194" s="29"/>
      <c r="D194" s="30"/>
      <c r="E194" s="30"/>
      <c r="F194" s="28"/>
      <c r="G194" s="28"/>
      <c r="H194" s="28"/>
      <c r="I194" s="13"/>
      <c r="J194" s="28"/>
      <c r="K194" s="13"/>
      <c r="L194" s="28"/>
      <c r="M194" s="13"/>
      <c r="N194" s="28"/>
      <c r="O194" s="13"/>
      <c r="P194" s="28"/>
      <c r="Q194" s="20"/>
      <c r="R194" s="28"/>
      <c r="S194" s="20"/>
      <c r="T194" s="28"/>
      <c r="U194" s="13"/>
      <c r="V194" s="28"/>
      <c r="W194" s="13"/>
      <c r="X194" s="28"/>
      <c r="Y194" s="13"/>
      <c r="Z194" s="28"/>
      <c r="AA194" s="13"/>
      <c r="AB194" s="28"/>
      <c r="AC194" s="13"/>
      <c r="AD194" s="28"/>
      <c r="AE194" s="13"/>
      <c r="AF194" s="28"/>
      <c r="AG194" s="13"/>
      <c r="AH194" s="28"/>
      <c r="AI194" s="13"/>
      <c r="AJ194" s="28"/>
      <c r="AK194" s="13"/>
      <c r="AL194" s="28"/>
      <c r="AM194" s="13"/>
      <c r="AN194" s="28"/>
      <c r="AO194" s="13"/>
      <c r="AP194" s="28"/>
      <c r="AQ194" s="13"/>
      <c r="AR194" s="28"/>
      <c r="AS194" s="19">
        <f>SUM(H194,J194,L194,N194,P194,R194,T194,V194,X194,Z194,AB194,AD194,AF194,AH194,AJ194,AL194,AN194)</f>
        <v>0</v>
      </c>
      <c r="AT194" s="29" t="str">
        <f>IF(C194="","",DATE(YEAR(C194),MONTH(C194),1))</f>
        <v/>
      </c>
      <c r="AU194" s="28" t="str">
        <f>IF(AT194="","",TEXT(AT194,"mmmm yyyy"))</f>
        <v/>
      </c>
      <c r="AV194" s="29" t="str">
        <f>IF(C194="","",C194-WEEKDAY(C194,2)+1)</f>
        <v/>
      </c>
      <c r="AW194" s="29" t="str">
        <f>IF(AV194="","",AV194+6)</f>
        <v/>
      </c>
      <c r="AX194" s="28" t="str">
        <f>IF(AV194="","",TEXT(AV194,"dd/mm/yyyy")&amp;" - "&amp;TEXT(AW194,"dd/mm/yyyy"))</f>
        <v/>
      </c>
      <c r="AY194" s="28" t="str">
        <f>IF(B194="","",COUNTIFS($B$5:B194,B194,$AT$5:AT194,AT194))</f>
        <v/>
      </c>
      <c r="AZ194" s="28" t="str">
        <f>IF(B194="","",COUNTIFS($B$5:B194,B194,$AV$5:AV194,AV194))</f>
        <v/>
      </c>
      <c r="BA194" s="28" t="str">
        <f>IF(B194="","",TEXT(AY194,"00")&amp;"|"&amp;B194&amp;"|"&amp;TEXT(AT194,"yyyymmdd"))</f>
        <v/>
      </c>
      <c r="BB194" s="28" t="str">
        <f>IF(B194="","",TEXT(AZ194,"00")&amp;"|"&amp;B194&amp;"|"&amp;TEXT(AV194,"yyyymmdd"))</f>
        <v/>
      </c>
      <c r="BC194" s="28">
        <f>IF(OR(AQ194="YES",AQ194="Yes",AQ194="Y",AQ194=1),1,0)</f>
        <v>0</v>
      </c>
    </row>
    <row r="195" spans="1:55" ht="15" customHeight="1">
      <c r="A195" s="27"/>
      <c r="B195" s="28"/>
      <c r="C195" s="29"/>
      <c r="D195" s="30"/>
      <c r="E195" s="30"/>
      <c r="F195" s="28"/>
      <c r="G195" s="28"/>
      <c r="H195" s="28"/>
      <c r="I195" s="13"/>
      <c r="J195" s="28"/>
      <c r="K195" s="13"/>
      <c r="L195" s="28"/>
      <c r="M195" s="13"/>
      <c r="N195" s="28"/>
      <c r="O195" s="13"/>
      <c r="P195" s="28"/>
      <c r="Q195" s="20"/>
      <c r="R195" s="28"/>
      <c r="S195" s="20"/>
      <c r="T195" s="28"/>
      <c r="U195" s="13"/>
      <c r="V195" s="28"/>
      <c r="W195" s="13"/>
      <c r="X195" s="28"/>
      <c r="Y195" s="13"/>
      <c r="Z195" s="28"/>
      <c r="AA195" s="13"/>
      <c r="AB195" s="28"/>
      <c r="AC195" s="13"/>
      <c r="AD195" s="28"/>
      <c r="AE195" s="13"/>
      <c r="AF195" s="28"/>
      <c r="AG195" s="13"/>
      <c r="AH195" s="28"/>
      <c r="AI195" s="13"/>
      <c r="AJ195" s="28"/>
      <c r="AK195" s="13"/>
      <c r="AL195" s="28"/>
      <c r="AM195" s="13"/>
      <c r="AN195" s="28"/>
      <c r="AO195" s="13"/>
      <c r="AP195" s="28"/>
      <c r="AQ195" s="13"/>
      <c r="AR195" s="28"/>
      <c r="AS195" s="19">
        <f>SUM(H195,J195,L195,N195,P195,R195,T195,V195,X195,Z195,AB195,AD195,AF195,AH195,AJ195,AL195,AN195)</f>
        <v>0</v>
      </c>
      <c r="AT195" s="29" t="str">
        <f>IF(C195="","",DATE(YEAR(C195),MONTH(C195),1))</f>
        <v/>
      </c>
      <c r="AU195" s="28" t="str">
        <f>IF(AT195="","",TEXT(AT195,"mmmm yyyy"))</f>
        <v/>
      </c>
      <c r="AV195" s="29" t="str">
        <f>IF(C195="","",C195-WEEKDAY(C195,2)+1)</f>
        <v/>
      </c>
      <c r="AW195" s="29" t="str">
        <f>IF(AV195="","",AV195+6)</f>
        <v/>
      </c>
      <c r="AX195" s="28" t="str">
        <f>IF(AV195="","",TEXT(AV195,"dd/mm/yyyy")&amp;" - "&amp;TEXT(AW195,"dd/mm/yyyy"))</f>
        <v/>
      </c>
      <c r="AY195" s="28" t="str">
        <f>IF(B195="","",COUNTIFS($B$5:B195,B195,$AT$5:AT195,AT195))</f>
        <v/>
      </c>
      <c r="AZ195" s="28" t="str">
        <f>IF(B195="","",COUNTIFS($B$5:B195,B195,$AV$5:AV195,AV195))</f>
        <v/>
      </c>
      <c r="BA195" s="28" t="str">
        <f>IF(B195="","",TEXT(AY195,"00")&amp;"|"&amp;B195&amp;"|"&amp;TEXT(AT195,"yyyymmdd"))</f>
        <v/>
      </c>
      <c r="BB195" s="28" t="str">
        <f>IF(B195="","",TEXT(AZ195,"00")&amp;"|"&amp;B195&amp;"|"&amp;TEXT(AV195,"yyyymmdd"))</f>
        <v/>
      </c>
      <c r="BC195" s="28">
        <f>IF(OR(AQ195="YES",AQ195="Yes",AQ195="Y",AQ195=1),1,0)</f>
        <v>0</v>
      </c>
    </row>
    <row r="196" spans="1:55" ht="15" customHeight="1">
      <c r="A196" s="27"/>
      <c r="B196" s="28"/>
      <c r="C196" s="29"/>
      <c r="D196" s="30"/>
      <c r="E196" s="30"/>
      <c r="F196" s="28"/>
      <c r="G196" s="28"/>
      <c r="H196" s="28"/>
      <c r="I196" s="13"/>
      <c r="J196" s="28"/>
      <c r="K196" s="13"/>
      <c r="L196" s="28"/>
      <c r="M196" s="13"/>
      <c r="N196" s="28"/>
      <c r="O196" s="13"/>
      <c r="P196" s="28"/>
      <c r="Q196" s="20"/>
      <c r="R196" s="28"/>
      <c r="S196" s="20"/>
      <c r="T196" s="28"/>
      <c r="U196" s="13"/>
      <c r="V196" s="28"/>
      <c r="W196" s="13"/>
      <c r="X196" s="28"/>
      <c r="Y196" s="13"/>
      <c r="Z196" s="28"/>
      <c r="AA196" s="13"/>
      <c r="AB196" s="28"/>
      <c r="AC196" s="13"/>
      <c r="AD196" s="28"/>
      <c r="AE196" s="13"/>
      <c r="AF196" s="28"/>
      <c r="AG196" s="13"/>
      <c r="AH196" s="28"/>
      <c r="AI196" s="13"/>
      <c r="AJ196" s="28"/>
      <c r="AK196" s="13"/>
      <c r="AL196" s="28"/>
      <c r="AM196" s="13"/>
      <c r="AN196" s="28"/>
      <c r="AO196" s="13"/>
      <c r="AP196" s="28"/>
      <c r="AQ196" s="13"/>
      <c r="AR196" s="28"/>
      <c r="AS196" s="19">
        <f>SUM(H196,J196,L196,N196,P196,R196,T196,V196,X196,Z196,AB196,AD196,AF196,AH196,AJ196,AL196,AN196)</f>
        <v>0</v>
      </c>
      <c r="AT196" s="29" t="str">
        <f>IF(C196="","",DATE(YEAR(C196),MONTH(C196),1))</f>
        <v/>
      </c>
      <c r="AU196" s="28" t="str">
        <f>IF(AT196="","",TEXT(AT196,"mmmm yyyy"))</f>
        <v/>
      </c>
      <c r="AV196" s="29" t="str">
        <f>IF(C196="","",C196-WEEKDAY(C196,2)+1)</f>
        <v/>
      </c>
      <c r="AW196" s="29" t="str">
        <f>IF(AV196="","",AV196+6)</f>
        <v/>
      </c>
      <c r="AX196" s="28" t="str">
        <f>IF(AV196="","",TEXT(AV196,"dd/mm/yyyy")&amp;" - "&amp;TEXT(AW196,"dd/mm/yyyy"))</f>
        <v/>
      </c>
      <c r="AY196" s="28" t="str">
        <f>IF(B196="","",COUNTIFS($B$5:B196,B196,$AT$5:AT196,AT196))</f>
        <v/>
      </c>
      <c r="AZ196" s="28" t="str">
        <f>IF(B196="","",COUNTIFS($B$5:B196,B196,$AV$5:AV196,AV196))</f>
        <v/>
      </c>
      <c r="BA196" s="28" t="str">
        <f>IF(B196="","",TEXT(AY196,"00")&amp;"|"&amp;B196&amp;"|"&amp;TEXT(AT196,"yyyymmdd"))</f>
        <v/>
      </c>
      <c r="BB196" s="28" t="str">
        <f>IF(B196="","",TEXT(AZ196,"00")&amp;"|"&amp;B196&amp;"|"&amp;TEXT(AV196,"yyyymmdd"))</f>
        <v/>
      </c>
      <c r="BC196" s="28">
        <f>IF(OR(AQ196="YES",AQ196="Yes",AQ196="Y",AQ196=1),1,0)</f>
        <v>0</v>
      </c>
    </row>
    <row r="197" spans="1:55" ht="15" customHeight="1">
      <c r="A197" s="27"/>
      <c r="B197" s="28"/>
      <c r="C197" s="29"/>
      <c r="D197" s="30"/>
      <c r="E197" s="30"/>
      <c r="F197" s="28"/>
      <c r="G197" s="28"/>
      <c r="H197" s="28"/>
      <c r="I197" s="13"/>
      <c r="J197" s="28"/>
      <c r="K197" s="13"/>
      <c r="L197" s="28"/>
      <c r="M197" s="13"/>
      <c r="N197" s="28"/>
      <c r="O197" s="13"/>
      <c r="P197" s="28"/>
      <c r="Q197" s="20"/>
      <c r="R197" s="28"/>
      <c r="S197" s="20"/>
      <c r="T197" s="28"/>
      <c r="U197" s="13"/>
      <c r="V197" s="28"/>
      <c r="W197" s="13"/>
      <c r="X197" s="28"/>
      <c r="Y197" s="13"/>
      <c r="Z197" s="28"/>
      <c r="AA197" s="13"/>
      <c r="AB197" s="28"/>
      <c r="AC197" s="13"/>
      <c r="AD197" s="28"/>
      <c r="AE197" s="13"/>
      <c r="AF197" s="28"/>
      <c r="AG197" s="13"/>
      <c r="AH197" s="28"/>
      <c r="AI197" s="13"/>
      <c r="AJ197" s="28"/>
      <c r="AK197" s="13"/>
      <c r="AL197" s="28"/>
      <c r="AM197" s="13"/>
      <c r="AN197" s="28"/>
      <c r="AO197" s="13"/>
      <c r="AP197" s="28"/>
      <c r="AQ197" s="13"/>
      <c r="AR197" s="28"/>
      <c r="AS197" s="19">
        <f>SUM(H197,J197,L197,N197,P197,R197,T197,V197,X197,Z197,AB197,AD197,AF197,AH197,AJ197,AL197,AN197)</f>
        <v>0</v>
      </c>
      <c r="AT197" s="29" t="str">
        <f>IF(C197="","",DATE(YEAR(C197),MONTH(C197),1))</f>
        <v/>
      </c>
      <c r="AU197" s="28" t="str">
        <f>IF(AT197="","",TEXT(AT197,"mmmm yyyy"))</f>
        <v/>
      </c>
      <c r="AV197" s="29" t="str">
        <f>IF(C197="","",C197-WEEKDAY(C197,2)+1)</f>
        <v/>
      </c>
      <c r="AW197" s="29" t="str">
        <f>IF(AV197="","",AV197+6)</f>
        <v/>
      </c>
      <c r="AX197" s="28" t="str">
        <f>IF(AV197="","",TEXT(AV197,"dd/mm/yyyy")&amp;" - "&amp;TEXT(AW197,"dd/mm/yyyy"))</f>
        <v/>
      </c>
      <c r="AY197" s="28" t="str">
        <f>IF(B197="","",COUNTIFS($B$5:B197,B197,$AT$5:AT197,AT197))</f>
        <v/>
      </c>
      <c r="AZ197" s="28" t="str">
        <f>IF(B197="","",COUNTIFS($B$5:B197,B197,$AV$5:AV197,AV197))</f>
        <v/>
      </c>
      <c r="BA197" s="28" t="str">
        <f>IF(B197="","",TEXT(AY197,"00")&amp;"|"&amp;B197&amp;"|"&amp;TEXT(AT197,"yyyymmdd"))</f>
        <v/>
      </c>
      <c r="BB197" s="28" t="str">
        <f>IF(B197="","",TEXT(AZ197,"00")&amp;"|"&amp;B197&amp;"|"&amp;TEXT(AV197,"yyyymmdd"))</f>
        <v/>
      </c>
      <c r="BC197" s="28">
        <f>IF(OR(AQ197="YES",AQ197="Yes",AQ197="Y",AQ197=1),1,0)</f>
        <v>0</v>
      </c>
    </row>
    <row r="198" spans="1:55" ht="15" customHeight="1">
      <c r="A198" s="27"/>
      <c r="B198" s="28"/>
      <c r="C198" s="29"/>
      <c r="D198" s="30"/>
      <c r="E198" s="30"/>
      <c r="F198" s="28"/>
      <c r="G198" s="28"/>
      <c r="H198" s="28"/>
      <c r="I198" s="13"/>
      <c r="J198" s="28"/>
      <c r="K198" s="13"/>
      <c r="L198" s="28"/>
      <c r="M198" s="13"/>
      <c r="N198" s="28"/>
      <c r="O198" s="13"/>
      <c r="P198" s="28"/>
      <c r="Q198" s="20"/>
      <c r="R198" s="28"/>
      <c r="S198" s="20"/>
      <c r="T198" s="28"/>
      <c r="U198" s="13"/>
      <c r="V198" s="28"/>
      <c r="W198" s="13"/>
      <c r="X198" s="28"/>
      <c r="Y198" s="13"/>
      <c r="Z198" s="28"/>
      <c r="AA198" s="13"/>
      <c r="AB198" s="28"/>
      <c r="AC198" s="13"/>
      <c r="AD198" s="28"/>
      <c r="AE198" s="13"/>
      <c r="AF198" s="28"/>
      <c r="AG198" s="13"/>
      <c r="AH198" s="28"/>
      <c r="AI198" s="13"/>
      <c r="AJ198" s="28"/>
      <c r="AK198" s="13"/>
      <c r="AL198" s="28"/>
      <c r="AM198" s="13"/>
      <c r="AN198" s="28"/>
      <c r="AO198" s="13"/>
      <c r="AP198" s="28"/>
      <c r="AQ198" s="13"/>
      <c r="AR198" s="28"/>
      <c r="AS198" s="19">
        <f>SUM(H198,J198,L198,N198,P198,R198,T198,V198,X198,Z198,AB198,AD198,AF198,AH198,AJ198,AL198,AN198)</f>
        <v>0</v>
      </c>
      <c r="AT198" s="29" t="str">
        <f>IF(C198="","",DATE(YEAR(C198),MONTH(C198),1))</f>
        <v/>
      </c>
      <c r="AU198" s="28" t="str">
        <f>IF(AT198="","",TEXT(AT198,"mmmm yyyy"))</f>
        <v/>
      </c>
      <c r="AV198" s="29" t="str">
        <f>IF(C198="","",C198-WEEKDAY(C198,2)+1)</f>
        <v/>
      </c>
      <c r="AW198" s="29" t="str">
        <f>IF(AV198="","",AV198+6)</f>
        <v/>
      </c>
      <c r="AX198" s="28" t="str">
        <f>IF(AV198="","",TEXT(AV198,"dd/mm/yyyy")&amp;" - "&amp;TEXT(AW198,"dd/mm/yyyy"))</f>
        <v/>
      </c>
      <c r="AY198" s="28" t="str">
        <f>IF(B198="","",COUNTIFS($B$5:B198,B198,$AT$5:AT198,AT198))</f>
        <v/>
      </c>
      <c r="AZ198" s="28" t="str">
        <f>IF(B198="","",COUNTIFS($B$5:B198,B198,$AV$5:AV198,AV198))</f>
        <v/>
      </c>
      <c r="BA198" s="28" t="str">
        <f>IF(B198="","",TEXT(AY198,"00")&amp;"|"&amp;B198&amp;"|"&amp;TEXT(AT198,"yyyymmdd"))</f>
        <v/>
      </c>
      <c r="BB198" s="28" t="str">
        <f>IF(B198="","",TEXT(AZ198,"00")&amp;"|"&amp;B198&amp;"|"&amp;TEXT(AV198,"yyyymmdd"))</f>
        <v/>
      </c>
      <c r="BC198" s="28">
        <f>IF(OR(AQ198="YES",AQ198="Yes",AQ198="Y",AQ198=1),1,0)</f>
        <v>0</v>
      </c>
    </row>
    <row r="199" spans="1:55" ht="15" customHeight="1">
      <c r="A199" s="27"/>
      <c r="B199" s="28"/>
      <c r="C199" s="29"/>
      <c r="D199" s="30"/>
      <c r="E199" s="30"/>
      <c r="F199" s="28"/>
      <c r="G199" s="28"/>
      <c r="H199" s="28"/>
      <c r="I199" s="13"/>
      <c r="J199" s="28"/>
      <c r="K199" s="13"/>
      <c r="L199" s="28"/>
      <c r="M199" s="13"/>
      <c r="N199" s="28"/>
      <c r="O199" s="13"/>
      <c r="P199" s="28"/>
      <c r="Q199" s="20"/>
      <c r="R199" s="28"/>
      <c r="S199" s="20"/>
      <c r="T199" s="28"/>
      <c r="U199" s="13"/>
      <c r="V199" s="28"/>
      <c r="W199" s="13"/>
      <c r="X199" s="28"/>
      <c r="Y199" s="13"/>
      <c r="Z199" s="28"/>
      <c r="AA199" s="13"/>
      <c r="AB199" s="28"/>
      <c r="AC199" s="13"/>
      <c r="AD199" s="28"/>
      <c r="AE199" s="13"/>
      <c r="AF199" s="28"/>
      <c r="AG199" s="13"/>
      <c r="AH199" s="28"/>
      <c r="AI199" s="13"/>
      <c r="AJ199" s="28"/>
      <c r="AK199" s="13"/>
      <c r="AL199" s="28"/>
      <c r="AM199" s="13"/>
      <c r="AN199" s="28"/>
      <c r="AO199" s="13"/>
      <c r="AP199" s="28"/>
      <c r="AQ199" s="13"/>
      <c r="AR199" s="28"/>
      <c r="AS199" s="19">
        <f>SUM(H199,J199,L199,N199,P199,R199,T199,V199,X199,Z199,AB199,AD199,AF199,AH199,AJ199,AL199,AN199)</f>
        <v>0</v>
      </c>
      <c r="AT199" s="29" t="str">
        <f>IF(C199="","",DATE(YEAR(C199),MONTH(C199),1))</f>
        <v/>
      </c>
      <c r="AU199" s="28" t="str">
        <f>IF(AT199="","",TEXT(AT199,"mmmm yyyy"))</f>
        <v/>
      </c>
      <c r="AV199" s="29" t="str">
        <f>IF(C199="","",C199-WEEKDAY(C199,2)+1)</f>
        <v/>
      </c>
      <c r="AW199" s="29" t="str">
        <f>IF(AV199="","",AV199+6)</f>
        <v/>
      </c>
      <c r="AX199" s="28" t="str">
        <f>IF(AV199="","",TEXT(AV199,"dd/mm/yyyy")&amp;" - "&amp;TEXT(AW199,"dd/mm/yyyy"))</f>
        <v/>
      </c>
      <c r="AY199" s="28" t="str">
        <f>IF(B199="","",COUNTIFS($B$5:B199,B199,$AT$5:AT199,AT199))</f>
        <v/>
      </c>
      <c r="AZ199" s="28" t="str">
        <f>IF(B199="","",COUNTIFS($B$5:B199,B199,$AV$5:AV199,AV199))</f>
        <v/>
      </c>
      <c r="BA199" s="28" t="str">
        <f>IF(B199="","",TEXT(AY199,"00")&amp;"|"&amp;B199&amp;"|"&amp;TEXT(AT199,"yyyymmdd"))</f>
        <v/>
      </c>
      <c r="BB199" s="28" t="str">
        <f>IF(B199="","",TEXT(AZ199,"00")&amp;"|"&amp;B199&amp;"|"&amp;TEXT(AV199,"yyyymmdd"))</f>
        <v/>
      </c>
      <c r="BC199" s="28">
        <f>IF(OR(AQ199="YES",AQ199="Yes",AQ199="Y",AQ199=1),1,0)</f>
        <v>0</v>
      </c>
    </row>
    <row r="200" spans="1:55" ht="15" customHeight="1">
      <c r="A200" s="27"/>
      <c r="B200" s="28"/>
      <c r="C200" s="29"/>
      <c r="D200" s="30"/>
      <c r="E200" s="30"/>
      <c r="F200" s="28"/>
      <c r="G200" s="28"/>
      <c r="H200" s="28"/>
      <c r="I200" s="13"/>
      <c r="J200" s="28"/>
      <c r="K200" s="13"/>
      <c r="L200" s="28"/>
      <c r="M200" s="13"/>
      <c r="N200" s="28"/>
      <c r="O200" s="13"/>
      <c r="P200" s="28"/>
      <c r="Q200" s="20"/>
      <c r="R200" s="28"/>
      <c r="S200" s="20"/>
      <c r="T200" s="28"/>
      <c r="U200" s="13"/>
      <c r="V200" s="28"/>
      <c r="W200" s="13"/>
      <c r="X200" s="28"/>
      <c r="Y200" s="13"/>
      <c r="Z200" s="28"/>
      <c r="AA200" s="13"/>
      <c r="AB200" s="28"/>
      <c r="AC200" s="13"/>
      <c r="AD200" s="28"/>
      <c r="AE200" s="13"/>
      <c r="AF200" s="28"/>
      <c r="AG200" s="13"/>
      <c r="AH200" s="28"/>
      <c r="AI200" s="13"/>
      <c r="AJ200" s="28"/>
      <c r="AK200" s="13"/>
      <c r="AL200" s="28"/>
      <c r="AM200" s="13"/>
      <c r="AN200" s="28"/>
      <c r="AO200" s="13"/>
      <c r="AP200" s="28"/>
      <c r="AQ200" s="13"/>
      <c r="AR200" s="28"/>
      <c r="AS200" s="19">
        <f>SUM(H200,J200,L200,N200,P200,R200,T200,V200,X200,Z200,AB200,AD200,AF200,AH200,AJ200,AL200,AN200)</f>
        <v>0</v>
      </c>
      <c r="AT200" s="29" t="str">
        <f>IF(C200="","",DATE(YEAR(C200),MONTH(C200),1))</f>
        <v/>
      </c>
      <c r="AU200" s="28" t="str">
        <f>IF(AT200="","",TEXT(AT200,"mmmm yyyy"))</f>
        <v/>
      </c>
      <c r="AV200" s="29" t="str">
        <f>IF(C200="","",C200-WEEKDAY(C200,2)+1)</f>
        <v/>
      </c>
      <c r="AW200" s="29" t="str">
        <f>IF(AV200="","",AV200+6)</f>
        <v/>
      </c>
      <c r="AX200" s="28" t="str">
        <f>IF(AV200="","",TEXT(AV200,"dd/mm/yyyy")&amp;" - "&amp;TEXT(AW200,"dd/mm/yyyy"))</f>
        <v/>
      </c>
      <c r="AY200" s="28" t="str">
        <f>IF(B200="","",COUNTIFS($B$5:B200,B200,$AT$5:AT200,AT200))</f>
        <v/>
      </c>
      <c r="AZ200" s="28" t="str">
        <f>IF(B200="","",COUNTIFS($B$5:B200,B200,$AV$5:AV200,AV200))</f>
        <v/>
      </c>
      <c r="BA200" s="28" t="str">
        <f>IF(B200="","",TEXT(AY200,"00")&amp;"|"&amp;B200&amp;"|"&amp;TEXT(AT200,"yyyymmdd"))</f>
        <v/>
      </c>
      <c r="BB200" s="28" t="str">
        <f>IF(B200="","",TEXT(AZ200,"00")&amp;"|"&amp;B200&amp;"|"&amp;TEXT(AV200,"yyyymmdd"))</f>
        <v/>
      </c>
      <c r="BC200" s="28">
        <f>IF(OR(AQ200="YES",AQ200="Yes",AQ200="Y",AQ200=1),1,0)</f>
        <v>0</v>
      </c>
    </row>
    <row r="201" spans="1:55" ht="15" customHeight="1">
      <c r="A201" s="27"/>
      <c r="B201" s="28"/>
      <c r="C201" s="29"/>
      <c r="D201" s="30"/>
      <c r="E201" s="30"/>
      <c r="F201" s="28"/>
      <c r="G201" s="28"/>
      <c r="H201" s="28"/>
      <c r="I201" s="13"/>
      <c r="J201" s="28"/>
      <c r="K201" s="13"/>
      <c r="L201" s="28"/>
      <c r="M201" s="13"/>
      <c r="N201" s="28"/>
      <c r="O201" s="13"/>
      <c r="P201" s="28"/>
      <c r="Q201" s="20"/>
      <c r="R201" s="28"/>
      <c r="S201" s="20"/>
      <c r="T201" s="28"/>
      <c r="U201" s="13"/>
      <c r="V201" s="28"/>
      <c r="W201" s="13"/>
      <c r="X201" s="28"/>
      <c r="Y201" s="13"/>
      <c r="Z201" s="28"/>
      <c r="AA201" s="13"/>
      <c r="AB201" s="28"/>
      <c r="AC201" s="13"/>
      <c r="AD201" s="28"/>
      <c r="AE201" s="13"/>
      <c r="AF201" s="28"/>
      <c r="AG201" s="13"/>
      <c r="AH201" s="28"/>
      <c r="AI201" s="13"/>
      <c r="AJ201" s="28"/>
      <c r="AK201" s="13"/>
      <c r="AL201" s="28"/>
      <c r="AM201" s="13"/>
      <c r="AN201" s="28"/>
      <c r="AO201" s="13"/>
      <c r="AP201" s="28"/>
      <c r="AQ201" s="13"/>
      <c r="AR201" s="28"/>
      <c r="AS201" s="19">
        <f>SUM(H201,J201,L201,N201,P201,R201,T201,V201,X201,Z201,AB201,AD201,AF201,AH201,AJ201,AL201,AN201)</f>
        <v>0</v>
      </c>
      <c r="AT201" s="29" t="str">
        <f>IF(C201="","",DATE(YEAR(C201),MONTH(C201),1))</f>
        <v/>
      </c>
      <c r="AU201" s="28" t="str">
        <f>IF(AT201="","",TEXT(AT201,"mmmm yyyy"))</f>
        <v/>
      </c>
      <c r="AV201" s="29" t="str">
        <f>IF(C201="","",C201-WEEKDAY(C201,2)+1)</f>
        <v/>
      </c>
      <c r="AW201" s="29" t="str">
        <f>IF(AV201="","",AV201+6)</f>
        <v/>
      </c>
      <c r="AX201" s="28" t="str">
        <f>IF(AV201="","",TEXT(AV201,"dd/mm/yyyy")&amp;" - "&amp;TEXT(AW201,"dd/mm/yyyy"))</f>
        <v/>
      </c>
      <c r="AY201" s="28" t="str">
        <f>IF(B201="","",COUNTIFS($B$5:B201,B201,$AT$5:AT201,AT201))</f>
        <v/>
      </c>
      <c r="AZ201" s="28" t="str">
        <f>IF(B201="","",COUNTIFS($B$5:B201,B201,$AV$5:AV201,AV201))</f>
        <v/>
      </c>
      <c r="BA201" s="28" t="str">
        <f>IF(B201="","",TEXT(AY201,"00")&amp;"|"&amp;B201&amp;"|"&amp;TEXT(AT201,"yyyymmdd"))</f>
        <v/>
      </c>
      <c r="BB201" s="28" t="str">
        <f>IF(B201="","",TEXT(AZ201,"00")&amp;"|"&amp;B201&amp;"|"&amp;TEXT(AV201,"yyyymmdd"))</f>
        <v/>
      </c>
      <c r="BC201" s="28">
        <f>IF(OR(AQ201="YES",AQ201="Yes",AQ201="Y",AQ201=1),1,0)</f>
        <v>0</v>
      </c>
    </row>
    <row r="202" spans="1:55" ht="15" customHeight="1">
      <c r="A202" s="27"/>
      <c r="B202" s="28"/>
      <c r="C202" s="29"/>
      <c r="D202" s="30"/>
      <c r="E202" s="30"/>
      <c r="F202" s="28"/>
      <c r="G202" s="28"/>
      <c r="H202" s="28"/>
      <c r="I202" s="13"/>
      <c r="J202" s="28"/>
      <c r="K202" s="13"/>
      <c r="L202" s="28"/>
      <c r="M202" s="13"/>
      <c r="N202" s="28"/>
      <c r="O202" s="13"/>
      <c r="P202" s="28"/>
      <c r="Q202" s="20"/>
      <c r="R202" s="28"/>
      <c r="S202" s="20"/>
      <c r="T202" s="28"/>
      <c r="U202" s="13"/>
      <c r="V202" s="28"/>
      <c r="W202" s="13"/>
      <c r="X202" s="28"/>
      <c r="Y202" s="13"/>
      <c r="Z202" s="28"/>
      <c r="AA202" s="13"/>
      <c r="AB202" s="28"/>
      <c r="AC202" s="13"/>
      <c r="AD202" s="28"/>
      <c r="AE202" s="13"/>
      <c r="AF202" s="28"/>
      <c r="AG202" s="13"/>
      <c r="AH202" s="28"/>
      <c r="AI202" s="13"/>
      <c r="AJ202" s="28"/>
      <c r="AK202" s="13"/>
      <c r="AL202" s="28"/>
      <c r="AM202" s="13"/>
      <c r="AN202" s="28"/>
      <c r="AO202" s="13"/>
      <c r="AP202" s="28"/>
      <c r="AQ202" s="13"/>
      <c r="AR202" s="28"/>
      <c r="AS202" s="19">
        <f>SUM(H202,J202,L202,N202,P202,R202,T202,V202,X202,Z202,AB202,AD202,AF202,AH202,AJ202,AL202,AN202)</f>
        <v>0</v>
      </c>
      <c r="AT202" s="29" t="str">
        <f>IF(C202="","",DATE(YEAR(C202),MONTH(C202),1))</f>
        <v/>
      </c>
      <c r="AU202" s="28" t="str">
        <f>IF(AT202="","",TEXT(AT202,"mmmm yyyy"))</f>
        <v/>
      </c>
      <c r="AV202" s="29" t="str">
        <f>IF(C202="","",C202-WEEKDAY(C202,2)+1)</f>
        <v/>
      </c>
      <c r="AW202" s="29" t="str">
        <f>IF(AV202="","",AV202+6)</f>
        <v/>
      </c>
      <c r="AX202" s="28" t="str">
        <f>IF(AV202="","",TEXT(AV202,"dd/mm/yyyy")&amp;" - "&amp;TEXT(AW202,"dd/mm/yyyy"))</f>
        <v/>
      </c>
      <c r="AY202" s="28" t="str">
        <f>IF(B202="","",COUNTIFS($B$5:B202,B202,$AT$5:AT202,AT202))</f>
        <v/>
      </c>
      <c r="AZ202" s="28" t="str">
        <f>IF(B202="","",COUNTIFS($B$5:B202,B202,$AV$5:AV202,AV202))</f>
        <v/>
      </c>
      <c r="BA202" s="28" t="str">
        <f>IF(B202="","",TEXT(AY202,"00")&amp;"|"&amp;B202&amp;"|"&amp;TEXT(AT202,"yyyymmdd"))</f>
        <v/>
      </c>
      <c r="BB202" s="28" t="str">
        <f>IF(B202="","",TEXT(AZ202,"00")&amp;"|"&amp;B202&amp;"|"&amp;TEXT(AV202,"yyyymmdd"))</f>
        <v/>
      </c>
      <c r="BC202" s="28">
        <f>IF(OR(AQ202="YES",AQ202="Yes",AQ202="Y",AQ202=1),1,0)</f>
        <v>0</v>
      </c>
    </row>
    <row r="203" spans="1:55" ht="15" customHeight="1">
      <c r="A203" s="27"/>
      <c r="B203" s="28"/>
      <c r="C203" s="29"/>
      <c r="D203" s="30"/>
      <c r="E203" s="30"/>
      <c r="F203" s="28"/>
      <c r="G203" s="28"/>
      <c r="H203" s="28"/>
      <c r="I203" s="13"/>
      <c r="J203" s="28"/>
      <c r="K203" s="13"/>
      <c r="L203" s="28"/>
      <c r="M203" s="13"/>
      <c r="N203" s="28"/>
      <c r="O203" s="13"/>
      <c r="P203" s="28"/>
      <c r="Q203" s="20"/>
      <c r="R203" s="28"/>
      <c r="S203" s="20"/>
      <c r="T203" s="28"/>
      <c r="U203" s="13"/>
      <c r="V203" s="28"/>
      <c r="W203" s="13"/>
      <c r="X203" s="28"/>
      <c r="Y203" s="13"/>
      <c r="Z203" s="28"/>
      <c r="AA203" s="13"/>
      <c r="AB203" s="28"/>
      <c r="AC203" s="13"/>
      <c r="AD203" s="28"/>
      <c r="AE203" s="13"/>
      <c r="AF203" s="28"/>
      <c r="AG203" s="13"/>
      <c r="AH203" s="28"/>
      <c r="AI203" s="13"/>
      <c r="AJ203" s="28"/>
      <c r="AK203" s="13"/>
      <c r="AL203" s="28"/>
      <c r="AM203" s="13"/>
      <c r="AN203" s="28"/>
      <c r="AO203" s="13"/>
      <c r="AP203" s="28"/>
      <c r="AQ203" s="13"/>
      <c r="AR203" s="28"/>
      <c r="AS203" s="19">
        <f>SUM(H203,J203,L203,N203,P203,R203,T203,V203,X203,Z203,AB203,AD203,AF203,AH203,AJ203,AL203,AN203)</f>
        <v>0</v>
      </c>
      <c r="AT203" s="29" t="str">
        <f>IF(C203="","",DATE(YEAR(C203),MONTH(C203),1))</f>
        <v/>
      </c>
      <c r="AU203" s="28" t="str">
        <f>IF(AT203="","",TEXT(AT203,"mmmm yyyy"))</f>
        <v/>
      </c>
      <c r="AV203" s="29" t="str">
        <f>IF(C203="","",C203-WEEKDAY(C203,2)+1)</f>
        <v/>
      </c>
      <c r="AW203" s="29" t="str">
        <f>IF(AV203="","",AV203+6)</f>
        <v/>
      </c>
      <c r="AX203" s="28" t="str">
        <f>IF(AV203="","",TEXT(AV203,"dd/mm/yyyy")&amp;" - "&amp;TEXT(AW203,"dd/mm/yyyy"))</f>
        <v/>
      </c>
      <c r="AY203" s="28" t="str">
        <f>IF(B203="","",COUNTIFS($B$5:B203,B203,$AT$5:AT203,AT203))</f>
        <v/>
      </c>
      <c r="AZ203" s="28" t="str">
        <f>IF(B203="","",COUNTIFS($B$5:B203,B203,$AV$5:AV203,AV203))</f>
        <v/>
      </c>
      <c r="BA203" s="28" t="str">
        <f>IF(B203="","",TEXT(AY203,"00")&amp;"|"&amp;B203&amp;"|"&amp;TEXT(AT203,"yyyymmdd"))</f>
        <v/>
      </c>
      <c r="BB203" s="28" t="str">
        <f>IF(B203="","",TEXT(AZ203,"00")&amp;"|"&amp;B203&amp;"|"&amp;TEXT(AV203,"yyyymmdd"))</f>
        <v/>
      </c>
      <c r="BC203" s="28">
        <f>IF(OR(AQ203="YES",AQ203="Yes",AQ203="Y",AQ203=1),1,0)</f>
        <v>0</v>
      </c>
    </row>
    <row r="204" spans="1:55" ht="15" customHeight="1">
      <c r="A204" s="27"/>
      <c r="B204" s="28"/>
      <c r="C204" s="29"/>
      <c r="D204" s="30"/>
      <c r="E204" s="30"/>
      <c r="F204" s="28"/>
      <c r="G204" s="28"/>
      <c r="H204" s="28"/>
      <c r="I204" s="13"/>
      <c r="J204" s="28"/>
      <c r="K204" s="13"/>
      <c r="L204" s="28"/>
      <c r="M204" s="13"/>
      <c r="N204" s="28"/>
      <c r="O204" s="13"/>
      <c r="P204" s="28"/>
      <c r="Q204" s="20"/>
      <c r="R204" s="28"/>
      <c r="S204" s="20"/>
      <c r="T204" s="28"/>
      <c r="U204" s="13"/>
      <c r="V204" s="28"/>
      <c r="W204" s="13"/>
      <c r="X204" s="28"/>
      <c r="Y204" s="13"/>
      <c r="Z204" s="28"/>
      <c r="AA204" s="13"/>
      <c r="AB204" s="28"/>
      <c r="AC204" s="13"/>
      <c r="AD204" s="28"/>
      <c r="AE204" s="13"/>
      <c r="AF204" s="28"/>
      <c r="AG204" s="13"/>
      <c r="AH204" s="28"/>
      <c r="AI204" s="13"/>
      <c r="AJ204" s="28"/>
      <c r="AK204" s="13"/>
      <c r="AL204" s="28"/>
      <c r="AM204" s="13"/>
      <c r="AN204" s="28"/>
      <c r="AO204" s="13"/>
      <c r="AP204" s="28"/>
      <c r="AQ204" s="13"/>
      <c r="AR204" s="28"/>
      <c r="AS204" s="19">
        <f>SUM(H204,J204,L204,N204,P204,R204,T204,V204,X204,Z204,AB204,AD204,AF204,AH204,AJ204,AL204,AN204)</f>
        <v>0</v>
      </c>
      <c r="AT204" s="29" t="str">
        <f>IF(C204="","",DATE(YEAR(C204),MONTH(C204),1))</f>
        <v/>
      </c>
      <c r="AU204" s="28" t="str">
        <f>IF(AT204="","",TEXT(AT204,"mmmm yyyy"))</f>
        <v/>
      </c>
      <c r="AV204" s="29" t="str">
        <f>IF(C204="","",C204-WEEKDAY(C204,2)+1)</f>
        <v/>
      </c>
      <c r="AW204" s="29" t="str">
        <f>IF(AV204="","",AV204+6)</f>
        <v/>
      </c>
      <c r="AX204" s="28" t="str">
        <f>IF(AV204="","",TEXT(AV204,"dd/mm/yyyy")&amp;" - "&amp;TEXT(AW204,"dd/mm/yyyy"))</f>
        <v/>
      </c>
      <c r="AY204" s="28" t="str">
        <f>IF(B204="","",COUNTIFS($B$5:B204,B204,$AT$5:AT204,AT204))</f>
        <v/>
      </c>
      <c r="AZ204" s="28" t="str">
        <f>IF(B204="","",COUNTIFS($B$5:B204,B204,$AV$5:AV204,AV204))</f>
        <v/>
      </c>
      <c r="BA204" s="28" t="str">
        <f>IF(B204="","",TEXT(AY204,"00")&amp;"|"&amp;B204&amp;"|"&amp;TEXT(AT204,"yyyymmdd"))</f>
        <v/>
      </c>
      <c r="BB204" s="28" t="str">
        <f>IF(B204="","",TEXT(AZ204,"00")&amp;"|"&amp;B204&amp;"|"&amp;TEXT(AV204,"yyyymmdd"))</f>
        <v/>
      </c>
      <c r="BC204" s="28">
        <f>IF(OR(AQ204="YES",AQ204="Yes",AQ204="Y",AQ204=1),1,0)</f>
        <v>0</v>
      </c>
    </row>
    <row r="205" spans="1:55" ht="15" customHeight="1">
      <c r="A205" s="27"/>
      <c r="B205" s="28"/>
      <c r="C205" s="29"/>
      <c r="D205" s="30"/>
      <c r="E205" s="30"/>
      <c r="F205" s="28"/>
      <c r="G205" s="28"/>
      <c r="H205" s="28"/>
      <c r="I205" s="13"/>
      <c r="J205" s="28"/>
      <c r="K205" s="13"/>
      <c r="L205" s="28"/>
      <c r="M205" s="13"/>
      <c r="N205" s="28"/>
      <c r="O205" s="13"/>
      <c r="P205" s="28"/>
      <c r="Q205" s="20"/>
      <c r="R205" s="28"/>
      <c r="S205" s="20"/>
      <c r="T205" s="28"/>
      <c r="U205" s="13"/>
      <c r="V205" s="28"/>
      <c r="W205" s="13"/>
      <c r="X205" s="28"/>
      <c r="Y205" s="13"/>
      <c r="Z205" s="28"/>
      <c r="AA205" s="13"/>
      <c r="AB205" s="28"/>
      <c r="AC205" s="13"/>
      <c r="AD205" s="28"/>
      <c r="AE205" s="13"/>
      <c r="AF205" s="28"/>
      <c r="AG205" s="13"/>
      <c r="AH205" s="28"/>
      <c r="AI205" s="13"/>
      <c r="AJ205" s="28"/>
      <c r="AK205" s="13"/>
      <c r="AL205" s="28"/>
      <c r="AM205" s="13"/>
      <c r="AN205" s="28"/>
      <c r="AO205" s="13"/>
      <c r="AP205" s="28"/>
      <c r="AQ205" s="13"/>
      <c r="AR205" s="28"/>
      <c r="AS205" s="19">
        <f>SUM(H205,J205,L205,N205,P205,R205,T205,V205,X205,Z205,AB205,AD205,AF205,AH205,AJ205,AL205,AN205)</f>
        <v>0</v>
      </c>
      <c r="AT205" s="29" t="str">
        <f>IF(C205="","",DATE(YEAR(C205),MONTH(C205),1))</f>
        <v/>
      </c>
      <c r="AU205" s="28" t="str">
        <f>IF(AT205="","",TEXT(AT205,"mmmm yyyy"))</f>
        <v/>
      </c>
      <c r="AV205" s="29" t="str">
        <f>IF(C205="","",C205-WEEKDAY(C205,2)+1)</f>
        <v/>
      </c>
      <c r="AW205" s="29" t="str">
        <f>IF(AV205="","",AV205+6)</f>
        <v/>
      </c>
      <c r="AX205" s="28" t="str">
        <f>IF(AV205="","",TEXT(AV205,"dd/mm/yyyy")&amp;" - "&amp;TEXT(AW205,"dd/mm/yyyy"))</f>
        <v/>
      </c>
      <c r="AY205" s="28" t="str">
        <f>IF(B205="","",COUNTIFS($B$5:B205,B205,$AT$5:AT205,AT205))</f>
        <v/>
      </c>
      <c r="AZ205" s="28" t="str">
        <f>IF(B205="","",COUNTIFS($B$5:B205,B205,$AV$5:AV205,AV205))</f>
        <v/>
      </c>
      <c r="BA205" s="28" t="str">
        <f>IF(B205="","",TEXT(AY205,"00")&amp;"|"&amp;B205&amp;"|"&amp;TEXT(AT205,"yyyymmdd"))</f>
        <v/>
      </c>
      <c r="BB205" s="28" t="str">
        <f>IF(B205="","",TEXT(AZ205,"00")&amp;"|"&amp;B205&amp;"|"&amp;TEXT(AV205,"yyyymmdd"))</f>
        <v/>
      </c>
      <c r="BC205" s="28">
        <f>IF(OR(AQ205="YES",AQ205="Yes",AQ205="Y",AQ205=1),1,0)</f>
        <v>0</v>
      </c>
    </row>
    <row r="206" spans="1:55" ht="15" customHeight="1">
      <c r="A206" s="27"/>
      <c r="B206" s="28"/>
      <c r="C206" s="29"/>
      <c r="D206" s="30"/>
      <c r="E206" s="30"/>
      <c r="F206" s="28"/>
      <c r="G206" s="28"/>
      <c r="H206" s="28"/>
      <c r="I206" s="13"/>
      <c r="J206" s="28"/>
      <c r="K206" s="13"/>
      <c r="L206" s="28"/>
      <c r="M206" s="13"/>
      <c r="N206" s="28"/>
      <c r="O206" s="13"/>
      <c r="P206" s="28"/>
      <c r="Q206" s="20"/>
      <c r="R206" s="28"/>
      <c r="S206" s="20"/>
      <c r="T206" s="28"/>
      <c r="U206" s="13"/>
      <c r="V206" s="28"/>
      <c r="W206" s="13"/>
      <c r="X206" s="28"/>
      <c r="Y206" s="13"/>
      <c r="Z206" s="28"/>
      <c r="AA206" s="13"/>
      <c r="AB206" s="28"/>
      <c r="AC206" s="13"/>
      <c r="AD206" s="28"/>
      <c r="AE206" s="13"/>
      <c r="AF206" s="28"/>
      <c r="AG206" s="13"/>
      <c r="AH206" s="28"/>
      <c r="AI206" s="13"/>
      <c r="AJ206" s="28"/>
      <c r="AK206" s="13"/>
      <c r="AL206" s="28"/>
      <c r="AM206" s="13"/>
      <c r="AN206" s="28"/>
      <c r="AO206" s="13"/>
      <c r="AP206" s="28"/>
      <c r="AQ206" s="13"/>
      <c r="AR206" s="28"/>
      <c r="AS206" s="19">
        <f>SUM(H206,J206,L206,N206,P206,R206,T206,V206,X206,Z206,AB206,AD206,AF206,AH206,AJ206,AL206,AN206)</f>
        <v>0</v>
      </c>
      <c r="AT206" s="29" t="str">
        <f>IF(C206="","",DATE(YEAR(C206),MONTH(C206),1))</f>
        <v/>
      </c>
      <c r="AU206" s="28" t="str">
        <f>IF(AT206="","",TEXT(AT206,"mmmm yyyy"))</f>
        <v/>
      </c>
      <c r="AV206" s="29" t="str">
        <f>IF(C206="","",C206-WEEKDAY(C206,2)+1)</f>
        <v/>
      </c>
      <c r="AW206" s="29" t="str">
        <f>IF(AV206="","",AV206+6)</f>
        <v/>
      </c>
      <c r="AX206" s="28" t="str">
        <f>IF(AV206="","",TEXT(AV206,"dd/mm/yyyy")&amp;" - "&amp;TEXT(AW206,"dd/mm/yyyy"))</f>
        <v/>
      </c>
      <c r="AY206" s="28" t="str">
        <f>IF(B206="","",COUNTIFS($B$5:B206,B206,$AT$5:AT206,AT206))</f>
        <v/>
      </c>
      <c r="AZ206" s="28" t="str">
        <f>IF(B206="","",COUNTIFS($B$5:B206,B206,$AV$5:AV206,AV206))</f>
        <v/>
      </c>
      <c r="BA206" s="28" t="str">
        <f>IF(B206="","",TEXT(AY206,"00")&amp;"|"&amp;B206&amp;"|"&amp;TEXT(AT206,"yyyymmdd"))</f>
        <v/>
      </c>
      <c r="BB206" s="28" t="str">
        <f>IF(B206="","",TEXT(AZ206,"00")&amp;"|"&amp;B206&amp;"|"&amp;TEXT(AV206,"yyyymmdd"))</f>
        <v/>
      </c>
      <c r="BC206" s="28">
        <f>IF(OR(AQ206="YES",AQ206="Yes",AQ206="Y",AQ206=1),1,0)</f>
        <v>0</v>
      </c>
    </row>
    <row r="207" spans="1:55" ht="15" customHeight="1">
      <c r="A207" s="27"/>
      <c r="B207" s="28"/>
      <c r="C207" s="29"/>
      <c r="D207" s="30"/>
      <c r="E207" s="30"/>
      <c r="F207" s="28"/>
      <c r="G207" s="28"/>
      <c r="H207" s="28"/>
      <c r="I207" s="13"/>
      <c r="J207" s="28"/>
      <c r="K207" s="13"/>
      <c r="L207" s="28"/>
      <c r="M207" s="13"/>
      <c r="N207" s="28"/>
      <c r="O207" s="13"/>
      <c r="P207" s="28"/>
      <c r="Q207" s="20"/>
      <c r="R207" s="28"/>
      <c r="S207" s="20"/>
      <c r="T207" s="28"/>
      <c r="U207" s="13"/>
      <c r="V207" s="28"/>
      <c r="W207" s="13"/>
      <c r="X207" s="28"/>
      <c r="Y207" s="13"/>
      <c r="Z207" s="28"/>
      <c r="AA207" s="13"/>
      <c r="AB207" s="28"/>
      <c r="AC207" s="13"/>
      <c r="AD207" s="28"/>
      <c r="AE207" s="13"/>
      <c r="AF207" s="28"/>
      <c r="AG207" s="13"/>
      <c r="AH207" s="28"/>
      <c r="AI207" s="13"/>
      <c r="AJ207" s="28"/>
      <c r="AK207" s="13"/>
      <c r="AL207" s="28"/>
      <c r="AM207" s="13"/>
      <c r="AN207" s="28"/>
      <c r="AO207" s="13"/>
      <c r="AP207" s="28"/>
      <c r="AQ207" s="13"/>
      <c r="AR207" s="28"/>
      <c r="AS207" s="19">
        <f>SUM(H207,J207,L207,N207,P207,R207,T207,V207,X207,Z207,AB207,AD207,AF207,AH207,AJ207,AL207,AN207)</f>
        <v>0</v>
      </c>
      <c r="AT207" s="29" t="str">
        <f>IF(C207="","",DATE(YEAR(C207),MONTH(C207),1))</f>
        <v/>
      </c>
      <c r="AU207" s="28" t="str">
        <f>IF(AT207="","",TEXT(AT207,"mmmm yyyy"))</f>
        <v/>
      </c>
      <c r="AV207" s="29" t="str">
        <f>IF(C207="","",C207-WEEKDAY(C207,2)+1)</f>
        <v/>
      </c>
      <c r="AW207" s="29" t="str">
        <f>IF(AV207="","",AV207+6)</f>
        <v/>
      </c>
      <c r="AX207" s="28" t="str">
        <f>IF(AV207="","",TEXT(AV207,"dd/mm/yyyy")&amp;" - "&amp;TEXT(AW207,"dd/mm/yyyy"))</f>
        <v/>
      </c>
      <c r="AY207" s="28" t="str">
        <f>IF(B207="","",COUNTIFS($B$5:B207,B207,$AT$5:AT207,AT207))</f>
        <v/>
      </c>
      <c r="AZ207" s="28" t="str">
        <f>IF(B207="","",COUNTIFS($B$5:B207,B207,$AV$5:AV207,AV207))</f>
        <v/>
      </c>
      <c r="BA207" s="28" t="str">
        <f>IF(B207="","",TEXT(AY207,"00")&amp;"|"&amp;B207&amp;"|"&amp;TEXT(AT207,"yyyymmdd"))</f>
        <v/>
      </c>
      <c r="BB207" s="28" t="str">
        <f>IF(B207="","",TEXT(AZ207,"00")&amp;"|"&amp;B207&amp;"|"&amp;TEXT(AV207,"yyyymmdd"))</f>
        <v/>
      </c>
      <c r="BC207" s="28">
        <f>IF(OR(AQ207="YES",AQ207="Yes",AQ207="Y",AQ207=1),1,0)</f>
        <v>0</v>
      </c>
    </row>
    <row r="208" spans="1:55" ht="15" customHeight="1">
      <c r="A208" s="27"/>
      <c r="B208" s="28"/>
      <c r="C208" s="29"/>
      <c r="D208" s="30"/>
      <c r="E208" s="30"/>
      <c r="F208" s="28"/>
      <c r="G208" s="28"/>
      <c r="H208" s="28"/>
      <c r="I208" s="13"/>
      <c r="J208" s="28"/>
      <c r="K208" s="13"/>
      <c r="L208" s="28"/>
      <c r="M208" s="13"/>
      <c r="N208" s="28"/>
      <c r="O208" s="13"/>
      <c r="P208" s="28"/>
      <c r="Q208" s="20"/>
      <c r="R208" s="28"/>
      <c r="S208" s="20"/>
      <c r="T208" s="28"/>
      <c r="U208" s="13"/>
      <c r="V208" s="28"/>
      <c r="W208" s="13"/>
      <c r="X208" s="28"/>
      <c r="Y208" s="13"/>
      <c r="Z208" s="28"/>
      <c r="AA208" s="13"/>
      <c r="AB208" s="28"/>
      <c r="AC208" s="13"/>
      <c r="AD208" s="28"/>
      <c r="AE208" s="13"/>
      <c r="AF208" s="28"/>
      <c r="AG208" s="13"/>
      <c r="AH208" s="28"/>
      <c r="AI208" s="13"/>
      <c r="AJ208" s="28"/>
      <c r="AK208" s="13"/>
      <c r="AL208" s="28"/>
      <c r="AM208" s="13"/>
      <c r="AN208" s="28"/>
      <c r="AO208" s="13"/>
      <c r="AP208" s="28"/>
      <c r="AQ208" s="13"/>
      <c r="AR208" s="28"/>
      <c r="AS208" s="19">
        <f>SUM(H208,J208,L208,N208,P208,R208,T208,V208,X208,Z208,AB208,AD208,AF208,AH208,AJ208,AL208,AN208)</f>
        <v>0</v>
      </c>
      <c r="AT208" s="29" t="str">
        <f>IF(C208="","",DATE(YEAR(C208),MONTH(C208),1))</f>
        <v/>
      </c>
      <c r="AU208" s="28" t="str">
        <f>IF(AT208="","",TEXT(AT208,"mmmm yyyy"))</f>
        <v/>
      </c>
      <c r="AV208" s="29" t="str">
        <f>IF(C208="","",C208-WEEKDAY(C208,2)+1)</f>
        <v/>
      </c>
      <c r="AW208" s="29" t="str">
        <f>IF(AV208="","",AV208+6)</f>
        <v/>
      </c>
      <c r="AX208" s="28" t="str">
        <f>IF(AV208="","",TEXT(AV208,"dd/mm/yyyy")&amp;" - "&amp;TEXT(AW208,"dd/mm/yyyy"))</f>
        <v/>
      </c>
      <c r="AY208" s="28" t="str">
        <f>IF(B208="","",COUNTIFS($B$5:B208,B208,$AT$5:AT208,AT208))</f>
        <v/>
      </c>
      <c r="AZ208" s="28" t="str">
        <f>IF(B208="","",COUNTIFS($B$5:B208,B208,$AV$5:AV208,AV208))</f>
        <v/>
      </c>
      <c r="BA208" s="28" t="str">
        <f>IF(B208="","",TEXT(AY208,"00")&amp;"|"&amp;B208&amp;"|"&amp;TEXT(AT208,"yyyymmdd"))</f>
        <v/>
      </c>
      <c r="BB208" s="28" t="str">
        <f>IF(B208="","",TEXT(AZ208,"00")&amp;"|"&amp;B208&amp;"|"&amp;TEXT(AV208,"yyyymmdd"))</f>
        <v/>
      </c>
      <c r="BC208" s="28">
        <f>IF(OR(AQ208="YES",AQ208="Yes",AQ208="Y",AQ208=1),1,0)</f>
        <v>0</v>
      </c>
    </row>
    <row r="209" spans="1:55" ht="15" customHeight="1">
      <c r="A209" s="27"/>
      <c r="B209" s="28"/>
      <c r="C209" s="29"/>
      <c r="D209" s="30"/>
      <c r="E209" s="30"/>
      <c r="F209" s="28"/>
      <c r="G209" s="28"/>
      <c r="H209" s="28"/>
      <c r="I209" s="13"/>
      <c r="J209" s="28"/>
      <c r="K209" s="13"/>
      <c r="L209" s="28"/>
      <c r="M209" s="13"/>
      <c r="N209" s="28"/>
      <c r="O209" s="13"/>
      <c r="P209" s="28"/>
      <c r="Q209" s="20"/>
      <c r="R209" s="28"/>
      <c r="S209" s="20"/>
      <c r="T209" s="28"/>
      <c r="U209" s="13"/>
      <c r="V209" s="28"/>
      <c r="W209" s="13"/>
      <c r="X209" s="28"/>
      <c r="Y209" s="13"/>
      <c r="Z209" s="28"/>
      <c r="AA209" s="13"/>
      <c r="AB209" s="28"/>
      <c r="AC209" s="13"/>
      <c r="AD209" s="28"/>
      <c r="AE209" s="13"/>
      <c r="AF209" s="28"/>
      <c r="AG209" s="13"/>
      <c r="AH209" s="28"/>
      <c r="AI209" s="13"/>
      <c r="AJ209" s="28"/>
      <c r="AK209" s="13"/>
      <c r="AL209" s="28"/>
      <c r="AM209" s="13"/>
      <c r="AN209" s="28"/>
      <c r="AO209" s="13"/>
      <c r="AP209" s="28"/>
      <c r="AQ209" s="13"/>
      <c r="AR209" s="28"/>
      <c r="AS209" s="19">
        <f>SUM(H209,J209,L209,N209,P209,R209,T209,V209,X209,Z209,AB209,AD209,AF209,AH209,AJ209,AL209,AN209)</f>
        <v>0</v>
      </c>
      <c r="AT209" s="29" t="str">
        <f>IF(C209="","",DATE(YEAR(C209),MONTH(C209),1))</f>
        <v/>
      </c>
      <c r="AU209" s="28" t="str">
        <f>IF(AT209="","",TEXT(AT209,"mmmm yyyy"))</f>
        <v/>
      </c>
      <c r="AV209" s="29" t="str">
        <f>IF(C209="","",C209-WEEKDAY(C209,2)+1)</f>
        <v/>
      </c>
      <c r="AW209" s="29" t="str">
        <f>IF(AV209="","",AV209+6)</f>
        <v/>
      </c>
      <c r="AX209" s="28" t="str">
        <f>IF(AV209="","",TEXT(AV209,"dd/mm/yyyy")&amp;" - "&amp;TEXT(AW209,"dd/mm/yyyy"))</f>
        <v/>
      </c>
      <c r="AY209" s="28" t="str">
        <f>IF(B209="","",COUNTIFS($B$5:B209,B209,$AT$5:AT209,AT209))</f>
        <v/>
      </c>
      <c r="AZ209" s="28" t="str">
        <f>IF(B209="","",COUNTIFS($B$5:B209,B209,$AV$5:AV209,AV209))</f>
        <v/>
      </c>
      <c r="BA209" s="28" t="str">
        <f>IF(B209="","",TEXT(AY209,"00")&amp;"|"&amp;B209&amp;"|"&amp;TEXT(AT209,"yyyymmdd"))</f>
        <v/>
      </c>
      <c r="BB209" s="28" t="str">
        <f>IF(B209="","",TEXT(AZ209,"00")&amp;"|"&amp;B209&amp;"|"&amp;TEXT(AV209,"yyyymmdd"))</f>
        <v/>
      </c>
      <c r="BC209" s="28">
        <f>IF(OR(AQ209="YES",AQ209="Yes",AQ209="Y",AQ209=1),1,0)</f>
        <v>0</v>
      </c>
    </row>
    <row r="210" spans="1:55" ht="15" customHeight="1">
      <c r="A210" s="27"/>
      <c r="B210" s="28"/>
      <c r="C210" s="29"/>
      <c r="D210" s="30"/>
      <c r="E210" s="30"/>
      <c r="F210" s="28"/>
      <c r="G210" s="28"/>
      <c r="H210" s="28"/>
      <c r="I210" s="13"/>
      <c r="J210" s="28"/>
      <c r="K210" s="13"/>
      <c r="L210" s="28"/>
      <c r="M210" s="13"/>
      <c r="N210" s="28"/>
      <c r="O210" s="13"/>
      <c r="P210" s="28"/>
      <c r="Q210" s="20"/>
      <c r="R210" s="28"/>
      <c r="S210" s="20"/>
      <c r="T210" s="28"/>
      <c r="U210" s="13"/>
      <c r="V210" s="28"/>
      <c r="W210" s="13"/>
      <c r="X210" s="28"/>
      <c r="Y210" s="13"/>
      <c r="Z210" s="28"/>
      <c r="AA210" s="13"/>
      <c r="AB210" s="28"/>
      <c r="AC210" s="13"/>
      <c r="AD210" s="28"/>
      <c r="AE210" s="13"/>
      <c r="AF210" s="28"/>
      <c r="AG210" s="13"/>
      <c r="AH210" s="28"/>
      <c r="AI210" s="13"/>
      <c r="AJ210" s="28"/>
      <c r="AK210" s="13"/>
      <c r="AL210" s="28"/>
      <c r="AM210" s="13"/>
      <c r="AN210" s="28"/>
      <c r="AO210" s="13"/>
      <c r="AP210" s="28"/>
      <c r="AQ210" s="13"/>
      <c r="AR210" s="28"/>
      <c r="AS210" s="19">
        <f>SUM(H210,J210,L210,N210,P210,R210,T210,V210,X210,Z210,AB210,AD210,AF210,AH210,AJ210,AL210,AN210)</f>
        <v>0</v>
      </c>
      <c r="AT210" s="29" t="str">
        <f>IF(C210="","",DATE(YEAR(C210),MONTH(C210),1))</f>
        <v/>
      </c>
      <c r="AU210" s="28" t="str">
        <f>IF(AT210="","",TEXT(AT210,"mmmm yyyy"))</f>
        <v/>
      </c>
      <c r="AV210" s="29" t="str">
        <f>IF(C210="","",C210-WEEKDAY(C210,2)+1)</f>
        <v/>
      </c>
      <c r="AW210" s="29" t="str">
        <f>IF(AV210="","",AV210+6)</f>
        <v/>
      </c>
      <c r="AX210" s="28" t="str">
        <f>IF(AV210="","",TEXT(AV210,"dd/mm/yyyy")&amp;" - "&amp;TEXT(AW210,"dd/mm/yyyy"))</f>
        <v/>
      </c>
      <c r="AY210" s="28" t="str">
        <f>IF(B210="","",COUNTIFS($B$5:B210,B210,$AT$5:AT210,AT210))</f>
        <v/>
      </c>
      <c r="AZ210" s="28" t="str">
        <f>IF(B210="","",COUNTIFS($B$5:B210,B210,$AV$5:AV210,AV210))</f>
        <v/>
      </c>
      <c r="BA210" s="28" t="str">
        <f>IF(B210="","",TEXT(AY210,"00")&amp;"|"&amp;B210&amp;"|"&amp;TEXT(AT210,"yyyymmdd"))</f>
        <v/>
      </c>
      <c r="BB210" s="28" t="str">
        <f>IF(B210="","",TEXT(AZ210,"00")&amp;"|"&amp;B210&amp;"|"&amp;TEXT(AV210,"yyyymmdd"))</f>
        <v/>
      </c>
      <c r="BC210" s="28">
        <f>IF(OR(AQ210="YES",AQ210="Yes",AQ210="Y",AQ210=1),1,0)</f>
        <v>0</v>
      </c>
    </row>
    <row r="211" spans="1:55" ht="15" customHeight="1">
      <c r="A211" s="27"/>
      <c r="B211" s="28"/>
      <c r="C211" s="29"/>
      <c r="D211" s="30"/>
      <c r="E211" s="30"/>
      <c r="F211" s="28"/>
      <c r="G211" s="28"/>
      <c r="H211" s="28"/>
      <c r="I211" s="13"/>
      <c r="J211" s="28"/>
      <c r="K211" s="13"/>
      <c r="L211" s="28"/>
      <c r="M211" s="13"/>
      <c r="N211" s="28"/>
      <c r="O211" s="13"/>
      <c r="P211" s="28"/>
      <c r="Q211" s="20"/>
      <c r="R211" s="28"/>
      <c r="S211" s="20"/>
      <c r="T211" s="28"/>
      <c r="U211" s="13"/>
      <c r="V211" s="28"/>
      <c r="W211" s="13"/>
      <c r="X211" s="28"/>
      <c r="Y211" s="13"/>
      <c r="Z211" s="28"/>
      <c r="AA211" s="13"/>
      <c r="AB211" s="28"/>
      <c r="AC211" s="13"/>
      <c r="AD211" s="28"/>
      <c r="AE211" s="13"/>
      <c r="AF211" s="28"/>
      <c r="AG211" s="13"/>
      <c r="AH211" s="28"/>
      <c r="AI211" s="13"/>
      <c r="AJ211" s="28"/>
      <c r="AK211" s="13"/>
      <c r="AL211" s="28"/>
      <c r="AM211" s="13"/>
      <c r="AN211" s="28"/>
      <c r="AO211" s="13"/>
      <c r="AP211" s="28"/>
      <c r="AQ211" s="13"/>
      <c r="AR211" s="28"/>
      <c r="AS211" s="19">
        <f>SUM(H211,J211,L211,N211,P211,R211,T211,V211,X211,Z211,AB211,AD211,AF211,AH211,AJ211,AL211,AN211)</f>
        <v>0</v>
      </c>
      <c r="AT211" s="29" t="str">
        <f>IF(C211="","",DATE(YEAR(C211),MONTH(C211),1))</f>
        <v/>
      </c>
      <c r="AU211" s="28" t="str">
        <f>IF(AT211="","",TEXT(AT211,"mmmm yyyy"))</f>
        <v/>
      </c>
      <c r="AV211" s="29" t="str">
        <f>IF(C211="","",C211-WEEKDAY(C211,2)+1)</f>
        <v/>
      </c>
      <c r="AW211" s="29" t="str">
        <f>IF(AV211="","",AV211+6)</f>
        <v/>
      </c>
      <c r="AX211" s="28" t="str">
        <f>IF(AV211="","",TEXT(AV211,"dd/mm/yyyy")&amp;" - "&amp;TEXT(AW211,"dd/mm/yyyy"))</f>
        <v/>
      </c>
      <c r="AY211" s="28" t="str">
        <f>IF(B211="","",COUNTIFS($B$5:B211,B211,$AT$5:AT211,AT211))</f>
        <v/>
      </c>
      <c r="AZ211" s="28" t="str">
        <f>IF(B211="","",COUNTIFS($B$5:B211,B211,$AV$5:AV211,AV211))</f>
        <v/>
      </c>
      <c r="BA211" s="28" t="str">
        <f>IF(B211="","",TEXT(AY211,"00")&amp;"|"&amp;B211&amp;"|"&amp;TEXT(AT211,"yyyymmdd"))</f>
        <v/>
      </c>
      <c r="BB211" s="28" t="str">
        <f>IF(B211="","",TEXT(AZ211,"00")&amp;"|"&amp;B211&amp;"|"&amp;TEXT(AV211,"yyyymmdd"))</f>
        <v/>
      </c>
      <c r="BC211" s="28">
        <f>IF(OR(AQ211="YES",AQ211="Yes",AQ211="Y",AQ211=1),1,0)</f>
        <v>0</v>
      </c>
    </row>
    <row r="212" spans="1:55" ht="15" customHeight="1">
      <c r="A212" s="27"/>
      <c r="B212" s="28"/>
      <c r="C212" s="29"/>
      <c r="D212" s="30"/>
      <c r="E212" s="30"/>
      <c r="F212" s="28"/>
      <c r="G212" s="28"/>
      <c r="H212" s="28"/>
      <c r="I212" s="13"/>
      <c r="J212" s="28"/>
      <c r="K212" s="13"/>
      <c r="L212" s="28"/>
      <c r="M212" s="13"/>
      <c r="N212" s="28"/>
      <c r="O212" s="13"/>
      <c r="P212" s="28"/>
      <c r="Q212" s="20"/>
      <c r="R212" s="28"/>
      <c r="S212" s="20"/>
      <c r="T212" s="28"/>
      <c r="U212" s="13"/>
      <c r="V212" s="28"/>
      <c r="W212" s="13"/>
      <c r="X212" s="28"/>
      <c r="Y212" s="13"/>
      <c r="Z212" s="28"/>
      <c r="AA212" s="13"/>
      <c r="AB212" s="28"/>
      <c r="AC212" s="13"/>
      <c r="AD212" s="28"/>
      <c r="AE212" s="13"/>
      <c r="AF212" s="28"/>
      <c r="AG212" s="13"/>
      <c r="AH212" s="28"/>
      <c r="AI212" s="13"/>
      <c r="AJ212" s="28"/>
      <c r="AK212" s="13"/>
      <c r="AL212" s="28"/>
      <c r="AM212" s="13"/>
      <c r="AN212" s="28"/>
      <c r="AO212" s="13"/>
      <c r="AP212" s="28"/>
      <c r="AQ212" s="13"/>
      <c r="AR212" s="28"/>
      <c r="AS212" s="19">
        <f>SUM(H212,J212,L212,N212,P212,R212,T212,V212,X212,Z212,AB212,AD212,AF212,AH212,AJ212,AL212,AN212)</f>
        <v>0</v>
      </c>
      <c r="AT212" s="29" t="str">
        <f>IF(C212="","",DATE(YEAR(C212),MONTH(C212),1))</f>
        <v/>
      </c>
      <c r="AU212" s="28" t="str">
        <f>IF(AT212="","",TEXT(AT212,"mmmm yyyy"))</f>
        <v/>
      </c>
      <c r="AV212" s="29" t="str">
        <f>IF(C212="","",C212-WEEKDAY(C212,2)+1)</f>
        <v/>
      </c>
      <c r="AW212" s="29" t="str">
        <f>IF(AV212="","",AV212+6)</f>
        <v/>
      </c>
      <c r="AX212" s="28" t="str">
        <f>IF(AV212="","",TEXT(AV212,"dd/mm/yyyy")&amp;" - "&amp;TEXT(AW212,"dd/mm/yyyy"))</f>
        <v/>
      </c>
      <c r="AY212" s="28" t="str">
        <f>IF(B212="","",COUNTIFS($B$5:B212,B212,$AT$5:AT212,AT212))</f>
        <v/>
      </c>
      <c r="AZ212" s="28" t="str">
        <f>IF(B212="","",COUNTIFS($B$5:B212,B212,$AV$5:AV212,AV212))</f>
        <v/>
      </c>
      <c r="BA212" s="28" t="str">
        <f>IF(B212="","",TEXT(AY212,"00")&amp;"|"&amp;B212&amp;"|"&amp;TEXT(AT212,"yyyymmdd"))</f>
        <v/>
      </c>
      <c r="BB212" s="28" t="str">
        <f>IF(B212="","",TEXT(AZ212,"00")&amp;"|"&amp;B212&amp;"|"&amp;TEXT(AV212,"yyyymmdd"))</f>
        <v/>
      </c>
      <c r="BC212" s="28">
        <f>IF(OR(AQ212="YES",AQ212="Yes",AQ212="Y",AQ212=1),1,0)</f>
        <v>0</v>
      </c>
    </row>
    <row r="213" spans="1:55" ht="15" customHeight="1">
      <c r="A213" s="27"/>
      <c r="B213" s="28"/>
      <c r="C213" s="29"/>
      <c r="D213" s="30"/>
      <c r="E213" s="30"/>
      <c r="F213" s="28"/>
      <c r="G213" s="28"/>
      <c r="H213" s="28"/>
      <c r="I213" s="13"/>
      <c r="J213" s="28"/>
      <c r="K213" s="13"/>
      <c r="L213" s="28"/>
      <c r="M213" s="13"/>
      <c r="N213" s="28"/>
      <c r="O213" s="13"/>
      <c r="P213" s="28"/>
      <c r="Q213" s="20"/>
      <c r="R213" s="28"/>
      <c r="S213" s="20"/>
      <c r="T213" s="28"/>
      <c r="U213" s="13"/>
      <c r="V213" s="28"/>
      <c r="W213" s="13"/>
      <c r="X213" s="28"/>
      <c r="Y213" s="13"/>
      <c r="Z213" s="28"/>
      <c r="AA213" s="13"/>
      <c r="AB213" s="28"/>
      <c r="AC213" s="13"/>
      <c r="AD213" s="28"/>
      <c r="AE213" s="13"/>
      <c r="AF213" s="28"/>
      <c r="AG213" s="13"/>
      <c r="AH213" s="28"/>
      <c r="AI213" s="13"/>
      <c r="AJ213" s="28"/>
      <c r="AK213" s="13"/>
      <c r="AL213" s="28"/>
      <c r="AM213" s="13"/>
      <c r="AN213" s="28"/>
      <c r="AO213" s="13"/>
      <c r="AP213" s="28"/>
      <c r="AQ213" s="13"/>
      <c r="AR213" s="28"/>
      <c r="AS213" s="19">
        <f>SUM(H213,J213,L213,N213,P213,R213,T213,V213,X213,Z213,AB213,AD213,AF213,AH213,AJ213,AL213,AN213)</f>
        <v>0</v>
      </c>
      <c r="AT213" s="29" t="str">
        <f>IF(C213="","",DATE(YEAR(C213),MONTH(C213),1))</f>
        <v/>
      </c>
      <c r="AU213" s="28" t="str">
        <f>IF(AT213="","",TEXT(AT213,"mmmm yyyy"))</f>
        <v/>
      </c>
      <c r="AV213" s="29" t="str">
        <f>IF(C213="","",C213-WEEKDAY(C213,2)+1)</f>
        <v/>
      </c>
      <c r="AW213" s="29" t="str">
        <f>IF(AV213="","",AV213+6)</f>
        <v/>
      </c>
      <c r="AX213" s="28" t="str">
        <f>IF(AV213="","",TEXT(AV213,"dd/mm/yyyy")&amp;" - "&amp;TEXT(AW213,"dd/mm/yyyy"))</f>
        <v/>
      </c>
      <c r="AY213" s="28" t="str">
        <f>IF(B213="","",COUNTIFS($B$5:B213,B213,$AT$5:AT213,AT213))</f>
        <v/>
      </c>
      <c r="AZ213" s="28" t="str">
        <f>IF(B213="","",COUNTIFS($B$5:B213,B213,$AV$5:AV213,AV213))</f>
        <v/>
      </c>
      <c r="BA213" s="28" t="str">
        <f>IF(B213="","",TEXT(AY213,"00")&amp;"|"&amp;B213&amp;"|"&amp;TEXT(AT213,"yyyymmdd"))</f>
        <v/>
      </c>
      <c r="BB213" s="28" t="str">
        <f>IF(B213="","",TEXT(AZ213,"00")&amp;"|"&amp;B213&amp;"|"&amp;TEXT(AV213,"yyyymmdd"))</f>
        <v/>
      </c>
      <c r="BC213" s="28">
        <f>IF(OR(AQ213="YES",AQ213="Yes",AQ213="Y",AQ213=1),1,0)</f>
        <v>0</v>
      </c>
    </row>
    <row r="214" spans="1:55" ht="15" customHeight="1">
      <c r="A214" s="27"/>
      <c r="B214" s="28"/>
      <c r="C214" s="29"/>
      <c r="D214" s="30"/>
      <c r="E214" s="30"/>
      <c r="F214" s="28"/>
      <c r="G214" s="28"/>
      <c r="H214" s="28"/>
      <c r="I214" s="13"/>
      <c r="J214" s="28"/>
      <c r="K214" s="13"/>
      <c r="L214" s="28"/>
      <c r="M214" s="13"/>
      <c r="N214" s="28"/>
      <c r="O214" s="13"/>
      <c r="P214" s="28"/>
      <c r="Q214" s="20"/>
      <c r="R214" s="28"/>
      <c r="S214" s="20"/>
      <c r="T214" s="28"/>
      <c r="U214" s="13"/>
      <c r="V214" s="28"/>
      <c r="W214" s="13"/>
      <c r="X214" s="28"/>
      <c r="Y214" s="13"/>
      <c r="Z214" s="28"/>
      <c r="AA214" s="13"/>
      <c r="AB214" s="28"/>
      <c r="AC214" s="13"/>
      <c r="AD214" s="28"/>
      <c r="AE214" s="13"/>
      <c r="AF214" s="28"/>
      <c r="AG214" s="13"/>
      <c r="AH214" s="28"/>
      <c r="AI214" s="13"/>
      <c r="AJ214" s="28"/>
      <c r="AK214" s="13"/>
      <c r="AL214" s="28"/>
      <c r="AM214" s="13"/>
      <c r="AN214" s="28"/>
      <c r="AO214" s="13"/>
      <c r="AP214" s="28"/>
      <c r="AQ214" s="13"/>
      <c r="AR214" s="28"/>
      <c r="AS214" s="19">
        <f>SUM(H214,J214,L214,N214,P214,R214,T214,V214,X214,Z214,AB214,AD214,AF214,AH214,AJ214,AL214,AN214)</f>
        <v>0</v>
      </c>
      <c r="AT214" s="29" t="str">
        <f>IF(C214="","",DATE(YEAR(C214),MONTH(C214),1))</f>
        <v/>
      </c>
      <c r="AU214" s="28" t="str">
        <f>IF(AT214="","",TEXT(AT214,"mmmm yyyy"))</f>
        <v/>
      </c>
      <c r="AV214" s="29" t="str">
        <f>IF(C214="","",C214-WEEKDAY(C214,2)+1)</f>
        <v/>
      </c>
      <c r="AW214" s="29" t="str">
        <f>IF(AV214="","",AV214+6)</f>
        <v/>
      </c>
      <c r="AX214" s="28" t="str">
        <f>IF(AV214="","",TEXT(AV214,"dd/mm/yyyy")&amp;" - "&amp;TEXT(AW214,"dd/mm/yyyy"))</f>
        <v/>
      </c>
      <c r="AY214" s="28" t="str">
        <f>IF(B214="","",COUNTIFS($B$5:B214,B214,$AT$5:AT214,AT214))</f>
        <v/>
      </c>
      <c r="AZ214" s="28" t="str">
        <f>IF(B214="","",COUNTIFS($B$5:B214,B214,$AV$5:AV214,AV214))</f>
        <v/>
      </c>
      <c r="BA214" s="28" t="str">
        <f>IF(B214="","",TEXT(AY214,"00")&amp;"|"&amp;B214&amp;"|"&amp;TEXT(AT214,"yyyymmdd"))</f>
        <v/>
      </c>
      <c r="BB214" s="28" t="str">
        <f>IF(B214="","",TEXT(AZ214,"00")&amp;"|"&amp;B214&amp;"|"&amp;TEXT(AV214,"yyyymmdd"))</f>
        <v/>
      </c>
      <c r="BC214" s="28">
        <f>IF(OR(AQ214="YES",AQ214="Yes",AQ214="Y",AQ214=1),1,0)</f>
        <v>0</v>
      </c>
    </row>
    <row r="215" spans="1:55" ht="15" customHeight="1">
      <c r="A215" s="27"/>
      <c r="B215" s="28"/>
      <c r="C215" s="29"/>
      <c r="D215" s="30"/>
      <c r="E215" s="30"/>
      <c r="F215" s="28"/>
      <c r="G215" s="28"/>
      <c r="H215" s="28"/>
      <c r="I215" s="13"/>
      <c r="J215" s="28"/>
      <c r="K215" s="13"/>
      <c r="L215" s="28"/>
      <c r="M215" s="13"/>
      <c r="N215" s="28"/>
      <c r="O215" s="13"/>
      <c r="P215" s="28"/>
      <c r="Q215" s="20"/>
      <c r="R215" s="28"/>
      <c r="S215" s="20"/>
      <c r="T215" s="28"/>
      <c r="U215" s="13"/>
      <c r="V215" s="28"/>
      <c r="W215" s="13"/>
      <c r="X215" s="28"/>
      <c r="Y215" s="13"/>
      <c r="Z215" s="28"/>
      <c r="AA215" s="13"/>
      <c r="AB215" s="28"/>
      <c r="AC215" s="13"/>
      <c r="AD215" s="28"/>
      <c r="AE215" s="13"/>
      <c r="AF215" s="28"/>
      <c r="AG215" s="13"/>
      <c r="AH215" s="28"/>
      <c r="AI215" s="13"/>
      <c r="AJ215" s="28"/>
      <c r="AK215" s="13"/>
      <c r="AL215" s="28"/>
      <c r="AM215" s="13"/>
      <c r="AN215" s="28"/>
      <c r="AO215" s="13"/>
      <c r="AP215" s="28"/>
      <c r="AQ215" s="13"/>
      <c r="AR215" s="28"/>
      <c r="AS215" s="19">
        <f>SUM(H215,J215,L215,N215,P215,R215,T215,V215,X215,Z215,AB215,AD215,AF215,AH215,AJ215,AL215,AN215)</f>
        <v>0</v>
      </c>
      <c r="AT215" s="29" t="str">
        <f>IF(C215="","",DATE(YEAR(C215),MONTH(C215),1))</f>
        <v/>
      </c>
      <c r="AU215" s="28" t="str">
        <f>IF(AT215="","",TEXT(AT215,"mmmm yyyy"))</f>
        <v/>
      </c>
      <c r="AV215" s="29" t="str">
        <f>IF(C215="","",C215-WEEKDAY(C215,2)+1)</f>
        <v/>
      </c>
      <c r="AW215" s="29" t="str">
        <f>IF(AV215="","",AV215+6)</f>
        <v/>
      </c>
      <c r="AX215" s="28" t="str">
        <f>IF(AV215="","",TEXT(AV215,"dd/mm/yyyy")&amp;" - "&amp;TEXT(AW215,"dd/mm/yyyy"))</f>
        <v/>
      </c>
      <c r="AY215" s="28" t="str">
        <f>IF(B215="","",COUNTIFS($B$5:B215,B215,$AT$5:AT215,AT215))</f>
        <v/>
      </c>
      <c r="AZ215" s="28" t="str">
        <f>IF(B215="","",COUNTIFS($B$5:B215,B215,$AV$5:AV215,AV215))</f>
        <v/>
      </c>
      <c r="BA215" s="28" t="str">
        <f>IF(B215="","",TEXT(AY215,"00")&amp;"|"&amp;B215&amp;"|"&amp;TEXT(AT215,"yyyymmdd"))</f>
        <v/>
      </c>
      <c r="BB215" s="28" t="str">
        <f>IF(B215="","",TEXT(AZ215,"00")&amp;"|"&amp;B215&amp;"|"&amp;TEXT(AV215,"yyyymmdd"))</f>
        <v/>
      </c>
      <c r="BC215" s="28">
        <f>IF(OR(AQ215="YES",AQ215="Yes",AQ215="Y",AQ215=1),1,0)</f>
        <v>0</v>
      </c>
    </row>
    <row r="216" spans="1:55" ht="15" customHeight="1">
      <c r="A216" s="27"/>
      <c r="B216" s="28"/>
      <c r="C216" s="29"/>
      <c r="D216" s="30"/>
      <c r="E216" s="30"/>
      <c r="F216" s="28"/>
      <c r="G216" s="28"/>
      <c r="H216" s="28"/>
      <c r="I216" s="13"/>
      <c r="J216" s="28"/>
      <c r="K216" s="13"/>
      <c r="L216" s="28"/>
      <c r="M216" s="13"/>
      <c r="N216" s="28"/>
      <c r="O216" s="13"/>
      <c r="P216" s="28"/>
      <c r="Q216" s="20"/>
      <c r="R216" s="28"/>
      <c r="S216" s="20"/>
      <c r="T216" s="28"/>
      <c r="U216" s="13"/>
      <c r="V216" s="28"/>
      <c r="W216" s="13"/>
      <c r="X216" s="28"/>
      <c r="Y216" s="13"/>
      <c r="Z216" s="28"/>
      <c r="AA216" s="13"/>
      <c r="AB216" s="28"/>
      <c r="AC216" s="13"/>
      <c r="AD216" s="28"/>
      <c r="AE216" s="13"/>
      <c r="AF216" s="28"/>
      <c r="AG216" s="13"/>
      <c r="AH216" s="28"/>
      <c r="AI216" s="13"/>
      <c r="AJ216" s="28"/>
      <c r="AK216" s="13"/>
      <c r="AL216" s="28"/>
      <c r="AM216" s="13"/>
      <c r="AN216" s="28"/>
      <c r="AO216" s="13"/>
      <c r="AP216" s="28"/>
      <c r="AQ216" s="13"/>
      <c r="AR216" s="28"/>
      <c r="AS216" s="19">
        <f>SUM(H216,J216,L216,N216,P216,R216,T216,V216,X216,Z216,AB216,AD216,AF216,AH216,AJ216,AL216,AN216)</f>
        <v>0</v>
      </c>
      <c r="AT216" s="29" t="str">
        <f>IF(C216="","",DATE(YEAR(C216),MONTH(C216),1))</f>
        <v/>
      </c>
      <c r="AU216" s="28" t="str">
        <f>IF(AT216="","",TEXT(AT216,"mmmm yyyy"))</f>
        <v/>
      </c>
      <c r="AV216" s="29" t="str">
        <f>IF(C216="","",C216-WEEKDAY(C216,2)+1)</f>
        <v/>
      </c>
      <c r="AW216" s="29" t="str">
        <f>IF(AV216="","",AV216+6)</f>
        <v/>
      </c>
      <c r="AX216" s="28" t="str">
        <f>IF(AV216="","",TEXT(AV216,"dd/mm/yyyy")&amp;" - "&amp;TEXT(AW216,"dd/mm/yyyy"))</f>
        <v/>
      </c>
      <c r="AY216" s="28" t="str">
        <f>IF(B216="","",COUNTIFS($B$5:B216,B216,$AT$5:AT216,AT216))</f>
        <v/>
      </c>
      <c r="AZ216" s="28" t="str">
        <f>IF(B216="","",COUNTIFS($B$5:B216,B216,$AV$5:AV216,AV216))</f>
        <v/>
      </c>
      <c r="BA216" s="28" t="str">
        <f>IF(B216="","",TEXT(AY216,"00")&amp;"|"&amp;B216&amp;"|"&amp;TEXT(AT216,"yyyymmdd"))</f>
        <v/>
      </c>
      <c r="BB216" s="28" t="str">
        <f>IF(B216="","",TEXT(AZ216,"00")&amp;"|"&amp;B216&amp;"|"&amp;TEXT(AV216,"yyyymmdd"))</f>
        <v/>
      </c>
      <c r="BC216" s="28">
        <f>IF(OR(AQ216="YES",AQ216="Yes",AQ216="Y",AQ216=1),1,0)</f>
        <v>0</v>
      </c>
    </row>
    <row r="217" spans="1:55" ht="15" customHeight="1">
      <c r="A217" s="27"/>
      <c r="B217" s="28"/>
      <c r="C217" s="29"/>
      <c r="D217" s="30"/>
      <c r="E217" s="30"/>
      <c r="F217" s="28"/>
      <c r="G217" s="28"/>
      <c r="H217" s="28"/>
      <c r="I217" s="13"/>
      <c r="J217" s="28"/>
      <c r="K217" s="13"/>
      <c r="L217" s="28"/>
      <c r="M217" s="13"/>
      <c r="N217" s="28"/>
      <c r="O217" s="13"/>
      <c r="P217" s="28"/>
      <c r="Q217" s="20"/>
      <c r="R217" s="28"/>
      <c r="S217" s="20"/>
      <c r="T217" s="28"/>
      <c r="U217" s="13"/>
      <c r="V217" s="28"/>
      <c r="W217" s="13"/>
      <c r="X217" s="28"/>
      <c r="Y217" s="13"/>
      <c r="Z217" s="28"/>
      <c r="AA217" s="13"/>
      <c r="AB217" s="28"/>
      <c r="AC217" s="13"/>
      <c r="AD217" s="28"/>
      <c r="AE217" s="13"/>
      <c r="AF217" s="28"/>
      <c r="AG217" s="13"/>
      <c r="AH217" s="28"/>
      <c r="AI217" s="13"/>
      <c r="AJ217" s="28"/>
      <c r="AK217" s="13"/>
      <c r="AL217" s="28"/>
      <c r="AM217" s="13"/>
      <c r="AN217" s="28"/>
      <c r="AO217" s="13"/>
      <c r="AP217" s="28"/>
      <c r="AQ217" s="13"/>
      <c r="AR217" s="28"/>
      <c r="AS217" s="19">
        <f>SUM(H217,J217,L217,N217,P217,R217,T217,V217,X217,Z217,AB217,AD217,AF217,AH217,AJ217,AL217,AN217)</f>
        <v>0</v>
      </c>
      <c r="AT217" s="29" t="str">
        <f>IF(C217="","",DATE(YEAR(C217),MONTH(C217),1))</f>
        <v/>
      </c>
      <c r="AU217" s="28" t="str">
        <f>IF(AT217="","",TEXT(AT217,"mmmm yyyy"))</f>
        <v/>
      </c>
      <c r="AV217" s="29" t="str">
        <f>IF(C217="","",C217-WEEKDAY(C217,2)+1)</f>
        <v/>
      </c>
      <c r="AW217" s="29" t="str">
        <f>IF(AV217="","",AV217+6)</f>
        <v/>
      </c>
      <c r="AX217" s="28" t="str">
        <f>IF(AV217="","",TEXT(AV217,"dd/mm/yyyy")&amp;" - "&amp;TEXT(AW217,"dd/mm/yyyy"))</f>
        <v/>
      </c>
      <c r="AY217" s="28" t="str">
        <f>IF(B217="","",COUNTIFS($B$5:B217,B217,$AT$5:AT217,AT217))</f>
        <v/>
      </c>
      <c r="AZ217" s="28" t="str">
        <f>IF(B217="","",COUNTIFS($B$5:B217,B217,$AV$5:AV217,AV217))</f>
        <v/>
      </c>
      <c r="BA217" s="28" t="str">
        <f>IF(B217="","",TEXT(AY217,"00")&amp;"|"&amp;B217&amp;"|"&amp;TEXT(AT217,"yyyymmdd"))</f>
        <v/>
      </c>
      <c r="BB217" s="28" t="str">
        <f>IF(B217="","",TEXT(AZ217,"00")&amp;"|"&amp;B217&amp;"|"&amp;TEXT(AV217,"yyyymmdd"))</f>
        <v/>
      </c>
      <c r="BC217" s="28">
        <f>IF(OR(AQ217="YES",AQ217="Yes",AQ217="Y",AQ217=1),1,0)</f>
        <v>0</v>
      </c>
    </row>
    <row r="218" spans="1:55" ht="15" customHeight="1">
      <c r="A218" s="27"/>
      <c r="B218" s="28"/>
      <c r="C218" s="29"/>
      <c r="D218" s="30"/>
      <c r="E218" s="30"/>
      <c r="F218" s="28"/>
      <c r="G218" s="28"/>
      <c r="H218" s="28"/>
      <c r="I218" s="13"/>
      <c r="J218" s="28"/>
      <c r="K218" s="13"/>
      <c r="L218" s="28"/>
      <c r="M218" s="13"/>
      <c r="N218" s="28"/>
      <c r="O218" s="13"/>
      <c r="P218" s="28"/>
      <c r="Q218" s="20"/>
      <c r="R218" s="28"/>
      <c r="S218" s="20"/>
      <c r="T218" s="28"/>
      <c r="U218" s="13"/>
      <c r="V218" s="28"/>
      <c r="W218" s="13"/>
      <c r="X218" s="28"/>
      <c r="Y218" s="13"/>
      <c r="Z218" s="28"/>
      <c r="AA218" s="13"/>
      <c r="AB218" s="28"/>
      <c r="AC218" s="13"/>
      <c r="AD218" s="28"/>
      <c r="AE218" s="13"/>
      <c r="AF218" s="28"/>
      <c r="AG218" s="13"/>
      <c r="AH218" s="28"/>
      <c r="AI218" s="13"/>
      <c r="AJ218" s="28"/>
      <c r="AK218" s="13"/>
      <c r="AL218" s="28"/>
      <c r="AM218" s="13"/>
      <c r="AN218" s="28"/>
      <c r="AO218" s="13"/>
      <c r="AP218" s="28"/>
      <c r="AQ218" s="13"/>
      <c r="AR218" s="28"/>
      <c r="AS218" s="19">
        <f>SUM(H218,J218,L218,N218,P218,R218,T218,V218,X218,Z218,AB218,AD218,AF218,AH218,AJ218,AL218,AN218)</f>
        <v>0</v>
      </c>
      <c r="AT218" s="29" t="str">
        <f>IF(C218="","",DATE(YEAR(C218),MONTH(C218),1))</f>
        <v/>
      </c>
      <c r="AU218" s="28" t="str">
        <f>IF(AT218="","",TEXT(AT218,"mmmm yyyy"))</f>
        <v/>
      </c>
      <c r="AV218" s="29" t="str">
        <f>IF(C218="","",C218-WEEKDAY(C218,2)+1)</f>
        <v/>
      </c>
      <c r="AW218" s="29" t="str">
        <f>IF(AV218="","",AV218+6)</f>
        <v/>
      </c>
      <c r="AX218" s="28" t="str">
        <f>IF(AV218="","",TEXT(AV218,"dd/mm/yyyy")&amp;" - "&amp;TEXT(AW218,"dd/mm/yyyy"))</f>
        <v/>
      </c>
      <c r="AY218" s="28" t="str">
        <f>IF(B218="","",COUNTIFS($B$5:B218,B218,$AT$5:AT218,AT218))</f>
        <v/>
      </c>
      <c r="AZ218" s="28" t="str">
        <f>IF(B218="","",COUNTIFS($B$5:B218,B218,$AV$5:AV218,AV218))</f>
        <v/>
      </c>
      <c r="BA218" s="28" t="str">
        <f>IF(B218="","",TEXT(AY218,"00")&amp;"|"&amp;B218&amp;"|"&amp;TEXT(AT218,"yyyymmdd"))</f>
        <v/>
      </c>
      <c r="BB218" s="28" t="str">
        <f>IF(B218="","",TEXT(AZ218,"00")&amp;"|"&amp;B218&amp;"|"&amp;TEXT(AV218,"yyyymmdd"))</f>
        <v/>
      </c>
      <c r="BC218" s="28">
        <f>IF(OR(AQ218="YES",AQ218="Yes",AQ218="Y",AQ218=1),1,0)</f>
        <v>0</v>
      </c>
    </row>
    <row r="219" spans="1:55" ht="15" customHeight="1">
      <c r="A219" s="27"/>
      <c r="B219" s="28"/>
      <c r="C219" s="29"/>
      <c r="D219" s="30"/>
      <c r="E219" s="30"/>
      <c r="F219" s="28"/>
      <c r="G219" s="28"/>
      <c r="H219" s="28"/>
      <c r="I219" s="13"/>
      <c r="J219" s="28"/>
      <c r="K219" s="13"/>
      <c r="L219" s="28"/>
      <c r="M219" s="13"/>
      <c r="N219" s="28"/>
      <c r="O219" s="13"/>
      <c r="P219" s="28"/>
      <c r="Q219" s="20"/>
      <c r="R219" s="28"/>
      <c r="S219" s="20"/>
      <c r="T219" s="28"/>
      <c r="U219" s="13"/>
      <c r="V219" s="28"/>
      <c r="W219" s="13"/>
      <c r="X219" s="28"/>
      <c r="Y219" s="13"/>
      <c r="Z219" s="28"/>
      <c r="AA219" s="13"/>
      <c r="AB219" s="28"/>
      <c r="AC219" s="13"/>
      <c r="AD219" s="28"/>
      <c r="AE219" s="13"/>
      <c r="AF219" s="28"/>
      <c r="AG219" s="13"/>
      <c r="AH219" s="28"/>
      <c r="AI219" s="13"/>
      <c r="AJ219" s="28"/>
      <c r="AK219" s="13"/>
      <c r="AL219" s="28"/>
      <c r="AM219" s="13"/>
      <c r="AN219" s="28"/>
      <c r="AO219" s="13"/>
      <c r="AP219" s="28"/>
      <c r="AQ219" s="13"/>
      <c r="AR219" s="28"/>
      <c r="AS219" s="19">
        <f>SUM(H219,J219,L219,N219,P219,R219,T219,V219,X219,Z219,AB219,AD219,AF219,AH219,AJ219,AL219,AN219)</f>
        <v>0</v>
      </c>
      <c r="AT219" s="29" t="str">
        <f>IF(C219="","",DATE(YEAR(C219),MONTH(C219),1))</f>
        <v/>
      </c>
      <c r="AU219" s="28" t="str">
        <f>IF(AT219="","",TEXT(AT219,"mmmm yyyy"))</f>
        <v/>
      </c>
      <c r="AV219" s="29" t="str">
        <f>IF(C219="","",C219-WEEKDAY(C219,2)+1)</f>
        <v/>
      </c>
      <c r="AW219" s="29" t="str">
        <f>IF(AV219="","",AV219+6)</f>
        <v/>
      </c>
      <c r="AX219" s="28" t="str">
        <f>IF(AV219="","",TEXT(AV219,"dd/mm/yyyy")&amp;" - "&amp;TEXT(AW219,"dd/mm/yyyy"))</f>
        <v/>
      </c>
      <c r="AY219" s="28" t="str">
        <f>IF(B219="","",COUNTIFS($B$5:B219,B219,$AT$5:AT219,AT219))</f>
        <v/>
      </c>
      <c r="AZ219" s="28" t="str">
        <f>IF(B219="","",COUNTIFS($B$5:B219,B219,$AV$5:AV219,AV219))</f>
        <v/>
      </c>
      <c r="BA219" s="28" t="str">
        <f>IF(B219="","",TEXT(AY219,"00")&amp;"|"&amp;B219&amp;"|"&amp;TEXT(AT219,"yyyymmdd"))</f>
        <v/>
      </c>
      <c r="BB219" s="28" t="str">
        <f>IF(B219="","",TEXT(AZ219,"00")&amp;"|"&amp;B219&amp;"|"&amp;TEXT(AV219,"yyyymmdd"))</f>
        <v/>
      </c>
      <c r="BC219" s="28">
        <f>IF(OR(AQ219="YES",AQ219="Yes",AQ219="Y",AQ219=1),1,0)</f>
        <v>0</v>
      </c>
    </row>
    <row r="220" spans="1:55" ht="15" customHeight="1">
      <c r="A220" s="27"/>
      <c r="B220" s="28"/>
      <c r="C220" s="29"/>
      <c r="D220" s="30"/>
      <c r="E220" s="30"/>
      <c r="F220" s="28"/>
      <c r="G220" s="28"/>
      <c r="H220" s="28"/>
      <c r="I220" s="13"/>
      <c r="J220" s="28"/>
      <c r="K220" s="13"/>
      <c r="L220" s="28"/>
      <c r="M220" s="13"/>
      <c r="N220" s="28"/>
      <c r="O220" s="13"/>
      <c r="P220" s="28"/>
      <c r="Q220" s="20"/>
      <c r="R220" s="28"/>
      <c r="S220" s="20"/>
      <c r="T220" s="28"/>
      <c r="U220" s="13"/>
      <c r="V220" s="28"/>
      <c r="W220" s="13"/>
      <c r="X220" s="28"/>
      <c r="Y220" s="13"/>
      <c r="Z220" s="28"/>
      <c r="AA220" s="13"/>
      <c r="AB220" s="28"/>
      <c r="AC220" s="13"/>
      <c r="AD220" s="28"/>
      <c r="AE220" s="13"/>
      <c r="AF220" s="28"/>
      <c r="AG220" s="13"/>
      <c r="AH220" s="28"/>
      <c r="AI220" s="13"/>
      <c r="AJ220" s="28"/>
      <c r="AK220" s="13"/>
      <c r="AL220" s="28"/>
      <c r="AM220" s="13"/>
      <c r="AN220" s="28"/>
      <c r="AO220" s="13"/>
      <c r="AP220" s="28"/>
      <c r="AQ220" s="13"/>
      <c r="AR220" s="28"/>
      <c r="AS220" s="19">
        <f>SUM(H220,J220,L220,N220,P220,R220,T220,V220,X220,Z220,AB220,AD220,AF220,AH220,AJ220,AL220,AN220)</f>
        <v>0</v>
      </c>
      <c r="AT220" s="29" t="str">
        <f>IF(C220="","",DATE(YEAR(C220),MONTH(C220),1))</f>
        <v/>
      </c>
      <c r="AU220" s="28" t="str">
        <f>IF(AT220="","",TEXT(AT220,"mmmm yyyy"))</f>
        <v/>
      </c>
      <c r="AV220" s="29" t="str">
        <f>IF(C220="","",C220-WEEKDAY(C220,2)+1)</f>
        <v/>
      </c>
      <c r="AW220" s="29" t="str">
        <f>IF(AV220="","",AV220+6)</f>
        <v/>
      </c>
      <c r="AX220" s="28" t="str">
        <f>IF(AV220="","",TEXT(AV220,"dd/mm/yyyy")&amp;" - "&amp;TEXT(AW220,"dd/mm/yyyy"))</f>
        <v/>
      </c>
      <c r="AY220" s="28" t="str">
        <f>IF(B220="","",COUNTIFS($B$5:B220,B220,$AT$5:AT220,AT220))</f>
        <v/>
      </c>
      <c r="AZ220" s="28" t="str">
        <f>IF(B220="","",COUNTIFS($B$5:B220,B220,$AV$5:AV220,AV220))</f>
        <v/>
      </c>
      <c r="BA220" s="28" t="str">
        <f>IF(B220="","",TEXT(AY220,"00")&amp;"|"&amp;B220&amp;"|"&amp;TEXT(AT220,"yyyymmdd"))</f>
        <v/>
      </c>
      <c r="BB220" s="28" t="str">
        <f>IF(B220="","",TEXT(AZ220,"00")&amp;"|"&amp;B220&amp;"|"&amp;TEXT(AV220,"yyyymmdd"))</f>
        <v/>
      </c>
      <c r="BC220" s="28">
        <f>IF(OR(AQ220="YES",AQ220="Yes",AQ220="Y",AQ220=1),1,0)</f>
        <v>0</v>
      </c>
    </row>
    <row r="221" spans="1:55" ht="15" customHeight="1">
      <c r="A221" s="27"/>
      <c r="B221" s="28"/>
      <c r="C221" s="29"/>
      <c r="D221" s="30"/>
      <c r="E221" s="30"/>
      <c r="F221" s="28"/>
      <c r="G221" s="28"/>
      <c r="H221" s="28"/>
      <c r="I221" s="13"/>
      <c r="J221" s="28"/>
      <c r="K221" s="13"/>
      <c r="L221" s="28"/>
      <c r="M221" s="13"/>
      <c r="N221" s="28"/>
      <c r="O221" s="13"/>
      <c r="P221" s="28"/>
      <c r="Q221" s="20"/>
      <c r="R221" s="28"/>
      <c r="S221" s="20"/>
      <c r="T221" s="28"/>
      <c r="U221" s="13"/>
      <c r="V221" s="28"/>
      <c r="W221" s="13"/>
      <c r="X221" s="28"/>
      <c r="Y221" s="13"/>
      <c r="Z221" s="28"/>
      <c r="AA221" s="13"/>
      <c r="AB221" s="28"/>
      <c r="AC221" s="13"/>
      <c r="AD221" s="28"/>
      <c r="AE221" s="13"/>
      <c r="AF221" s="28"/>
      <c r="AG221" s="13"/>
      <c r="AH221" s="28"/>
      <c r="AI221" s="13"/>
      <c r="AJ221" s="28"/>
      <c r="AK221" s="13"/>
      <c r="AL221" s="28"/>
      <c r="AM221" s="13"/>
      <c r="AN221" s="28"/>
      <c r="AO221" s="13"/>
      <c r="AP221" s="28"/>
      <c r="AQ221" s="13"/>
      <c r="AR221" s="28"/>
      <c r="AS221" s="19">
        <f>SUM(H221,J221,L221,N221,P221,R221,T221,V221,X221,Z221,AB221,AD221,AF221,AH221,AJ221,AL221,AN221)</f>
        <v>0</v>
      </c>
      <c r="AT221" s="29" t="str">
        <f>IF(C221="","",DATE(YEAR(C221),MONTH(C221),1))</f>
        <v/>
      </c>
      <c r="AU221" s="28" t="str">
        <f>IF(AT221="","",TEXT(AT221,"mmmm yyyy"))</f>
        <v/>
      </c>
      <c r="AV221" s="29" t="str">
        <f>IF(C221="","",C221-WEEKDAY(C221,2)+1)</f>
        <v/>
      </c>
      <c r="AW221" s="29" t="str">
        <f>IF(AV221="","",AV221+6)</f>
        <v/>
      </c>
      <c r="AX221" s="28" t="str">
        <f>IF(AV221="","",TEXT(AV221,"dd/mm/yyyy")&amp;" - "&amp;TEXT(AW221,"dd/mm/yyyy"))</f>
        <v/>
      </c>
      <c r="AY221" s="28" t="str">
        <f>IF(B221="","",COUNTIFS($B$5:B221,B221,$AT$5:AT221,AT221))</f>
        <v/>
      </c>
      <c r="AZ221" s="28" t="str">
        <f>IF(B221="","",COUNTIFS($B$5:B221,B221,$AV$5:AV221,AV221))</f>
        <v/>
      </c>
      <c r="BA221" s="28" t="str">
        <f>IF(B221="","",TEXT(AY221,"00")&amp;"|"&amp;B221&amp;"|"&amp;TEXT(AT221,"yyyymmdd"))</f>
        <v/>
      </c>
      <c r="BB221" s="28" t="str">
        <f>IF(B221="","",TEXT(AZ221,"00")&amp;"|"&amp;B221&amp;"|"&amp;TEXT(AV221,"yyyymmdd"))</f>
        <v/>
      </c>
      <c r="BC221" s="28">
        <f>IF(OR(AQ221="YES",AQ221="Yes",AQ221="Y",AQ221=1),1,0)</f>
        <v>0</v>
      </c>
    </row>
    <row r="222" spans="1:55" ht="15" customHeight="1">
      <c r="A222" s="27"/>
      <c r="B222" s="28"/>
      <c r="C222" s="29"/>
      <c r="D222" s="30"/>
      <c r="E222" s="30"/>
      <c r="F222" s="28"/>
      <c r="G222" s="28"/>
      <c r="H222" s="28"/>
      <c r="I222" s="13"/>
      <c r="J222" s="28"/>
      <c r="K222" s="13"/>
      <c r="L222" s="28"/>
      <c r="M222" s="13"/>
      <c r="N222" s="28"/>
      <c r="O222" s="13"/>
      <c r="P222" s="28"/>
      <c r="Q222" s="20"/>
      <c r="R222" s="28"/>
      <c r="S222" s="20"/>
      <c r="T222" s="28"/>
      <c r="U222" s="13"/>
      <c r="V222" s="28"/>
      <c r="W222" s="13"/>
      <c r="X222" s="28"/>
      <c r="Y222" s="13"/>
      <c r="Z222" s="28"/>
      <c r="AA222" s="13"/>
      <c r="AB222" s="28"/>
      <c r="AC222" s="13"/>
      <c r="AD222" s="28"/>
      <c r="AE222" s="13"/>
      <c r="AF222" s="28"/>
      <c r="AG222" s="13"/>
      <c r="AH222" s="28"/>
      <c r="AI222" s="13"/>
      <c r="AJ222" s="28"/>
      <c r="AK222" s="13"/>
      <c r="AL222" s="28"/>
      <c r="AM222" s="13"/>
      <c r="AN222" s="28"/>
      <c r="AO222" s="13"/>
      <c r="AP222" s="28"/>
      <c r="AQ222" s="13"/>
      <c r="AR222" s="28"/>
      <c r="AS222" s="19">
        <f>SUM(H222,J222,L222,N222,P222,R222,T222,V222,X222,Z222,AB222,AD222,AF222,AH222,AJ222,AL222,AN222)</f>
        <v>0</v>
      </c>
      <c r="AT222" s="29" t="str">
        <f>IF(C222="","",DATE(YEAR(C222),MONTH(C222),1))</f>
        <v/>
      </c>
      <c r="AU222" s="28" t="str">
        <f>IF(AT222="","",TEXT(AT222,"mmmm yyyy"))</f>
        <v/>
      </c>
      <c r="AV222" s="29" t="str">
        <f>IF(C222="","",C222-WEEKDAY(C222,2)+1)</f>
        <v/>
      </c>
      <c r="AW222" s="29" t="str">
        <f>IF(AV222="","",AV222+6)</f>
        <v/>
      </c>
      <c r="AX222" s="28" t="str">
        <f>IF(AV222="","",TEXT(AV222,"dd/mm/yyyy")&amp;" - "&amp;TEXT(AW222,"dd/mm/yyyy"))</f>
        <v/>
      </c>
      <c r="AY222" s="28" t="str">
        <f>IF(B222="","",COUNTIFS($B$5:B222,B222,$AT$5:AT222,AT222))</f>
        <v/>
      </c>
      <c r="AZ222" s="28" t="str">
        <f>IF(B222="","",COUNTIFS($B$5:B222,B222,$AV$5:AV222,AV222))</f>
        <v/>
      </c>
      <c r="BA222" s="28" t="str">
        <f>IF(B222="","",TEXT(AY222,"00")&amp;"|"&amp;B222&amp;"|"&amp;TEXT(AT222,"yyyymmdd"))</f>
        <v/>
      </c>
      <c r="BB222" s="28" t="str">
        <f>IF(B222="","",TEXT(AZ222,"00")&amp;"|"&amp;B222&amp;"|"&amp;TEXT(AV222,"yyyymmdd"))</f>
        <v/>
      </c>
      <c r="BC222" s="28">
        <f>IF(OR(AQ222="YES",AQ222="Yes",AQ222="Y",AQ222=1),1,0)</f>
        <v>0</v>
      </c>
    </row>
    <row r="223" spans="1:55" ht="15" customHeight="1">
      <c r="A223" s="27"/>
      <c r="B223" s="28"/>
      <c r="C223" s="29"/>
      <c r="D223" s="30"/>
      <c r="E223" s="30"/>
      <c r="F223" s="28"/>
      <c r="G223" s="28"/>
      <c r="H223" s="28"/>
      <c r="I223" s="13"/>
      <c r="J223" s="28"/>
      <c r="K223" s="13"/>
      <c r="L223" s="28"/>
      <c r="M223" s="13"/>
      <c r="N223" s="28"/>
      <c r="O223" s="13"/>
      <c r="P223" s="28"/>
      <c r="Q223" s="20"/>
      <c r="R223" s="28"/>
      <c r="S223" s="20"/>
      <c r="T223" s="28"/>
      <c r="U223" s="13"/>
      <c r="V223" s="28"/>
      <c r="W223" s="13"/>
      <c r="X223" s="28"/>
      <c r="Y223" s="13"/>
      <c r="Z223" s="28"/>
      <c r="AA223" s="13"/>
      <c r="AB223" s="28"/>
      <c r="AC223" s="13"/>
      <c r="AD223" s="28"/>
      <c r="AE223" s="13"/>
      <c r="AF223" s="28"/>
      <c r="AG223" s="13"/>
      <c r="AH223" s="28"/>
      <c r="AI223" s="13"/>
      <c r="AJ223" s="28"/>
      <c r="AK223" s="13"/>
      <c r="AL223" s="28"/>
      <c r="AM223" s="13"/>
      <c r="AN223" s="28"/>
      <c r="AO223" s="13"/>
      <c r="AP223" s="28"/>
      <c r="AQ223" s="13"/>
      <c r="AR223" s="28"/>
      <c r="AS223" s="19">
        <f>SUM(H223,J223,L223,N223,P223,R223,T223,V223,X223,Z223,AB223,AD223,AF223,AH223,AJ223,AL223,AN223)</f>
        <v>0</v>
      </c>
      <c r="AT223" s="29" t="str">
        <f>IF(C223="","",DATE(YEAR(C223),MONTH(C223),1))</f>
        <v/>
      </c>
      <c r="AU223" s="28" t="str">
        <f>IF(AT223="","",TEXT(AT223,"mmmm yyyy"))</f>
        <v/>
      </c>
      <c r="AV223" s="29" t="str">
        <f>IF(C223="","",C223-WEEKDAY(C223,2)+1)</f>
        <v/>
      </c>
      <c r="AW223" s="29" t="str">
        <f>IF(AV223="","",AV223+6)</f>
        <v/>
      </c>
      <c r="AX223" s="28" t="str">
        <f>IF(AV223="","",TEXT(AV223,"dd/mm/yyyy")&amp;" - "&amp;TEXT(AW223,"dd/mm/yyyy"))</f>
        <v/>
      </c>
      <c r="AY223" s="28" t="str">
        <f>IF(B223="","",COUNTIFS($B$5:B223,B223,$AT$5:AT223,AT223))</f>
        <v/>
      </c>
      <c r="AZ223" s="28" t="str">
        <f>IF(B223="","",COUNTIFS($B$5:B223,B223,$AV$5:AV223,AV223))</f>
        <v/>
      </c>
      <c r="BA223" s="28" t="str">
        <f>IF(B223="","",TEXT(AY223,"00")&amp;"|"&amp;B223&amp;"|"&amp;TEXT(AT223,"yyyymmdd"))</f>
        <v/>
      </c>
      <c r="BB223" s="28" t="str">
        <f>IF(B223="","",TEXT(AZ223,"00")&amp;"|"&amp;B223&amp;"|"&amp;TEXT(AV223,"yyyymmdd"))</f>
        <v/>
      </c>
      <c r="BC223" s="28">
        <f>IF(OR(AQ223="YES",AQ223="Yes",AQ223="Y",AQ223=1),1,0)</f>
        <v>0</v>
      </c>
    </row>
    <row r="224" spans="1:55" ht="15" customHeight="1">
      <c r="A224" s="27"/>
      <c r="B224" s="28"/>
      <c r="C224" s="29"/>
      <c r="D224" s="30"/>
      <c r="E224" s="30"/>
      <c r="F224" s="28"/>
      <c r="G224" s="28"/>
      <c r="H224" s="28"/>
      <c r="I224" s="13"/>
      <c r="J224" s="28"/>
      <c r="K224" s="13"/>
      <c r="L224" s="28"/>
      <c r="M224" s="13"/>
      <c r="N224" s="28"/>
      <c r="O224" s="13"/>
      <c r="P224" s="28"/>
      <c r="Q224" s="20"/>
      <c r="R224" s="28"/>
      <c r="S224" s="20"/>
      <c r="T224" s="28"/>
      <c r="U224" s="13"/>
      <c r="V224" s="28"/>
      <c r="W224" s="13"/>
      <c r="X224" s="28"/>
      <c r="Y224" s="13"/>
      <c r="Z224" s="28"/>
      <c r="AA224" s="13"/>
      <c r="AB224" s="28"/>
      <c r="AC224" s="13"/>
      <c r="AD224" s="28"/>
      <c r="AE224" s="13"/>
      <c r="AF224" s="28"/>
      <c r="AG224" s="13"/>
      <c r="AH224" s="28"/>
      <c r="AI224" s="13"/>
      <c r="AJ224" s="28"/>
      <c r="AK224" s="13"/>
      <c r="AL224" s="28"/>
      <c r="AM224" s="13"/>
      <c r="AN224" s="28"/>
      <c r="AO224" s="13"/>
      <c r="AP224" s="28"/>
      <c r="AQ224" s="13"/>
      <c r="AR224" s="28"/>
      <c r="AS224" s="19">
        <f>SUM(H224,J224,L224,N224,P224,R224,T224,V224,X224,Z224,AB224,AD224,AF224,AH224,AJ224,AL224,AN224)</f>
        <v>0</v>
      </c>
      <c r="AT224" s="29" t="str">
        <f>IF(C224="","",DATE(YEAR(C224),MONTH(C224),1))</f>
        <v/>
      </c>
      <c r="AU224" s="28" t="str">
        <f>IF(AT224="","",TEXT(AT224,"mmmm yyyy"))</f>
        <v/>
      </c>
      <c r="AV224" s="29" t="str">
        <f>IF(C224="","",C224-WEEKDAY(C224,2)+1)</f>
        <v/>
      </c>
      <c r="AW224" s="29" t="str">
        <f>IF(AV224="","",AV224+6)</f>
        <v/>
      </c>
      <c r="AX224" s="28" t="str">
        <f>IF(AV224="","",TEXT(AV224,"dd/mm/yyyy")&amp;" - "&amp;TEXT(AW224,"dd/mm/yyyy"))</f>
        <v/>
      </c>
      <c r="AY224" s="28" t="str">
        <f>IF(B224="","",COUNTIFS($B$5:B224,B224,$AT$5:AT224,AT224))</f>
        <v/>
      </c>
      <c r="AZ224" s="28" t="str">
        <f>IF(B224="","",COUNTIFS($B$5:B224,B224,$AV$5:AV224,AV224))</f>
        <v/>
      </c>
      <c r="BA224" s="28" t="str">
        <f>IF(B224="","",TEXT(AY224,"00")&amp;"|"&amp;B224&amp;"|"&amp;TEXT(AT224,"yyyymmdd"))</f>
        <v/>
      </c>
      <c r="BB224" s="28" t="str">
        <f>IF(B224="","",TEXT(AZ224,"00")&amp;"|"&amp;B224&amp;"|"&amp;TEXT(AV224,"yyyymmdd"))</f>
        <v/>
      </c>
      <c r="BC224" s="28">
        <f>IF(OR(AQ224="YES",AQ224="Yes",AQ224="Y",AQ224=1),1,0)</f>
        <v>0</v>
      </c>
    </row>
    <row r="225" spans="1:55" ht="15" customHeight="1">
      <c r="A225" s="27"/>
      <c r="B225" s="28"/>
      <c r="C225" s="29"/>
      <c r="D225" s="30"/>
      <c r="E225" s="30"/>
      <c r="F225" s="28"/>
      <c r="G225" s="28"/>
      <c r="H225" s="28"/>
      <c r="I225" s="13"/>
      <c r="J225" s="28"/>
      <c r="K225" s="13"/>
      <c r="L225" s="28"/>
      <c r="M225" s="13"/>
      <c r="N225" s="28"/>
      <c r="O225" s="13"/>
      <c r="P225" s="28"/>
      <c r="Q225" s="20"/>
      <c r="R225" s="28"/>
      <c r="S225" s="20"/>
      <c r="T225" s="28"/>
      <c r="U225" s="13"/>
      <c r="V225" s="28"/>
      <c r="W225" s="13"/>
      <c r="X225" s="28"/>
      <c r="Y225" s="13"/>
      <c r="Z225" s="28"/>
      <c r="AA225" s="13"/>
      <c r="AB225" s="28"/>
      <c r="AC225" s="13"/>
      <c r="AD225" s="28"/>
      <c r="AE225" s="13"/>
      <c r="AF225" s="28"/>
      <c r="AG225" s="13"/>
      <c r="AH225" s="28"/>
      <c r="AI225" s="13"/>
      <c r="AJ225" s="28"/>
      <c r="AK225" s="13"/>
      <c r="AL225" s="28"/>
      <c r="AM225" s="13"/>
      <c r="AN225" s="28"/>
      <c r="AO225" s="13"/>
      <c r="AP225" s="28"/>
      <c r="AQ225" s="13"/>
      <c r="AR225" s="28"/>
      <c r="AS225" s="19">
        <f>SUM(H225,J225,L225,N225,P225,R225,T225,V225,X225,Z225,AB225,AD225,AF225,AH225,AJ225,AL225,AN225)</f>
        <v>0</v>
      </c>
      <c r="AT225" s="29" t="str">
        <f>IF(C225="","",DATE(YEAR(C225),MONTH(C225),1))</f>
        <v/>
      </c>
      <c r="AU225" s="28" t="str">
        <f>IF(AT225="","",TEXT(AT225,"mmmm yyyy"))</f>
        <v/>
      </c>
      <c r="AV225" s="29" t="str">
        <f>IF(C225="","",C225-WEEKDAY(C225,2)+1)</f>
        <v/>
      </c>
      <c r="AW225" s="29" t="str">
        <f>IF(AV225="","",AV225+6)</f>
        <v/>
      </c>
      <c r="AX225" s="28" t="str">
        <f>IF(AV225="","",TEXT(AV225,"dd/mm/yyyy")&amp;" - "&amp;TEXT(AW225,"dd/mm/yyyy"))</f>
        <v/>
      </c>
      <c r="AY225" s="28" t="str">
        <f>IF(B225="","",COUNTIFS($B$5:B225,B225,$AT$5:AT225,AT225))</f>
        <v/>
      </c>
      <c r="AZ225" s="28" t="str">
        <f>IF(B225="","",COUNTIFS($B$5:B225,B225,$AV$5:AV225,AV225))</f>
        <v/>
      </c>
      <c r="BA225" s="28" t="str">
        <f>IF(B225="","",TEXT(AY225,"00")&amp;"|"&amp;B225&amp;"|"&amp;TEXT(AT225,"yyyymmdd"))</f>
        <v/>
      </c>
      <c r="BB225" s="28" t="str">
        <f>IF(B225="","",TEXT(AZ225,"00")&amp;"|"&amp;B225&amp;"|"&amp;TEXT(AV225,"yyyymmdd"))</f>
        <v/>
      </c>
      <c r="BC225" s="28">
        <f>IF(OR(AQ225="YES",AQ225="Yes",AQ225="Y",AQ225=1),1,0)</f>
        <v>0</v>
      </c>
    </row>
    <row r="226" spans="1:55" ht="15" customHeight="1">
      <c r="A226" s="27"/>
      <c r="B226" s="28"/>
      <c r="C226" s="29"/>
      <c r="D226" s="30"/>
      <c r="E226" s="30"/>
      <c r="F226" s="28"/>
      <c r="G226" s="28"/>
      <c r="H226" s="28"/>
      <c r="I226" s="13"/>
      <c r="J226" s="28"/>
      <c r="K226" s="13"/>
      <c r="L226" s="28"/>
      <c r="M226" s="13"/>
      <c r="N226" s="28"/>
      <c r="O226" s="13"/>
      <c r="P226" s="28"/>
      <c r="Q226" s="20"/>
      <c r="R226" s="28"/>
      <c r="S226" s="20"/>
      <c r="T226" s="28"/>
      <c r="U226" s="13"/>
      <c r="V226" s="28"/>
      <c r="W226" s="13"/>
      <c r="X226" s="28"/>
      <c r="Y226" s="13"/>
      <c r="Z226" s="28"/>
      <c r="AA226" s="13"/>
      <c r="AB226" s="28"/>
      <c r="AC226" s="13"/>
      <c r="AD226" s="28"/>
      <c r="AE226" s="13"/>
      <c r="AF226" s="28"/>
      <c r="AG226" s="13"/>
      <c r="AH226" s="28"/>
      <c r="AI226" s="13"/>
      <c r="AJ226" s="28"/>
      <c r="AK226" s="13"/>
      <c r="AL226" s="28"/>
      <c r="AM226" s="13"/>
      <c r="AN226" s="28"/>
      <c r="AO226" s="13"/>
      <c r="AP226" s="28"/>
      <c r="AQ226" s="13"/>
      <c r="AR226" s="28"/>
      <c r="AS226" s="19">
        <f>SUM(H226,J226,L226,N226,P226,R226,T226,V226,X226,Z226,AB226,AD226,AF226,AH226,AJ226,AL226,AN226)</f>
        <v>0</v>
      </c>
      <c r="AT226" s="29" t="str">
        <f>IF(C226="","",DATE(YEAR(C226),MONTH(C226),1))</f>
        <v/>
      </c>
      <c r="AU226" s="28" t="str">
        <f>IF(AT226="","",TEXT(AT226,"mmmm yyyy"))</f>
        <v/>
      </c>
      <c r="AV226" s="29" t="str">
        <f>IF(C226="","",C226-WEEKDAY(C226,2)+1)</f>
        <v/>
      </c>
      <c r="AW226" s="29" t="str">
        <f>IF(AV226="","",AV226+6)</f>
        <v/>
      </c>
      <c r="AX226" s="28" t="str">
        <f>IF(AV226="","",TEXT(AV226,"dd/mm/yyyy")&amp;" - "&amp;TEXT(AW226,"dd/mm/yyyy"))</f>
        <v/>
      </c>
      <c r="AY226" s="28" t="str">
        <f>IF(B226="","",COUNTIFS($B$5:B226,B226,$AT$5:AT226,AT226))</f>
        <v/>
      </c>
      <c r="AZ226" s="28" t="str">
        <f>IF(B226="","",COUNTIFS($B$5:B226,B226,$AV$5:AV226,AV226))</f>
        <v/>
      </c>
      <c r="BA226" s="28" t="str">
        <f>IF(B226="","",TEXT(AY226,"00")&amp;"|"&amp;B226&amp;"|"&amp;TEXT(AT226,"yyyymmdd"))</f>
        <v/>
      </c>
      <c r="BB226" s="28" t="str">
        <f>IF(B226="","",TEXT(AZ226,"00")&amp;"|"&amp;B226&amp;"|"&amp;TEXT(AV226,"yyyymmdd"))</f>
        <v/>
      </c>
      <c r="BC226" s="28">
        <f>IF(OR(AQ226="YES",AQ226="Yes",AQ226="Y",AQ226=1),1,0)</f>
        <v>0</v>
      </c>
    </row>
    <row r="227" spans="1:55" ht="15" customHeight="1">
      <c r="A227" s="27"/>
      <c r="B227" s="28"/>
      <c r="C227" s="29"/>
      <c r="D227" s="30"/>
      <c r="E227" s="30"/>
      <c r="F227" s="28"/>
      <c r="G227" s="28"/>
      <c r="H227" s="28"/>
      <c r="I227" s="13"/>
      <c r="J227" s="28"/>
      <c r="K227" s="13"/>
      <c r="L227" s="28"/>
      <c r="M227" s="13"/>
      <c r="N227" s="28"/>
      <c r="O227" s="13"/>
      <c r="P227" s="28"/>
      <c r="Q227" s="20"/>
      <c r="R227" s="28"/>
      <c r="S227" s="20"/>
      <c r="T227" s="28"/>
      <c r="U227" s="13"/>
      <c r="V227" s="28"/>
      <c r="W227" s="13"/>
      <c r="X227" s="28"/>
      <c r="Y227" s="13"/>
      <c r="Z227" s="28"/>
      <c r="AA227" s="13"/>
      <c r="AB227" s="28"/>
      <c r="AC227" s="13"/>
      <c r="AD227" s="28"/>
      <c r="AE227" s="13"/>
      <c r="AF227" s="28"/>
      <c r="AG227" s="13"/>
      <c r="AH227" s="28"/>
      <c r="AI227" s="13"/>
      <c r="AJ227" s="28"/>
      <c r="AK227" s="13"/>
      <c r="AL227" s="28"/>
      <c r="AM227" s="13"/>
      <c r="AN227" s="28"/>
      <c r="AO227" s="13"/>
      <c r="AP227" s="28"/>
      <c r="AQ227" s="13"/>
      <c r="AR227" s="28"/>
      <c r="AS227" s="19">
        <f>SUM(H227,J227,L227,N227,P227,R227,T227,V227,X227,Z227,AB227,AD227,AF227,AH227,AJ227,AL227,AN227)</f>
        <v>0</v>
      </c>
      <c r="AT227" s="29" t="str">
        <f>IF(C227="","",DATE(YEAR(C227),MONTH(C227),1))</f>
        <v/>
      </c>
      <c r="AU227" s="28" t="str">
        <f>IF(AT227="","",TEXT(AT227,"mmmm yyyy"))</f>
        <v/>
      </c>
      <c r="AV227" s="29" t="str">
        <f>IF(C227="","",C227-WEEKDAY(C227,2)+1)</f>
        <v/>
      </c>
      <c r="AW227" s="29" t="str">
        <f>IF(AV227="","",AV227+6)</f>
        <v/>
      </c>
      <c r="AX227" s="28" t="str">
        <f>IF(AV227="","",TEXT(AV227,"dd/mm/yyyy")&amp;" - "&amp;TEXT(AW227,"dd/mm/yyyy"))</f>
        <v/>
      </c>
      <c r="AY227" s="28" t="str">
        <f>IF(B227="","",COUNTIFS($B$5:B227,B227,$AT$5:AT227,AT227))</f>
        <v/>
      </c>
      <c r="AZ227" s="28" t="str">
        <f>IF(B227="","",COUNTIFS($B$5:B227,B227,$AV$5:AV227,AV227))</f>
        <v/>
      </c>
      <c r="BA227" s="28" t="str">
        <f>IF(B227="","",TEXT(AY227,"00")&amp;"|"&amp;B227&amp;"|"&amp;TEXT(AT227,"yyyymmdd"))</f>
        <v/>
      </c>
      <c r="BB227" s="28" t="str">
        <f>IF(B227="","",TEXT(AZ227,"00")&amp;"|"&amp;B227&amp;"|"&amp;TEXT(AV227,"yyyymmdd"))</f>
        <v/>
      </c>
      <c r="BC227" s="28">
        <f>IF(OR(AQ227="YES",AQ227="Yes",AQ227="Y",AQ227=1),1,0)</f>
        <v>0</v>
      </c>
    </row>
    <row r="228" spans="1:55" ht="15" customHeight="1">
      <c r="A228" s="27"/>
      <c r="B228" s="28"/>
      <c r="C228" s="29"/>
      <c r="D228" s="30"/>
      <c r="E228" s="30"/>
      <c r="F228" s="28"/>
      <c r="G228" s="28"/>
      <c r="H228" s="28"/>
      <c r="I228" s="13"/>
      <c r="J228" s="28"/>
      <c r="K228" s="13"/>
      <c r="L228" s="28"/>
      <c r="M228" s="13"/>
      <c r="N228" s="28"/>
      <c r="O228" s="13"/>
      <c r="P228" s="28"/>
      <c r="Q228" s="20"/>
      <c r="R228" s="28"/>
      <c r="S228" s="20"/>
      <c r="T228" s="28"/>
      <c r="U228" s="13"/>
      <c r="V228" s="28"/>
      <c r="W228" s="13"/>
      <c r="X228" s="28"/>
      <c r="Y228" s="13"/>
      <c r="Z228" s="28"/>
      <c r="AA228" s="13"/>
      <c r="AB228" s="28"/>
      <c r="AC228" s="13"/>
      <c r="AD228" s="28"/>
      <c r="AE228" s="13"/>
      <c r="AF228" s="28"/>
      <c r="AG228" s="13"/>
      <c r="AH228" s="28"/>
      <c r="AI228" s="13"/>
      <c r="AJ228" s="28"/>
      <c r="AK228" s="13"/>
      <c r="AL228" s="28"/>
      <c r="AM228" s="13"/>
      <c r="AN228" s="28"/>
      <c r="AO228" s="13"/>
      <c r="AP228" s="28"/>
      <c r="AQ228" s="13"/>
      <c r="AR228" s="28"/>
      <c r="AS228" s="19">
        <f>SUM(H228,J228,L228,N228,P228,R228,T228,V228,X228,Z228,AB228,AD228,AF228,AH228,AJ228,AL228,AN228)</f>
        <v>0</v>
      </c>
      <c r="AT228" s="29" t="str">
        <f>IF(C228="","",DATE(YEAR(C228),MONTH(C228),1))</f>
        <v/>
      </c>
      <c r="AU228" s="28" t="str">
        <f>IF(AT228="","",TEXT(AT228,"mmmm yyyy"))</f>
        <v/>
      </c>
      <c r="AV228" s="29" t="str">
        <f>IF(C228="","",C228-WEEKDAY(C228,2)+1)</f>
        <v/>
      </c>
      <c r="AW228" s="29" t="str">
        <f>IF(AV228="","",AV228+6)</f>
        <v/>
      </c>
      <c r="AX228" s="28" t="str">
        <f>IF(AV228="","",TEXT(AV228,"dd/mm/yyyy")&amp;" - "&amp;TEXT(AW228,"dd/mm/yyyy"))</f>
        <v/>
      </c>
      <c r="AY228" s="28" t="str">
        <f>IF(B228="","",COUNTIFS($B$5:B228,B228,$AT$5:AT228,AT228))</f>
        <v/>
      </c>
      <c r="AZ228" s="28" t="str">
        <f>IF(B228="","",COUNTIFS($B$5:B228,B228,$AV$5:AV228,AV228))</f>
        <v/>
      </c>
      <c r="BA228" s="28" t="str">
        <f>IF(B228="","",TEXT(AY228,"00")&amp;"|"&amp;B228&amp;"|"&amp;TEXT(AT228,"yyyymmdd"))</f>
        <v/>
      </c>
      <c r="BB228" s="28" t="str">
        <f>IF(B228="","",TEXT(AZ228,"00")&amp;"|"&amp;B228&amp;"|"&amp;TEXT(AV228,"yyyymmdd"))</f>
        <v/>
      </c>
      <c r="BC228" s="28">
        <f>IF(OR(AQ228="YES",AQ228="Yes",AQ228="Y",AQ228=1),1,0)</f>
        <v>0</v>
      </c>
    </row>
    <row r="229" spans="1:55" ht="15" customHeight="1">
      <c r="A229" s="27"/>
      <c r="B229" s="28"/>
      <c r="C229" s="29"/>
      <c r="D229" s="30"/>
      <c r="E229" s="30"/>
      <c r="F229" s="28"/>
      <c r="G229" s="28"/>
      <c r="H229" s="28"/>
      <c r="I229" s="13"/>
      <c r="J229" s="28"/>
      <c r="K229" s="13"/>
      <c r="L229" s="28"/>
      <c r="M229" s="13"/>
      <c r="N229" s="28"/>
      <c r="O229" s="13"/>
      <c r="P229" s="28"/>
      <c r="Q229" s="20"/>
      <c r="R229" s="28"/>
      <c r="S229" s="20"/>
      <c r="T229" s="28"/>
      <c r="U229" s="13"/>
      <c r="V229" s="28"/>
      <c r="W229" s="13"/>
      <c r="X229" s="28"/>
      <c r="Y229" s="13"/>
      <c r="Z229" s="28"/>
      <c r="AA229" s="13"/>
      <c r="AB229" s="28"/>
      <c r="AC229" s="13"/>
      <c r="AD229" s="28"/>
      <c r="AE229" s="13"/>
      <c r="AF229" s="28"/>
      <c r="AG229" s="13"/>
      <c r="AH229" s="28"/>
      <c r="AI229" s="13"/>
      <c r="AJ229" s="28"/>
      <c r="AK229" s="13"/>
      <c r="AL229" s="28"/>
      <c r="AM229" s="13"/>
      <c r="AN229" s="28"/>
      <c r="AO229" s="13"/>
      <c r="AP229" s="28"/>
      <c r="AQ229" s="13"/>
      <c r="AR229" s="28"/>
      <c r="AS229" s="19">
        <f>SUM(H229,J229,L229,N229,P229,R229,T229,V229,X229,Z229,AB229,AD229,AF229,AH229,AJ229,AL229,AN229)</f>
        <v>0</v>
      </c>
      <c r="AT229" s="29" t="str">
        <f>IF(C229="","",DATE(YEAR(C229),MONTH(C229),1))</f>
        <v/>
      </c>
      <c r="AU229" s="28" t="str">
        <f>IF(AT229="","",TEXT(AT229,"mmmm yyyy"))</f>
        <v/>
      </c>
      <c r="AV229" s="29" t="str">
        <f>IF(C229="","",C229-WEEKDAY(C229,2)+1)</f>
        <v/>
      </c>
      <c r="AW229" s="29" t="str">
        <f>IF(AV229="","",AV229+6)</f>
        <v/>
      </c>
      <c r="AX229" s="28" t="str">
        <f>IF(AV229="","",TEXT(AV229,"dd/mm/yyyy")&amp;" - "&amp;TEXT(AW229,"dd/mm/yyyy"))</f>
        <v/>
      </c>
      <c r="AY229" s="28" t="str">
        <f>IF(B229="","",COUNTIFS($B$5:B229,B229,$AT$5:AT229,AT229))</f>
        <v/>
      </c>
      <c r="AZ229" s="28" t="str">
        <f>IF(B229="","",COUNTIFS($B$5:B229,B229,$AV$5:AV229,AV229))</f>
        <v/>
      </c>
      <c r="BA229" s="28" t="str">
        <f>IF(B229="","",TEXT(AY229,"00")&amp;"|"&amp;B229&amp;"|"&amp;TEXT(AT229,"yyyymmdd"))</f>
        <v/>
      </c>
      <c r="BB229" s="28" t="str">
        <f>IF(B229="","",TEXT(AZ229,"00")&amp;"|"&amp;B229&amp;"|"&amp;TEXT(AV229,"yyyymmdd"))</f>
        <v/>
      </c>
      <c r="BC229" s="28">
        <f>IF(OR(AQ229="YES",AQ229="Yes",AQ229="Y",AQ229=1),1,0)</f>
        <v>0</v>
      </c>
    </row>
    <row r="230" spans="1:55" ht="15" customHeight="1">
      <c r="A230" s="27"/>
      <c r="B230" s="28"/>
      <c r="C230" s="29"/>
      <c r="D230" s="30"/>
      <c r="E230" s="30"/>
      <c r="F230" s="28"/>
      <c r="G230" s="28"/>
      <c r="H230" s="28"/>
      <c r="I230" s="13"/>
      <c r="J230" s="28"/>
      <c r="K230" s="13"/>
      <c r="L230" s="28"/>
      <c r="M230" s="13"/>
      <c r="N230" s="28"/>
      <c r="O230" s="13"/>
      <c r="P230" s="28"/>
      <c r="Q230" s="20"/>
      <c r="R230" s="28"/>
      <c r="S230" s="20"/>
      <c r="T230" s="28"/>
      <c r="U230" s="13"/>
      <c r="V230" s="28"/>
      <c r="W230" s="13"/>
      <c r="X230" s="28"/>
      <c r="Y230" s="13"/>
      <c r="Z230" s="28"/>
      <c r="AA230" s="13"/>
      <c r="AB230" s="28"/>
      <c r="AC230" s="13"/>
      <c r="AD230" s="28"/>
      <c r="AE230" s="13"/>
      <c r="AF230" s="28"/>
      <c r="AG230" s="13"/>
      <c r="AH230" s="28"/>
      <c r="AI230" s="13"/>
      <c r="AJ230" s="28"/>
      <c r="AK230" s="13"/>
      <c r="AL230" s="28"/>
      <c r="AM230" s="13"/>
      <c r="AN230" s="28"/>
      <c r="AO230" s="13"/>
      <c r="AP230" s="28"/>
      <c r="AQ230" s="13"/>
      <c r="AR230" s="28"/>
      <c r="AS230" s="19">
        <f>SUM(H230,J230,L230,N230,P230,R230,T230,V230,X230,Z230,AB230,AD230,AF230,AH230,AJ230,AL230,AN230)</f>
        <v>0</v>
      </c>
      <c r="AT230" s="29" t="str">
        <f>IF(C230="","",DATE(YEAR(C230),MONTH(C230),1))</f>
        <v/>
      </c>
      <c r="AU230" s="28" t="str">
        <f>IF(AT230="","",TEXT(AT230,"mmmm yyyy"))</f>
        <v/>
      </c>
      <c r="AV230" s="29" t="str">
        <f>IF(C230="","",C230-WEEKDAY(C230,2)+1)</f>
        <v/>
      </c>
      <c r="AW230" s="29" t="str">
        <f>IF(AV230="","",AV230+6)</f>
        <v/>
      </c>
      <c r="AX230" s="28" t="str">
        <f>IF(AV230="","",TEXT(AV230,"dd/mm/yyyy")&amp;" - "&amp;TEXT(AW230,"dd/mm/yyyy"))</f>
        <v/>
      </c>
      <c r="AY230" s="28" t="str">
        <f>IF(B230="","",COUNTIFS($B$5:B230,B230,$AT$5:AT230,AT230))</f>
        <v/>
      </c>
      <c r="AZ230" s="28" t="str">
        <f>IF(B230="","",COUNTIFS($B$5:B230,B230,$AV$5:AV230,AV230))</f>
        <v/>
      </c>
      <c r="BA230" s="28" t="str">
        <f>IF(B230="","",TEXT(AY230,"00")&amp;"|"&amp;B230&amp;"|"&amp;TEXT(AT230,"yyyymmdd"))</f>
        <v/>
      </c>
      <c r="BB230" s="28" t="str">
        <f>IF(B230="","",TEXT(AZ230,"00")&amp;"|"&amp;B230&amp;"|"&amp;TEXT(AV230,"yyyymmdd"))</f>
        <v/>
      </c>
      <c r="BC230" s="28">
        <f>IF(OR(AQ230="YES",AQ230="Yes",AQ230="Y",AQ230=1),1,0)</f>
        <v>0</v>
      </c>
    </row>
    <row r="231" spans="1:55" ht="15" customHeight="1">
      <c r="A231" s="27"/>
      <c r="B231" s="28"/>
      <c r="C231" s="29"/>
      <c r="D231" s="30"/>
      <c r="E231" s="30"/>
      <c r="F231" s="28"/>
      <c r="G231" s="28"/>
      <c r="H231" s="28"/>
      <c r="I231" s="13"/>
      <c r="J231" s="28"/>
      <c r="K231" s="13"/>
      <c r="L231" s="28"/>
      <c r="M231" s="13"/>
      <c r="N231" s="28"/>
      <c r="O231" s="13"/>
      <c r="P231" s="28"/>
      <c r="Q231" s="20"/>
      <c r="R231" s="28"/>
      <c r="S231" s="20"/>
      <c r="T231" s="28"/>
      <c r="U231" s="13"/>
      <c r="V231" s="28"/>
      <c r="W231" s="13"/>
      <c r="X231" s="28"/>
      <c r="Y231" s="13"/>
      <c r="Z231" s="28"/>
      <c r="AA231" s="13"/>
      <c r="AB231" s="28"/>
      <c r="AC231" s="13"/>
      <c r="AD231" s="28"/>
      <c r="AE231" s="13"/>
      <c r="AF231" s="28"/>
      <c r="AG231" s="13"/>
      <c r="AH231" s="28"/>
      <c r="AI231" s="13"/>
      <c r="AJ231" s="28"/>
      <c r="AK231" s="13"/>
      <c r="AL231" s="28"/>
      <c r="AM231" s="13"/>
      <c r="AN231" s="28"/>
      <c r="AO231" s="13"/>
      <c r="AP231" s="28"/>
      <c r="AQ231" s="13"/>
      <c r="AR231" s="28"/>
      <c r="AS231" s="19">
        <f>SUM(H231,J231,L231,N231,P231,R231,T231,V231,X231,Z231,AB231,AD231,AF231,AH231,AJ231,AL231,AN231)</f>
        <v>0</v>
      </c>
      <c r="AT231" s="29" t="str">
        <f>IF(C231="","",DATE(YEAR(C231),MONTH(C231),1))</f>
        <v/>
      </c>
      <c r="AU231" s="28" t="str">
        <f>IF(AT231="","",TEXT(AT231,"mmmm yyyy"))</f>
        <v/>
      </c>
      <c r="AV231" s="29" t="str">
        <f>IF(C231="","",C231-WEEKDAY(C231,2)+1)</f>
        <v/>
      </c>
      <c r="AW231" s="29" t="str">
        <f>IF(AV231="","",AV231+6)</f>
        <v/>
      </c>
      <c r="AX231" s="28" t="str">
        <f>IF(AV231="","",TEXT(AV231,"dd/mm/yyyy")&amp;" - "&amp;TEXT(AW231,"dd/mm/yyyy"))</f>
        <v/>
      </c>
      <c r="AY231" s="28" t="str">
        <f>IF(B231="","",COUNTIFS($B$5:B231,B231,$AT$5:AT231,AT231))</f>
        <v/>
      </c>
      <c r="AZ231" s="28" t="str">
        <f>IF(B231="","",COUNTIFS($B$5:B231,B231,$AV$5:AV231,AV231))</f>
        <v/>
      </c>
      <c r="BA231" s="28" t="str">
        <f>IF(B231="","",TEXT(AY231,"00")&amp;"|"&amp;B231&amp;"|"&amp;TEXT(AT231,"yyyymmdd"))</f>
        <v/>
      </c>
      <c r="BB231" s="28" t="str">
        <f>IF(B231="","",TEXT(AZ231,"00")&amp;"|"&amp;B231&amp;"|"&amp;TEXT(AV231,"yyyymmdd"))</f>
        <v/>
      </c>
      <c r="BC231" s="28">
        <f>IF(OR(AQ231="YES",AQ231="Yes",AQ231="Y",AQ231=1),1,0)</f>
        <v>0</v>
      </c>
    </row>
    <row r="232" spans="1:55" ht="15" customHeight="1">
      <c r="A232" s="27"/>
      <c r="B232" s="28"/>
      <c r="C232" s="29"/>
      <c r="D232" s="30"/>
      <c r="E232" s="30"/>
      <c r="F232" s="28"/>
      <c r="G232" s="28"/>
      <c r="H232" s="28"/>
      <c r="I232" s="13"/>
      <c r="J232" s="28"/>
      <c r="K232" s="13"/>
      <c r="L232" s="28"/>
      <c r="M232" s="13"/>
      <c r="N232" s="28"/>
      <c r="O232" s="13"/>
      <c r="P232" s="28"/>
      <c r="Q232" s="20"/>
      <c r="R232" s="28"/>
      <c r="S232" s="20"/>
      <c r="T232" s="28"/>
      <c r="U232" s="13"/>
      <c r="V232" s="28"/>
      <c r="W232" s="13"/>
      <c r="X232" s="28"/>
      <c r="Y232" s="13"/>
      <c r="Z232" s="28"/>
      <c r="AA232" s="13"/>
      <c r="AB232" s="28"/>
      <c r="AC232" s="13"/>
      <c r="AD232" s="28"/>
      <c r="AE232" s="13"/>
      <c r="AF232" s="28"/>
      <c r="AG232" s="13"/>
      <c r="AH232" s="28"/>
      <c r="AI232" s="13"/>
      <c r="AJ232" s="28"/>
      <c r="AK232" s="13"/>
      <c r="AL232" s="28"/>
      <c r="AM232" s="13"/>
      <c r="AN232" s="28"/>
      <c r="AO232" s="13"/>
      <c r="AP232" s="28"/>
      <c r="AQ232" s="13"/>
      <c r="AR232" s="28"/>
      <c r="AS232" s="19">
        <f>SUM(H232,J232,L232,N232,P232,R232,T232,V232,X232,Z232,AB232,AD232,AF232,AH232,AJ232,AL232,AN232)</f>
        <v>0</v>
      </c>
      <c r="AT232" s="29" t="str">
        <f>IF(C232="","",DATE(YEAR(C232),MONTH(C232),1))</f>
        <v/>
      </c>
      <c r="AU232" s="28" t="str">
        <f>IF(AT232="","",TEXT(AT232,"mmmm yyyy"))</f>
        <v/>
      </c>
      <c r="AV232" s="29" t="str">
        <f>IF(C232="","",C232-WEEKDAY(C232,2)+1)</f>
        <v/>
      </c>
      <c r="AW232" s="29" t="str">
        <f>IF(AV232="","",AV232+6)</f>
        <v/>
      </c>
      <c r="AX232" s="28" t="str">
        <f>IF(AV232="","",TEXT(AV232,"dd/mm/yyyy")&amp;" - "&amp;TEXT(AW232,"dd/mm/yyyy"))</f>
        <v/>
      </c>
      <c r="AY232" s="28" t="str">
        <f>IF(B232="","",COUNTIFS($B$5:B232,B232,$AT$5:AT232,AT232))</f>
        <v/>
      </c>
      <c r="AZ232" s="28" t="str">
        <f>IF(B232="","",COUNTIFS($B$5:B232,B232,$AV$5:AV232,AV232))</f>
        <v/>
      </c>
      <c r="BA232" s="28" t="str">
        <f>IF(B232="","",TEXT(AY232,"00")&amp;"|"&amp;B232&amp;"|"&amp;TEXT(AT232,"yyyymmdd"))</f>
        <v/>
      </c>
      <c r="BB232" s="28" t="str">
        <f>IF(B232="","",TEXT(AZ232,"00")&amp;"|"&amp;B232&amp;"|"&amp;TEXT(AV232,"yyyymmdd"))</f>
        <v/>
      </c>
      <c r="BC232" s="28">
        <f>IF(OR(AQ232="YES",AQ232="Yes",AQ232="Y",AQ232=1),1,0)</f>
        <v>0</v>
      </c>
    </row>
    <row r="233" spans="1:55" ht="15" customHeight="1">
      <c r="A233" s="27"/>
      <c r="B233" s="28"/>
      <c r="C233" s="29"/>
      <c r="D233" s="30"/>
      <c r="E233" s="30"/>
      <c r="F233" s="28"/>
      <c r="G233" s="28"/>
      <c r="H233" s="28"/>
      <c r="I233" s="13"/>
      <c r="J233" s="28"/>
      <c r="K233" s="13"/>
      <c r="L233" s="28"/>
      <c r="M233" s="13"/>
      <c r="N233" s="28"/>
      <c r="O233" s="13"/>
      <c r="P233" s="28"/>
      <c r="Q233" s="20"/>
      <c r="R233" s="28"/>
      <c r="S233" s="20"/>
      <c r="T233" s="28"/>
      <c r="U233" s="13"/>
      <c r="V233" s="28"/>
      <c r="W233" s="13"/>
      <c r="X233" s="28"/>
      <c r="Y233" s="13"/>
      <c r="Z233" s="28"/>
      <c r="AA233" s="13"/>
      <c r="AB233" s="28"/>
      <c r="AC233" s="13"/>
      <c r="AD233" s="28"/>
      <c r="AE233" s="13"/>
      <c r="AF233" s="28"/>
      <c r="AG233" s="13"/>
      <c r="AH233" s="28"/>
      <c r="AI233" s="13"/>
      <c r="AJ233" s="28"/>
      <c r="AK233" s="13"/>
      <c r="AL233" s="28"/>
      <c r="AM233" s="13"/>
      <c r="AN233" s="28"/>
      <c r="AO233" s="13"/>
      <c r="AP233" s="28"/>
      <c r="AQ233" s="13"/>
      <c r="AR233" s="28"/>
      <c r="AS233" s="19">
        <f>SUM(H233,J233,L233,N233,P233,R233,T233,V233,X233,Z233,AB233,AD233,AF233,AH233,AJ233,AL233,AN233)</f>
        <v>0</v>
      </c>
      <c r="AT233" s="29" t="str">
        <f>IF(C233="","",DATE(YEAR(C233),MONTH(C233),1))</f>
        <v/>
      </c>
      <c r="AU233" s="28" t="str">
        <f>IF(AT233="","",TEXT(AT233,"mmmm yyyy"))</f>
        <v/>
      </c>
      <c r="AV233" s="29" t="str">
        <f>IF(C233="","",C233-WEEKDAY(C233,2)+1)</f>
        <v/>
      </c>
      <c r="AW233" s="29" t="str">
        <f>IF(AV233="","",AV233+6)</f>
        <v/>
      </c>
      <c r="AX233" s="28" t="str">
        <f>IF(AV233="","",TEXT(AV233,"dd/mm/yyyy")&amp;" - "&amp;TEXT(AW233,"dd/mm/yyyy"))</f>
        <v/>
      </c>
      <c r="AY233" s="28" t="str">
        <f>IF(B233="","",COUNTIFS($B$5:B233,B233,$AT$5:AT233,AT233))</f>
        <v/>
      </c>
      <c r="AZ233" s="28" t="str">
        <f>IF(B233="","",COUNTIFS($B$5:B233,B233,$AV$5:AV233,AV233))</f>
        <v/>
      </c>
      <c r="BA233" s="28" t="str">
        <f>IF(B233="","",TEXT(AY233,"00")&amp;"|"&amp;B233&amp;"|"&amp;TEXT(AT233,"yyyymmdd"))</f>
        <v/>
      </c>
      <c r="BB233" s="28" t="str">
        <f>IF(B233="","",TEXT(AZ233,"00")&amp;"|"&amp;B233&amp;"|"&amp;TEXT(AV233,"yyyymmdd"))</f>
        <v/>
      </c>
      <c r="BC233" s="28">
        <f>IF(OR(AQ233="YES",AQ233="Yes",AQ233="Y",AQ233=1),1,0)</f>
        <v>0</v>
      </c>
    </row>
    <row r="234" spans="1:55" ht="15" customHeight="1">
      <c r="A234" s="27"/>
      <c r="B234" s="28"/>
      <c r="C234" s="29"/>
      <c r="D234" s="30"/>
      <c r="E234" s="30"/>
      <c r="F234" s="28"/>
      <c r="G234" s="28"/>
      <c r="H234" s="28"/>
      <c r="I234" s="13"/>
      <c r="J234" s="28"/>
      <c r="K234" s="13"/>
      <c r="L234" s="28"/>
      <c r="M234" s="13"/>
      <c r="N234" s="28"/>
      <c r="O234" s="13"/>
      <c r="P234" s="28"/>
      <c r="Q234" s="20"/>
      <c r="R234" s="28"/>
      <c r="S234" s="20"/>
      <c r="T234" s="28"/>
      <c r="U234" s="13"/>
      <c r="V234" s="28"/>
      <c r="W234" s="13"/>
      <c r="X234" s="28"/>
      <c r="Y234" s="13"/>
      <c r="Z234" s="28"/>
      <c r="AA234" s="13"/>
      <c r="AB234" s="28"/>
      <c r="AC234" s="13"/>
      <c r="AD234" s="28"/>
      <c r="AE234" s="13"/>
      <c r="AF234" s="28"/>
      <c r="AG234" s="13"/>
      <c r="AH234" s="28"/>
      <c r="AI234" s="13"/>
      <c r="AJ234" s="28"/>
      <c r="AK234" s="13"/>
      <c r="AL234" s="28"/>
      <c r="AM234" s="13"/>
      <c r="AN234" s="28"/>
      <c r="AO234" s="13"/>
      <c r="AP234" s="28"/>
      <c r="AQ234" s="13"/>
      <c r="AR234" s="28"/>
      <c r="AS234" s="19">
        <f>SUM(H234,J234,L234,N234,P234,R234,T234,V234,X234,Z234,AB234,AD234,AF234,AH234,AJ234,AL234,AN234)</f>
        <v>0</v>
      </c>
      <c r="AT234" s="29" t="str">
        <f>IF(C234="","",DATE(YEAR(C234),MONTH(C234),1))</f>
        <v/>
      </c>
      <c r="AU234" s="28" t="str">
        <f>IF(AT234="","",TEXT(AT234,"mmmm yyyy"))</f>
        <v/>
      </c>
      <c r="AV234" s="29" t="str">
        <f>IF(C234="","",C234-WEEKDAY(C234,2)+1)</f>
        <v/>
      </c>
      <c r="AW234" s="29" t="str">
        <f>IF(AV234="","",AV234+6)</f>
        <v/>
      </c>
      <c r="AX234" s="28" t="str">
        <f>IF(AV234="","",TEXT(AV234,"dd/mm/yyyy")&amp;" - "&amp;TEXT(AW234,"dd/mm/yyyy"))</f>
        <v/>
      </c>
      <c r="AY234" s="28" t="str">
        <f>IF(B234="","",COUNTIFS($B$5:B234,B234,$AT$5:AT234,AT234))</f>
        <v/>
      </c>
      <c r="AZ234" s="28" t="str">
        <f>IF(B234="","",COUNTIFS($B$5:B234,B234,$AV$5:AV234,AV234))</f>
        <v/>
      </c>
      <c r="BA234" s="28" t="str">
        <f>IF(B234="","",TEXT(AY234,"00")&amp;"|"&amp;B234&amp;"|"&amp;TEXT(AT234,"yyyymmdd"))</f>
        <v/>
      </c>
      <c r="BB234" s="28" t="str">
        <f>IF(B234="","",TEXT(AZ234,"00")&amp;"|"&amp;B234&amp;"|"&amp;TEXT(AV234,"yyyymmdd"))</f>
        <v/>
      </c>
      <c r="BC234" s="28">
        <f>IF(OR(AQ234="YES",AQ234="Yes",AQ234="Y",AQ234=1),1,0)</f>
        <v>0</v>
      </c>
    </row>
    <row r="235" spans="1:55" ht="15" customHeight="1">
      <c r="A235" s="27"/>
      <c r="B235" s="28"/>
      <c r="C235" s="29"/>
      <c r="D235" s="30"/>
      <c r="E235" s="30"/>
      <c r="F235" s="28"/>
      <c r="G235" s="28"/>
      <c r="H235" s="28"/>
      <c r="I235" s="13"/>
      <c r="J235" s="28"/>
      <c r="K235" s="13"/>
      <c r="L235" s="28"/>
      <c r="M235" s="13"/>
      <c r="N235" s="28"/>
      <c r="O235" s="13"/>
      <c r="P235" s="28"/>
      <c r="Q235" s="20"/>
      <c r="R235" s="28"/>
      <c r="S235" s="20"/>
      <c r="T235" s="28"/>
      <c r="U235" s="13"/>
      <c r="V235" s="28"/>
      <c r="W235" s="13"/>
      <c r="X235" s="28"/>
      <c r="Y235" s="13"/>
      <c r="Z235" s="28"/>
      <c r="AA235" s="13"/>
      <c r="AB235" s="28"/>
      <c r="AC235" s="13"/>
      <c r="AD235" s="28"/>
      <c r="AE235" s="13"/>
      <c r="AF235" s="28"/>
      <c r="AG235" s="13"/>
      <c r="AH235" s="28"/>
      <c r="AI235" s="13"/>
      <c r="AJ235" s="28"/>
      <c r="AK235" s="13"/>
      <c r="AL235" s="28"/>
      <c r="AM235" s="13"/>
      <c r="AN235" s="28"/>
      <c r="AO235" s="13"/>
      <c r="AP235" s="28"/>
      <c r="AQ235" s="13"/>
      <c r="AR235" s="28"/>
      <c r="AS235" s="19">
        <f>SUM(H235,J235,L235,N235,P235,R235,T235,V235,X235,Z235,AB235,AD235,AF235,AH235,AJ235,AL235,AN235)</f>
        <v>0</v>
      </c>
      <c r="AT235" s="29" t="str">
        <f>IF(C235="","",DATE(YEAR(C235),MONTH(C235),1))</f>
        <v/>
      </c>
      <c r="AU235" s="28" t="str">
        <f>IF(AT235="","",TEXT(AT235,"mmmm yyyy"))</f>
        <v/>
      </c>
      <c r="AV235" s="29" t="str">
        <f>IF(C235="","",C235-WEEKDAY(C235,2)+1)</f>
        <v/>
      </c>
      <c r="AW235" s="29" t="str">
        <f>IF(AV235="","",AV235+6)</f>
        <v/>
      </c>
      <c r="AX235" s="28" t="str">
        <f>IF(AV235="","",TEXT(AV235,"dd/mm/yyyy")&amp;" - "&amp;TEXT(AW235,"dd/mm/yyyy"))</f>
        <v/>
      </c>
      <c r="AY235" s="28" t="str">
        <f>IF(B235="","",COUNTIFS($B$5:B235,B235,$AT$5:AT235,AT235))</f>
        <v/>
      </c>
      <c r="AZ235" s="28" t="str">
        <f>IF(B235="","",COUNTIFS($B$5:B235,B235,$AV$5:AV235,AV235))</f>
        <v/>
      </c>
      <c r="BA235" s="28" t="str">
        <f>IF(B235="","",TEXT(AY235,"00")&amp;"|"&amp;B235&amp;"|"&amp;TEXT(AT235,"yyyymmdd"))</f>
        <v/>
      </c>
      <c r="BB235" s="28" t="str">
        <f>IF(B235="","",TEXT(AZ235,"00")&amp;"|"&amp;B235&amp;"|"&amp;TEXT(AV235,"yyyymmdd"))</f>
        <v/>
      </c>
      <c r="BC235" s="28">
        <f>IF(OR(AQ235="YES",AQ235="Yes",AQ235="Y",AQ235=1),1,0)</f>
        <v>0</v>
      </c>
    </row>
    <row r="236" spans="1:55" ht="15" customHeight="1">
      <c r="A236" s="27"/>
      <c r="B236" s="28"/>
      <c r="C236" s="29"/>
      <c r="D236" s="30"/>
      <c r="E236" s="30"/>
      <c r="F236" s="28"/>
      <c r="G236" s="28"/>
      <c r="H236" s="28"/>
      <c r="I236" s="13"/>
      <c r="J236" s="28"/>
      <c r="K236" s="13"/>
      <c r="L236" s="28"/>
      <c r="M236" s="13"/>
      <c r="N236" s="28"/>
      <c r="O236" s="13"/>
      <c r="P236" s="28"/>
      <c r="Q236" s="20"/>
      <c r="R236" s="28"/>
      <c r="S236" s="20"/>
      <c r="T236" s="28"/>
      <c r="U236" s="13"/>
      <c r="V236" s="28"/>
      <c r="W236" s="13"/>
      <c r="X236" s="28"/>
      <c r="Y236" s="13"/>
      <c r="Z236" s="28"/>
      <c r="AA236" s="13"/>
      <c r="AB236" s="28"/>
      <c r="AC236" s="13"/>
      <c r="AD236" s="28"/>
      <c r="AE236" s="13"/>
      <c r="AF236" s="28"/>
      <c r="AG236" s="13"/>
      <c r="AH236" s="28"/>
      <c r="AI236" s="13"/>
      <c r="AJ236" s="28"/>
      <c r="AK236" s="13"/>
      <c r="AL236" s="28"/>
      <c r="AM236" s="13"/>
      <c r="AN236" s="28"/>
      <c r="AO236" s="13"/>
      <c r="AP236" s="28"/>
      <c r="AQ236" s="13"/>
      <c r="AR236" s="28"/>
      <c r="AS236" s="19">
        <f>SUM(H236,J236,L236,N236,P236,R236,T236,V236,X236,Z236,AB236,AD236,AF236,AH236,AJ236,AL236,AN236)</f>
        <v>0</v>
      </c>
      <c r="AT236" s="29" t="str">
        <f>IF(C236="","",DATE(YEAR(C236),MONTH(C236),1))</f>
        <v/>
      </c>
      <c r="AU236" s="28" t="str">
        <f>IF(AT236="","",TEXT(AT236,"mmmm yyyy"))</f>
        <v/>
      </c>
      <c r="AV236" s="29" t="str">
        <f>IF(C236="","",C236-WEEKDAY(C236,2)+1)</f>
        <v/>
      </c>
      <c r="AW236" s="29" t="str">
        <f>IF(AV236="","",AV236+6)</f>
        <v/>
      </c>
      <c r="AX236" s="28" t="str">
        <f>IF(AV236="","",TEXT(AV236,"dd/mm/yyyy")&amp;" - "&amp;TEXT(AW236,"dd/mm/yyyy"))</f>
        <v/>
      </c>
      <c r="AY236" s="28" t="str">
        <f>IF(B236="","",COUNTIFS($B$5:B236,B236,$AT$5:AT236,AT236))</f>
        <v/>
      </c>
      <c r="AZ236" s="28" t="str">
        <f>IF(B236="","",COUNTIFS($B$5:B236,B236,$AV$5:AV236,AV236))</f>
        <v/>
      </c>
      <c r="BA236" s="28" t="str">
        <f>IF(B236="","",TEXT(AY236,"00")&amp;"|"&amp;B236&amp;"|"&amp;TEXT(AT236,"yyyymmdd"))</f>
        <v/>
      </c>
      <c r="BB236" s="28" t="str">
        <f>IF(B236="","",TEXT(AZ236,"00")&amp;"|"&amp;B236&amp;"|"&amp;TEXT(AV236,"yyyymmdd"))</f>
        <v/>
      </c>
      <c r="BC236" s="28">
        <f>IF(OR(AQ236="YES",AQ236="Yes",AQ236="Y",AQ236=1),1,0)</f>
        <v>0</v>
      </c>
    </row>
    <row r="237" spans="1:55" ht="15" customHeight="1">
      <c r="A237" s="27"/>
      <c r="B237" s="28"/>
      <c r="C237" s="29"/>
      <c r="D237" s="30"/>
      <c r="E237" s="30"/>
      <c r="F237" s="28"/>
      <c r="G237" s="28"/>
      <c r="H237" s="28"/>
      <c r="I237" s="13"/>
      <c r="J237" s="28"/>
      <c r="K237" s="13"/>
      <c r="L237" s="28"/>
      <c r="M237" s="13"/>
      <c r="N237" s="28"/>
      <c r="O237" s="13"/>
      <c r="P237" s="28"/>
      <c r="Q237" s="20"/>
      <c r="R237" s="28"/>
      <c r="S237" s="20"/>
      <c r="T237" s="28"/>
      <c r="U237" s="13"/>
      <c r="V237" s="28"/>
      <c r="W237" s="13"/>
      <c r="X237" s="28"/>
      <c r="Y237" s="13"/>
      <c r="Z237" s="28"/>
      <c r="AA237" s="13"/>
      <c r="AB237" s="28"/>
      <c r="AC237" s="13"/>
      <c r="AD237" s="28"/>
      <c r="AE237" s="13"/>
      <c r="AF237" s="28"/>
      <c r="AG237" s="13"/>
      <c r="AH237" s="28"/>
      <c r="AI237" s="13"/>
      <c r="AJ237" s="28"/>
      <c r="AK237" s="13"/>
      <c r="AL237" s="28"/>
      <c r="AM237" s="13"/>
      <c r="AN237" s="28"/>
      <c r="AO237" s="13"/>
      <c r="AP237" s="28"/>
      <c r="AQ237" s="13"/>
      <c r="AR237" s="28"/>
      <c r="AS237" s="19">
        <f>SUM(H237,J237,L237,N237,P237,R237,T237,V237,X237,Z237,AB237,AD237,AF237,AH237,AJ237,AL237,AN237)</f>
        <v>0</v>
      </c>
      <c r="AT237" s="29" t="str">
        <f>IF(C237="","",DATE(YEAR(C237),MONTH(C237),1))</f>
        <v/>
      </c>
      <c r="AU237" s="28" t="str">
        <f>IF(AT237="","",TEXT(AT237,"mmmm yyyy"))</f>
        <v/>
      </c>
      <c r="AV237" s="29" t="str">
        <f>IF(C237="","",C237-WEEKDAY(C237,2)+1)</f>
        <v/>
      </c>
      <c r="AW237" s="29" t="str">
        <f>IF(AV237="","",AV237+6)</f>
        <v/>
      </c>
      <c r="AX237" s="28" t="str">
        <f>IF(AV237="","",TEXT(AV237,"dd/mm/yyyy")&amp;" - "&amp;TEXT(AW237,"dd/mm/yyyy"))</f>
        <v/>
      </c>
      <c r="AY237" s="28" t="str">
        <f>IF(B237="","",COUNTIFS($B$5:B237,B237,$AT$5:AT237,AT237))</f>
        <v/>
      </c>
      <c r="AZ237" s="28" t="str">
        <f>IF(B237="","",COUNTIFS($B$5:B237,B237,$AV$5:AV237,AV237))</f>
        <v/>
      </c>
      <c r="BA237" s="28" t="str">
        <f>IF(B237="","",TEXT(AY237,"00")&amp;"|"&amp;B237&amp;"|"&amp;TEXT(AT237,"yyyymmdd"))</f>
        <v/>
      </c>
      <c r="BB237" s="28" t="str">
        <f>IF(B237="","",TEXT(AZ237,"00")&amp;"|"&amp;B237&amp;"|"&amp;TEXT(AV237,"yyyymmdd"))</f>
        <v/>
      </c>
      <c r="BC237" s="28">
        <f>IF(OR(AQ237="YES",AQ237="Yes",AQ237="Y",AQ237=1),1,0)</f>
        <v>0</v>
      </c>
    </row>
    <row r="238" spans="1:55" ht="15" customHeight="1">
      <c r="A238" s="27"/>
      <c r="B238" s="28"/>
      <c r="C238" s="29"/>
      <c r="D238" s="30"/>
      <c r="E238" s="30"/>
      <c r="F238" s="28"/>
      <c r="G238" s="28"/>
      <c r="H238" s="28"/>
      <c r="I238" s="13"/>
      <c r="J238" s="28"/>
      <c r="K238" s="13"/>
      <c r="L238" s="28"/>
      <c r="M238" s="13"/>
      <c r="N238" s="28"/>
      <c r="O238" s="13"/>
      <c r="P238" s="28"/>
      <c r="Q238" s="20"/>
      <c r="R238" s="28"/>
      <c r="S238" s="20"/>
      <c r="T238" s="28"/>
      <c r="U238" s="13"/>
      <c r="V238" s="28"/>
      <c r="W238" s="13"/>
      <c r="X238" s="28"/>
      <c r="Y238" s="13"/>
      <c r="Z238" s="28"/>
      <c r="AA238" s="13"/>
      <c r="AB238" s="28"/>
      <c r="AC238" s="13"/>
      <c r="AD238" s="28"/>
      <c r="AE238" s="13"/>
      <c r="AF238" s="28"/>
      <c r="AG238" s="13"/>
      <c r="AH238" s="28"/>
      <c r="AI238" s="13"/>
      <c r="AJ238" s="28"/>
      <c r="AK238" s="13"/>
      <c r="AL238" s="28"/>
      <c r="AM238" s="13"/>
      <c r="AN238" s="28"/>
      <c r="AO238" s="13"/>
      <c r="AP238" s="28"/>
      <c r="AQ238" s="13"/>
      <c r="AR238" s="28"/>
      <c r="AS238" s="19">
        <f>SUM(H238,J238,L238,N238,P238,R238,T238,V238,X238,Z238,AB238,AD238,AF238,AH238,AJ238,AL238,AN238)</f>
        <v>0</v>
      </c>
      <c r="AT238" s="29" t="str">
        <f>IF(C238="","",DATE(YEAR(C238),MONTH(C238),1))</f>
        <v/>
      </c>
      <c r="AU238" s="28" t="str">
        <f>IF(AT238="","",TEXT(AT238,"mmmm yyyy"))</f>
        <v/>
      </c>
      <c r="AV238" s="29" t="str">
        <f>IF(C238="","",C238-WEEKDAY(C238,2)+1)</f>
        <v/>
      </c>
      <c r="AW238" s="29" t="str">
        <f>IF(AV238="","",AV238+6)</f>
        <v/>
      </c>
      <c r="AX238" s="28" t="str">
        <f>IF(AV238="","",TEXT(AV238,"dd/mm/yyyy")&amp;" - "&amp;TEXT(AW238,"dd/mm/yyyy"))</f>
        <v/>
      </c>
      <c r="AY238" s="28" t="str">
        <f>IF(B238="","",COUNTIFS($B$5:B238,B238,$AT$5:AT238,AT238))</f>
        <v/>
      </c>
      <c r="AZ238" s="28" t="str">
        <f>IF(B238="","",COUNTIFS($B$5:B238,B238,$AV$5:AV238,AV238))</f>
        <v/>
      </c>
      <c r="BA238" s="28" t="str">
        <f>IF(B238="","",TEXT(AY238,"00")&amp;"|"&amp;B238&amp;"|"&amp;TEXT(AT238,"yyyymmdd"))</f>
        <v/>
      </c>
      <c r="BB238" s="28" t="str">
        <f>IF(B238="","",TEXT(AZ238,"00")&amp;"|"&amp;B238&amp;"|"&amp;TEXT(AV238,"yyyymmdd"))</f>
        <v/>
      </c>
      <c r="BC238" s="28">
        <f>IF(OR(AQ238="YES",AQ238="Yes",AQ238="Y",AQ238=1),1,0)</f>
        <v>0</v>
      </c>
    </row>
    <row r="239" spans="1:55" ht="15" customHeight="1">
      <c r="A239" s="27"/>
      <c r="B239" s="28"/>
      <c r="C239" s="29"/>
      <c r="D239" s="30"/>
      <c r="E239" s="30"/>
      <c r="F239" s="28"/>
      <c r="G239" s="28"/>
      <c r="H239" s="28"/>
      <c r="I239" s="13"/>
      <c r="J239" s="28"/>
      <c r="K239" s="13"/>
      <c r="L239" s="28"/>
      <c r="M239" s="13"/>
      <c r="N239" s="28"/>
      <c r="O239" s="13"/>
      <c r="P239" s="28"/>
      <c r="Q239" s="20"/>
      <c r="R239" s="28"/>
      <c r="S239" s="20"/>
      <c r="T239" s="28"/>
      <c r="U239" s="13"/>
      <c r="V239" s="28"/>
      <c r="W239" s="13"/>
      <c r="X239" s="28"/>
      <c r="Y239" s="13"/>
      <c r="Z239" s="28"/>
      <c r="AA239" s="13"/>
      <c r="AB239" s="28"/>
      <c r="AC239" s="13"/>
      <c r="AD239" s="28"/>
      <c r="AE239" s="13"/>
      <c r="AF239" s="28"/>
      <c r="AG239" s="13"/>
      <c r="AH239" s="28"/>
      <c r="AI239" s="13"/>
      <c r="AJ239" s="28"/>
      <c r="AK239" s="13"/>
      <c r="AL239" s="28"/>
      <c r="AM239" s="13"/>
      <c r="AN239" s="28"/>
      <c r="AO239" s="13"/>
      <c r="AP239" s="28"/>
      <c r="AQ239" s="13"/>
      <c r="AR239" s="28"/>
      <c r="AS239" s="19">
        <f>SUM(H239,J239,L239,N239,P239,R239,T239,V239,X239,Z239,AB239,AD239,AF239,AH239,AJ239,AL239,AN239)</f>
        <v>0</v>
      </c>
      <c r="AT239" s="29" t="str">
        <f>IF(C239="","",DATE(YEAR(C239),MONTH(C239),1))</f>
        <v/>
      </c>
      <c r="AU239" s="28" t="str">
        <f>IF(AT239="","",TEXT(AT239,"mmmm yyyy"))</f>
        <v/>
      </c>
      <c r="AV239" s="29" t="str">
        <f>IF(C239="","",C239-WEEKDAY(C239,2)+1)</f>
        <v/>
      </c>
      <c r="AW239" s="29" t="str">
        <f>IF(AV239="","",AV239+6)</f>
        <v/>
      </c>
      <c r="AX239" s="28" t="str">
        <f>IF(AV239="","",TEXT(AV239,"dd/mm/yyyy")&amp;" - "&amp;TEXT(AW239,"dd/mm/yyyy"))</f>
        <v/>
      </c>
      <c r="AY239" s="28" t="str">
        <f>IF(B239="","",COUNTIFS($B$5:B239,B239,$AT$5:AT239,AT239))</f>
        <v/>
      </c>
      <c r="AZ239" s="28" t="str">
        <f>IF(B239="","",COUNTIFS($B$5:B239,B239,$AV$5:AV239,AV239))</f>
        <v/>
      </c>
      <c r="BA239" s="28" t="str">
        <f>IF(B239="","",TEXT(AY239,"00")&amp;"|"&amp;B239&amp;"|"&amp;TEXT(AT239,"yyyymmdd"))</f>
        <v/>
      </c>
      <c r="BB239" s="28" t="str">
        <f>IF(B239="","",TEXT(AZ239,"00")&amp;"|"&amp;B239&amp;"|"&amp;TEXT(AV239,"yyyymmdd"))</f>
        <v/>
      </c>
      <c r="BC239" s="28">
        <f>IF(OR(AQ239="YES",AQ239="Yes",AQ239="Y",AQ239=1),1,0)</f>
        <v>0</v>
      </c>
    </row>
    <row r="240" spans="1:55" ht="15" customHeight="1">
      <c r="A240" s="27"/>
      <c r="B240" s="28"/>
      <c r="C240" s="29"/>
      <c r="D240" s="30"/>
      <c r="E240" s="30"/>
      <c r="F240" s="28"/>
      <c r="G240" s="28"/>
      <c r="H240" s="28"/>
      <c r="I240" s="13"/>
      <c r="J240" s="28"/>
      <c r="K240" s="13"/>
      <c r="L240" s="28"/>
      <c r="M240" s="13"/>
      <c r="N240" s="28"/>
      <c r="O240" s="13"/>
      <c r="P240" s="28"/>
      <c r="Q240" s="20"/>
      <c r="R240" s="28"/>
      <c r="S240" s="20"/>
      <c r="T240" s="28"/>
      <c r="U240" s="13"/>
      <c r="V240" s="28"/>
      <c r="W240" s="13"/>
      <c r="X240" s="28"/>
      <c r="Y240" s="13"/>
      <c r="Z240" s="28"/>
      <c r="AA240" s="13"/>
      <c r="AB240" s="28"/>
      <c r="AC240" s="13"/>
      <c r="AD240" s="28"/>
      <c r="AE240" s="13"/>
      <c r="AF240" s="28"/>
      <c r="AG240" s="13"/>
      <c r="AH240" s="28"/>
      <c r="AI240" s="13"/>
      <c r="AJ240" s="28"/>
      <c r="AK240" s="13"/>
      <c r="AL240" s="28"/>
      <c r="AM240" s="13"/>
      <c r="AN240" s="28"/>
      <c r="AO240" s="13"/>
      <c r="AP240" s="28"/>
      <c r="AQ240" s="13"/>
      <c r="AR240" s="28"/>
      <c r="AS240" s="19">
        <f>SUM(H240,J240,L240,N240,P240,R240,T240,V240,X240,Z240,AB240,AD240,AF240,AH240,AJ240,AL240,AN240)</f>
        <v>0</v>
      </c>
      <c r="AT240" s="29" t="str">
        <f>IF(C240="","",DATE(YEAR(C240),MONTH(C240),1))</f>
        <v/>
      </c>
      <c r="AU240" s="28" t="str">
        <f>IF(AT240="","",TEXT(AT240,"mmmm yyyy"))</f>
        <v/>
      </c>
      <c r="AV240" s="29" t="str">
        <f>IF(C240="","",C240-WEEKDAY(C240,2)+1)</f>
        <v/>
      </c>
      <c r="AW240" s="29" t="str">
        <f>IF(AV240="","",AV240+6)</f>
        <v/>
      </c>
      <c r="AX240" s="28" t="str">
        <f>IF(AV240="","",TEXT(AV240,"dd/mm/yyyy")&amp;" - "&amp;TEXT(AW240,"dd/mm/yyyy"))</f>
        <v/>
      </c>
      <c r="AY240" s="28" t="str">
        <f>IF(B240="","",COUNTIFS($B$5:B240,B240,$AT$5:AT240,AT240))</f>
        <v/>
      </c>
      <c r="AZ240" s="28" t="str">
        <f>IF(B240="","",COUNTIFS($B$5:B240,B240,$AV$5:AV240,AV240))</f>
        <v/>
      </c>
      <c r="BA240" s="28" t="str">
        <f>IF(B240="","",TEXT(AY240,"00")&amp;"|"&amp;B240&amp;"|"&amp;TEXT(AT240,"yyyymmdd"))</f>
        <v/>
      </c>
      <c r="BB240" s="28" t="str">
        <f>IF(B240="","",TEXT(AZ240,"00")&amp;"|"&amp;B240&amp;"|"&amp;TEXT(AV240,"yyyymmdd"))</f>
        <v/>
      </c>
      <c r="BC240" s="28">
        <f>IF(OR(AQ240="YES",AQ240="Yes",AQ240="Y",AQ240=1),1,0)</f>
        <v>0</v>
      </c>
    </row>
    <row r="241" spans="1:55" ht="15" customHeight="1">
      <c r="A241" s="27"/>
      <c r="B241" s="28"/>
      <c r="C241" s="29"/>
      <c r="D241" s="30"/>
      <c r="E241" s="30"/>
      <c r="F241" s="28"/>
      <c r="G241" s="28"/>
      <c r="H241" s="28"/>
      <c r="I241" s="13"/>
      <c r="J241" s="28"/>
      <c r="K241" s="13"/>
      <c r="L241" s="28"/>
      <c r="M241" s="13"/>
      <c r="N241" s="28"/>
      <c r="O241" s="13"/>
      <c r="P241" s="28"/>
      <c r="Q241" s="20"/>
      <c r="R241" s="28"/>
      <c r="S241" s="20"/>
      <c r="T241" s="28"/>
      <c r="U241" s="13"/>
      <c r="V241" s="28"/>
      <c r="W241" s="13"/>
      <c r="X241" s="28"/>
      <c r="Y241" s="13"/>
      <c r="Z241" s="28"/>
      <c r="AA241" s="13"/>
      <c r="AB241" s="28"/>
      <c r="AC241" s="13"/>
      <c r="AD241" s="28"/>
      <c r="AE241" s="13"/>
      <c r="AF241" s="28"/>
      <c r="AG241" s="13"/>
      <c r="AH241" s="28"/>
      <c r="AI241" s="13"/>
      <c r="AJ241" s="28"/>
      <c r="AK241" s="13"/>
      <c r="AL241" s="28"/>
      <c r="AM241" s="13"/>
      <c r="AN241" s="28"/>
      <c r="AO241" s="13"/>
      <c r="AP241" s="28"/>
      <c r="AQ241" s="13"/>
      <c r="AR241" s="28"/>
      <c r="AS241" s="19">
        <f>SUM(H241,J241,L241,N241,P241,R241,T241,V241,X241,Z241,AB241,AD241,AF241,AH241,AJ241,AL241,AN241)</f>
        <v>0</v>
      </c>
      <c r="AT241" s="29" t="str">
        <f>IF(C241="","",DATE(YEAR(C241),MONTH(C241),1))</f>
        <v/>
      </c>
      <c r="AU241" s="28" t="str">
        <f>IF(AT241="","",TEXT(AT241,"mmmm yyyy"))</f>
        <v/>
      </c>
      <c r="AV241" s="29" t="str">
        <f>IF(C241="","",C241-WEEKDAY(C241,2)+1)</f>
        <v/>
      </c>
      <c r="AW241" s="29" t="str">
        <f>IF(AV241="","",AV241+6)</f>
        <v/>
      </c>
      <c r="AX241" s="28" t="str">
        <f>IF(AV241="","",TEXT(AV241,"dd/mm/yyyy")&amp;" - "&amp;TEXT(AW241,"dd/mm/yyyy"))</f>
        <v/>
      </c>
      <c r="AY241" s="28" t="str">
        <f>IF(B241="","",COUNTIFS($B$5:B241,B241,$AT$5:AT241,AT241))</f>
        <v/>
      </c>
      <c r="AZ241" s="28" t="str">
        <f>IF(B241="","",COUNTIFS($B$5:B241,B241,$AV$5:AV241,AV241))</f>
        <v/>
      </c>
      <c r="BA241" s="28" t="str">
        <f>IF(B241="","",TEXT(AY241,"00")&amp;"|"&amp;B241&amp;"|"&amp;TEXT(AT241,"yyyymmdd"))</f>
        <v/>
      </c>
      <c r="BB241" s="28" t="str">
        <f>IF(B241="","",TEXT(AZ241,"00")&amp;"|"&amp;B241&amp;"|"&amp;TEXT(AV241,"yyyymmdd"))</f>
        <v/>
      </c>
      <c r="BC241" s="28">
        <f>IF(OR(AQ241="YES",AQ241="Yes",AQ241="Y",AQ241=1),1,0)</f>
        <v>0</v>
      </c>
    </row>
    <row r="242" spans="1:55" ht="15" customHeight="1">
      <c r="A242" s="27"/>
      <c r="B242" s="28"/>
      <c r="C242" s="29"/>
      <c r="D242" s="30"/>
      <c r="E242" s="30"/>
      <c r="F242" s="28"/>
      <c r="G242" s="28"/>
      <c r="H242" s="28"/>
      <c r="I242" s="13"/>
      <c r="J242" s="28"/>
      <c r="K242" s="13"/>
      <c r="L242" s="28"/>
      <c r="M242" s="13"/>
      <c r="N242" s="28"/>
      <c r="O242" s="13"/>
      <c r="P242" s="28"/>
      <c r="Q242" s="20"/>
      <c r="R242" s="28"/>
      <c r="S242" s="20"/>
      <c r="T242" s="28"/>
      <c r="U242" s="13"/>
      <c r="V242" s="28"/>
      <c r="W242" s="13"/>
      <c r="X242" s="28"/>
      <c r="Y242" s="13"/>
      <c r="Z242" s="28"/>
      <c r="AA242" s="13"/>
      <c r="AB242" s="28"/>
      <c r="AC242" s="13"/>
      <c r="AD242" s="28"/>
      <c r="AE242" s="13"/>
      <c r="AF242" s="28"/>
      <c r="AG242" s="13"/>
      <c r="AH242" s="28"/>
      <c r="AI242" s="13"/>
      <c r="AJ242" s="28"/>
      <c r="AK242" s="13"/>
      <c r="AL242" s="28"/>
      <c r="AM242" s="13"/>
      <c r="AN242" s="28"/>
      <c r="AO242" s="13"/>
      <c r="AP242" s="28"/>
      <c r="AQ242" s="13"/>
      <c r="AR242" s="28"/>
      <c r="AS242" s="19">
        <f>SUM(H242,J242,L242,N242,P242,R242,T242,V242,X242,Z242,AB242,AD242,AF242,AH242,AJ242,AL242,AN242)</f>
        <v>0</v>
      </c>
      <c r="AT242" s="29" t="str">
        <f>IF(C242="","",DATE(YEAR(C242),MONTH(C242),1))</f>
        <v/>
      </c>
      <c r="AU242" s="28" t="str">
        <f>IF(AT242="","",TEXT(AT242,"mmmm yyyy"))</f>
        <v/>
      </c>
      <c r="AV242" s="29" t="str">
        <f>IF(C242="","",C242-WEEKDAY(C242,2)+1)</f>
        <v/>
      </c>
      <c r="AW242" s="29" t="str">
        <f>IF(AV242="","",AV242+6)</f>
        <v/>
      </c>
      <c r="AX242" s="28" t="str">
        <f>IF(AV242="","",TEXT(AV242,"dd/mm/yyyy")&amp;" - "&amp;TEXT(AW242,"dd/mm/yyyy"))</f>
        <v/>
      </c>
      <c r="AY242" s="28" t="str">
        <f>IF(B242="","",COUNTIFS($B$5:B242,B242,$AT$5:AT242,AT242))</f>
        <v/>
      </c>
      <c r="AZ242" s="28" t="str">
        <f>IF(B242="","",COUNTIFS($B$5:B242,B242,$AV$5:AV242,AV242))</f>
        <v/>
      </c>
      <c r="BA242" s="28" t="str">
        <f>IF(B242="","",TEXT(AY242,"00")&amp;"|"&amp;B242&amp;"|"&amp;TEXT(AT242,"yyyymmdd"))</f>
        <v/>
      </c>
      <c r="BB242" s="28" t="str">
        <f>IF(B242="","",TEXT(AZ242,"00")&amp;"|"&amp;B242&amp;"|"&amp;TEXT(AV242,"yyyymmdd"))</f>
        <v/>
      </c>
      <c r="BC242" s="28">
        <f>IF(OR(AQ242="YES",AQ242="Yes",AQ242="Y",AQ242=1),1,0)</f>
        <v>0</v>
      </c>
    </row>
    <row r="243" spans="1:55" ht="15" customHeight="1">
      <c r="A243" s="27"/>
      <c r="B243" s="28"/>
      <c r="C243" s="29"/>
      <c r="D243" s="30"/>
      <c r="E243" s="30"/>
      <c r="F243" s="28"/>
      <c r="G243" s="28"/>
      <c r="H243" s="28"/>
      <c r="I243" s="13"/>
      <c r="J243" s="28"/>
      <c r="K243" s="13"/>
      <c r="L243" s="28"/>
      <c r="M243" s="13"/>
      <c r="N243" s="28"/>
      <c r="O243" s="13"/>
      <c r="P243" s="28"/>
      <c r="Q243" s="20"/>
      <c r="R243" s="28"/>
      <c r="S243" s="20"/>
      <c r="T243" s="28"/>
      <c r="U243" s="13"/>
      <c r="V243" s="28"/>
      <c r="W243" s="13"/>
      <c r="X243" s="28"/>
      <c r="Y243" s="13"/>
      <c r="Z243" s="28"/>
      <c r="AA243" s="13"/>
      <c r="AB243" s="28"/>
      <c r="AC243" s="13"/>
      <c r="AD243" s="28"/>
      <c r="AE243" s="13"/>
      <c r="AF243" s="28"/>
      <c r="AG243" s="13"/>
      <c r="AH243" s="28"/>
      <c r="AI243" s="13"/>
      <c r="AJ243" s="28"/>
      <c r="AK243" s="13"/>
      <c r="AL243" s="28"/>
      <c r="AM243" s="13"/>
      <c r="AN243" s="28"/>
      <c r="AO243" s="13"/>
      <c r="AP243" s="28"/>
      <c r="AQ243" s="13"/>
      <c r="AR243" s="28"/>
      <c r="AS243" s="19">
        <f>SUM(H243,J243,L243,N243,P243,R243,T243,V243,X243,Z243,AB243,AD243,AF243,AH243,AJ243,AL243,AN243)</f>
        <v>0</v>
      </c>
      <c r="AT243" s="29" t="str">
        <f>IF(C243="","",DATE(YEAR(C243),MONTH(C243),1))</f>
        <v/>
      </c>
      <c r="AU243" s="28" t="str">
        <f>IF(AT243="","",TEXT(AT243,"mmmm yyyy"))</f>
        <v/>
      </c>
      <c r="AV243" s="29" t="str">
        <f>IF(C243="","",C243-WEEKDAY(C243,2)+1)</f>
        <v/>
      </c>
      <c r="AW243" s="29" t="str">
        <f>IF(AV243="","",AV243+6)</f>
        <v/>
      </c>
      <c r="AX243" s="28" t="str">
        <f>IF(AV243="","",TEXT(AV243,"dd/mm/yyyy")&amp;" - "&amp;TEXT(AW243,"dd/mm/yyyy"))</f>
        <v/>
      </c>
      <c r="AY243" s="28" t="str">
        <f>IF(B243="","",COUNTIFS($B$5:B243,B243,$AT$5:AT243,AT243))</f>
        <v/>
      </c>
      <c r="AZ243" s="28" t="str">
        <f>IF(B243="","",COUNTIFS($B$5:B243,B243,$AV$5:AV243,AV243))</f>
        <v/>
      </c>
      <c r="BA243" s="28" t="str">
        <f>IF(B243="","",TEXT(AY243,"00")&amp;"|"&amp;B243&amp;"|"&amp;TEXT(AT243,"yyyymmdd"))</f>
        <v/>
      </c>
      <c r="BB243" s="28" t="str">
        <f>IF(B243="","",TEXT(AZ243,"00")&amp;"|"&amp;B243&amp;"|"&amp;TEXT(AV243,"yyyymmdd"))</f>
        <v/>
      </c>
      <c r="BC243" s="28">
        <f>IF(OR(AQ243="YES",AQ243="Yes",AQ243="Y",AQ243=1),1,0)</f>
        <v>0</v>
      </c>
    </row>
    <row r="244" spans="1:55" ht="15" customHeight="1">
      <c r="A244" s="27"/>
      <c r="B244" s="28"/>
      <c r="C244" s="29"/>
      <c r="D244" s="30"/>
      <c r="E244" s="30"/>
      <c r="F244" s="28"/>
      <c r="G244" s="28"/>
      <c r="H244" s="28"/>
      <c r="I244" s="13"/>
      <c r="J244" s="28"/>
      <c r="K244" s="13"/>
      <c r="L244" s="28"/>
      <c r="M244" s="13"/>
      <c r="N244" s="28"/>
      <c r="O244" s="13"/>
      <c r="P244" s="28"/>
      <c r="Q244" s="20"/>
      <c r="R244" s="28"/>
      <c r="S244" s="20"/>
      <c r="T244" s="28"/>
      <c r="U244" s="13"/>
      <c r="V244" s="28"/>
      <c r="W244" s="13"/>
      <c r="X244" s="28"/>
      <c r="Y244" s="13"/>
      <c r="Z244" s="28"/>
      <c r="AA244" s="13"/>
      <c r="AB244" s="28"/>
      <c r="AC244" s="13"/>
      <c r="AD244" s="28"/>
      <c r="AE244" s="13"/>
      <c r="AF244" s="28"/>
      <c r="AG244" s="13"/>
      <c r="AH244" s="28"/>
      <c r="AI244" s="13"/>
      <c r="AJ244" s="28"/>
      <c r="AK244" s="13"/>
      <c r="AL244" s="28"/>
      <c r="AM244" s="13"/>
      <c r="AN244" s="28"/>
      <c r="AO244" s="13"/>
      <c r="AP244" s="28"/>
      <c r="AQ244" s="13"/>
      <c r="AR244" s="28"/>
      <c r="AS244" s="19">
        <f>SUM(H244,J244,L244,N244,P244,R244,T244,V244,X244,Z244,AB244,AD244,AF244,AH244,AJ244,AL244,AN244)</f>
        <v>0</v>
      </c>
      <c r="AT244" s="29" t="str">
        <f>IF(C244="","",DATE(YEAR(C244),MONTH(C244),1))</f>
        <v/>
      </c>
      <c r="AU244" s="28" t="str">
        <f>IF(AT244="","",TEXT(AT244,"mmmm yyyy"))</f>
        <v/>
      </c>
      <c r="AV244" s="29" t="str">
        <f>IF(C244="","",C244-WEEKDAY(C244,2)+1)</f>
        <v/>
      </c>
      <c r="AW244" s="29" t="str">
        <f>IF(AV244="","",AV244+6)</f>
        <v/>
      </c>
      <c r="AX244" s="28" t="str">
        <f>IF(AV244="","",TEXT(AV244,"dd/mm/yyyy")&amp;" - "&amp;TEXT(AW244,"dd/mm/yyyy"))</f>
        <v/>
      </c>
      <c r="AY244" s="28" t="str">
        <f>IF(B244="","",COUNTIFS($B$5:B244,B244,$AT$5:AT244,AT244))</f>
        <v/>
      </c>
      <c r="AZ244" s="28" t="str">
        <f>IF(B244="","",COUNTIFS($B$5:B244,B244,$AV$5:AV244,AV244))</f>
        <v/>
      </c>
      <c r="BA244" s="28" t="str">
        <f>IF(B244="","",TEXT(AY244,"00")&amp;"|"&amp;B244&amp;"|"&amp;TEXT(AT244,"yyyymmdd"))</f>
        <v/>
      </c>
      <c r="BB244" s="28" t="str">
        <f>IF(B244="","",TEXT(AZ244,"00")&amp;"|"&amp;B244&amp;"|"&amp;TEXT(AV244,"yyyymmdd"))</f>
        <v/>
      </c>
      <c r="BC244" s="28">
        <f>IF(OR(AQ244="YES",AQ244="Yes",AQ244="Y",AQ244=1),1,0)</f>
        <v>0</v>
      </c>
    </row>
    <row r="245" spans="1:55" ht="15" customHeight="1">
      <c r="A245" s="27"/>
      <c r="B245" s="28"/>
      <c r="C245" s="29"/>
      <c r="D245" s="30"/>
      <c r="E245" s="30"/>
      <c r="F245" s="28"/>
      <c r="G245" s="28"/>
      <c r="H245" s="28"/>
      <c r="I245" s="13"/>
      <c r="J245" s="28"/>
      <c r="K245" s="13"/>
      <c r="L245" s="28"/>
      <c r="M245" s="13"/>
      <c r="N245" s="28"/>
      <c r="O245" s="13"/>
      <c r="P245" s="28"/>
      <c r="Q245" s="20"/>
      <c r="R245" s="28"/>
      <c r="S245" s="20"/>
      <c r="T245" s="28"/>
      <c r="U245" s="13"/>
      <c r="V245" s="28"/>
      <c r="W245" s="13"/>
      <c r="X245" s="28"/>
      <c r="Y245" s="13"/>
      <c r="Z245" s="28"/>
      <c r="AA245" s="13"/>
      <c r="AB245" s="28"/>
      <c r="AC245" s="13"/>
      <c r="AD245" s="28"/>
      <c r="AE245" s="13"/>
      <c r="AF245" s="28"/>
      <c r="AG245" s="13"/>
      <c r="AH245" s="28"/>
      <c r="AI245" s="13"/>
      <c r="AJ245" s="28"/>
      <c r="AK245" s="13"/>
      <c r="AL245" s="28"/>
      <c r="AM245" s="13"/>
      <c r="AN245" s="28"/>
      <c r="AO245" s="13"/>
      <c r="AP245" s="28"/>
      <c r="AQ245" s="13"/>
      <c r="AR245" s="28"/>
      <c r="AS245" s="19">
        <f>SUM(H245,J245,L245,N245,P245,R245,T245,V245,X245,Z245,AB245,AD245,AF245,AH245,AJ245,AL245,AN245)</f>
        <v>0</v>
      </c>
      <c r="AT245" s="29" t="str">
        <f>IF(C245="","",DATE(YEAR(C245),MONTH(C245),1))</f>
        <v/>
      </c>
      <c r="AU245" s="28" t="str">
        <f>IF(AT245="","",TEXT(AT245,"mmmm yyyy"))</f>
        <v/>
      </c>
      <c r="AV245" s="29" t="str">
        <f>IF(C245="","",C245-WEEKDAY(C245,2)+1)</f>
        <v/>
      </c>
      <c r="AW245" s="29" t="str">
        <f>IF(AV245="","",AV245+6)</f>
        <v/>
      </c>
      <c r="AX245" s="28" t="str">
        <f>IF(AV245="","",TEXT(AV245,"dd/mm/yyyy")&amp;" - "&amp;TEXT(AW245,"dd/mm/yyyy"))</f>
        <v/>
      </c>
      <c r="AY245" s="28" t="str">
        <f>IF(B245="","",COUNTIFS($B$5:B245,B245,$AT$5:AT245,AT245))</f>
        <v/>
      </c>
      <c r="AZ245" s="28" t="str">
        <f>IF(B245="","",COUNTIFS($B$5:B245,B245,$AV$5:AV245,AV245))</f>
        <v/>
      </c>
      <c r="BA245" s="28" t="str">
        <f>IF(B245="","",TEXT(AY245,"00")&amp;"|"&amp;B245&amp;"|"&amp;TEXT(AT245,"yyyymmdd"))</f>
        <v/>
      </c>
      <c r="BB245" s="28" t="str">
        <f>IF(B245="","",TEXT(AZ245,"00")&amp;"|"&amp;B245&amp;"|"&amp;TEXT(AV245,"yyyymmdd"))</f>
        <v/>
      </c>
      <c r="BC245" s="28">
        <f>IF(OR(AQ245="YES",AQ245="Yes",AQ245="Y",AQ245=1),1,0)</f>
        <v>0</v>
      </c>
    </row>
    <row r="246" spans="1:55" ht="15" customHeight="1">
      <c r="A246" s="27"/>
      <c r="B246" s="28"/>
      <c r="C246" s="29"/>
      <c r="D246" s="30"/>
      <c r="E246" s="30"/>
      <c r="F246" s="28"/>
      <c r="G246" s="28"/>
      <c r="H246" s="28"/>
      <c r="I246" s="13"/>
      <c r="J246" s="28"/>
      <c r="K246" s="13"/>
      <c r="L246" s="28"/>
      <c r="M246" s="13"/>
      <c r="N246" s="28"/>
      <c r="O246" s="13"/>
      <c r="P246" s="28"/>
      <c r="Q246" s="20"/>
      <c r="R246" s="28"/>
      <c r="S246" s="20"/>
      <c r="T246" s="28"/>
      <c r="U246" s="13"/>
      <c r="V246" s="28"/>
      <c r="W246" s="13"/>
      <c r="X246" s="28"/>
      <c r="Y246" s="13"/>
      <c r="Z246" s="28"/>
      <c r="AA246" s="13"/>
      <c r="AB246" s="28"/>
      <c r="AC246" s="13"/>
      <c r="AD246" s="28"/>
      <c r="AE246" s="13"/>
      <c r="AF246" s="28"/>
      <c r="AG246" s="13"/>
      <c r="AH246" s="28"/>
      <c r="AI246" s="13"/>
      <c r="AJ246" s="28"/>
      <c r="AK246" s="13"/>
      <c r="AL246" s="28"/>
      <c r="AM246" s="13"/>
      <c r="AN246" s="28"/>
      <c r="AO246" s="13"/>
      <c r="AP246" s="28"/>
      <c r="AQ246" s="13"/>
      <c r="AR246" s="28"/>
      <c r="AS246" s="19">
        <f>SUM(H246,J246,L246,N246,P246,R246,T246,V246,X246,Z246,AB246,AD246,AF246,AH246,AJ246,AL246,AN246)</f>
        <v>0</v>
      </c>
      <c r="AT246" s="29" t="str">
        <f>IF(C246="","",DATE(YEAR(C246),MONTH(C246),1))</f>
        <v/>
      </c>
      <c r="AU246" s="28" t="str">
        <f>IF(AT246="","",TEXT(AT246,"mmmm yyyy"))</f>
        <v/>
      </c>
      <c r="AV246" s="29" t="str">
        <f>IF(C246="","",C246-WEEKDAY(C246,2)+1)</f>
        <v/>
      </c>
      <c r="AW246" s="29" t="str">
        <f>IF(AV246="","",AV246+6)</f>
        <v/>
      </c>
      <c r="AX246" s="28" t="str">
        <f>IF(AV246="","",TEXT(AV246,"dd/mm/yyyy")&amp;" - "&amp;TEXT(AW246,"dd/mm/yyyy"))</f>
        <v/>
      </c>
      <c r="AY246" s="28" t="str">
        <f>IF(B246="","",COUNTIFS($B$5:B246,B246,$AT$5:AT246,AT246))</f>
        <v/>
      </c>
      <c r="AZ246" s="28" t="str">
        <f>IF(B246="","",COUNTIFS($B$5:B246,B246,$AV$5:AV246,AV246))</f>
        <v/>
      </c>
      <c r="BA246" s="28" t="str">
        <f>IF(B246="","",TEXT(AY246,"00")&amp;"|"&amp;B246&amp;"|"&amp;TEXT(AT246,"yyyymmdd"))</f>
        <v/>
      </c>
      <c r="BB246" s="28" t="str">
        <f>IF(B246="","",TEXT(AZ246,"00")&amp;"|"&amp;B246&amp;"|"&amp;TEXT(AV246,"yyyymmdd"))</f>
        <v/>
      </c>
      <c r="BC246" s="28">
        <f>IF(OR(AQ246="YES",AQ246="Yes",AQ246="Y",AQ246=1),1,0)</f>
        <v>0</v>
      </c>
    </row>
    <row r="247" spans="1:55" ht="15" customHeight="1">
      <c r="A247" s="27"/>
      <c r="B247" s="28"/>
      <c r="C247" s="29"/>
      <c r="D247" s="30"/>
      <c r="E247" s="30"/>
      <c r="F247" s="28"/>
      <c r="G247" s="28"/>
      <c r="H247" s="28"/>
      <c r="I247" s="13"/>
      <c r="J247" s="28"/>
      <c r="K247" s="13"/>
      <c r="L247" s="28"/>
      <c r="M247" s="13"/>
      <c r="N247" s="28"/>
      <c r="O247" s="13"/>
      <c r="P247" s="28"/>
      <c r="Q247" s="20"/>
      <c r="R247" s="28"/>
      <c r="S247" s="20"/>
      <c r="T247" s="28"/>
      <c r="U247" s="13"/>
      <c r="V247" s="28"/>
      <c r="W247" s="13"/>
      <c r="X247" s="28"/>
      <c r="Y247" s="13"/>
      <c r="Z247" s="28"/>
      <c r="AA247" s="13"/>
      <c r="AB247" s="28"/>
      <c r="AC247" s="13"/>
      <c r="AD247" s="28"/>
      <c r="AE247" s="13"/>
      <c r="AF247" s="28"/>
      <c r="AG247" s="13"/>
      <c r="AH247" s="28"/>
      <c r="AI247" s="13"/>
      <c r="AJ247" s="28"/>
      <c r="AK247" s="13"/>
      <c r="AL247" s="28"/>
      <c r="AM247" s="13"/>
      <c r="AN247" s="28"/>
      <c r="AO247" s="13"/>
      <c r="AP247" s="28"/>
      <c r="AQ247" s="13"/>
      <c r="AR247" s="28"/>
      <c r="AS247" s="19">
        <f>SUM(H247,J247,L247,N247,P247,R247,T247,V247,X247,Z247,AB247,AD247,AF247,AH247,AJ247,AL247,AN247)</f>
        <v>0</v>
      </c>
      <c r="AT247" s="29" t="str">
        <f>IF(C247="","",DATE(YEAR(C247),MONTH(C247),1))</f>
        <v/>
      </c>
      <c r="AU247" s="28" t="str">
        <f>IF(AT247="","",TEXT(AT247,"mmmm yyyy"))</f>
        <v/>
      </c>
      <c r="AV247" s="29" t="str">
        <f>IF(C247="","",C247-WEEKDAY(C247,2)+1)</f>
        <v/>
      </c>
      <c r="AW247" s="29" t="str">
        <f>IF(AV247="","",AV247+6)</f>
        <v/>
      </c>
      <c r="AX247" s="28" t="str">
        <f>IF(AV247="","",TEXT(AV247,"dd/mm/yyyy")&amp;" - "&amp;TEXT(AW247,"dd/mm/yyyy"))</f>
        <v/>
      </c>
      <c r="AY247" s="28" t="str">
        <f>IF(B247="","",COUNTIFS($B$5:B247,B247,$AT$5:AT247,AT247))</f>
        <v/>
      </c>
      <c r="AZ247" s="28" t="str">
        <f>IF(B247="","",COUNTIFS($B$5:B247,B247,$AV$5:AV247,AV247))</f>
        <v/>
      </c>
      <c r="BA247" s="28" t="str">
        <f>IF(B247="","",TEXT(AY247,"00")&amp;"|"&amp;B247&amp;"|"&amp;TEXT(AT247,"yyyymmdd"))</f>
        <v/>
      </c>
      <c r="BB247" s="28" t="str">
        <f>IF(B247="","",TEXT(AZ247,"00")&amp;"|"&amp;B247&amp;"|"&amp;TEXT(AV247,"yyyymmdd"))</f>
        <v/>
      </c>
      <c r="BC247" s="28">
        <f>IF(OR(AQ247="YES",AQ247="Yes",AQ247="Y",AQ247=1),1,0)</f>
        <v>0</v>
      </c>
    </row>
    <row r="248" spans="1:55" ht="15" customHeight="1">
      <c r="A248" s="27"/>
      <c r="B248" s="28"/>
      <c r="C248" s="29"/>
      <c r="D248" s="30"/>
      <c r="E248" s="30"/>
      <c r="F248" s="28"/>
      <c r="G248" s="28"/>
      <c r="H248" s="28"/>
      <c r="I248" s="13"/>
      <c r="J248" s="28"/>
      <c r="K248" s="13"/>
      <c r="L248" s="28"/>
      <c r="M248" s="13"/>
      <c r="N248" s="28"/>
      <c r="O248" s="13"/>
      <c r="P248" s="28"/>
      <c r="Q248" s="20"/>
      <c r="R248" s="28"/>
      <c r="S248" s="20"/>
      <c r="T248" s="28"/>
      <c r="U248" s="13"/>
      <c r="V248" s="28"/>
      <c r="W248" s="13"/>
      <c r="X248" s="28"/>
      <c r="Y248" s="13"/>
      <c r="Z248" s="28"/>
      <c r="AA248" s="13"/>
      <c r="AB248" s="28"/>
      <c r="AC248" s="13"/>
      <c r="AD248" s="28"/>
      <c r="AE248" s="13"/>
      <c r="AF248" s="28"/>
      <c r="AG248" s="13"/>
      <c r="AH248" s="28"/>
      <c r="AI248" s="13"/>
      <c r="AJ248" s="28"/>
      <c r="AK248" s="13"/>
      <c r="AL248" s="28"/>
      <c r="AM248" s="13"/>
      <c r="AN248" s="28"/>
      <c r="AO248" s="13"/>
      <c r="AP248" s="28"/>
      <c r="AQ248" s="13"/>
      <c r="AR248" s="28"/>
      <c r="AS248" s="19">
        <f>SUM(H248,J248,L248,N248,P248,R248,T248,V248,X248,Z248,AB248,AD248,AF248,AH248,AJ248,AL248,AN248)</f>
        <v>0</v>
      </c>
      <c r="AT248" s="29" t="str">
        <f>IF(C248="","",DATE(YEAR(C248),MONTH(C248),1))</f>
        <v/>
      </c>
      <c r="AU248" s="28" t="str">
        <f>IF(AT248="","",TEXT(AT248,"mmmm yyyy"))</f>
        <v/>
      </c>
      <c r="AV248" s="29" t="str">
        <f>IF(C248="","",C248-WEEKDAY(C248,2)+1)</f>
        <v/>
      </c>
      <c r="AW248" s="29" t="str">
        <f>IF(AV248="","",AV248+6)</f>
        <v/>
      </c>
      <c r="AX248" s="28" t="str">
        <f>IF(AV248="","",TEXT(AV248,"dd/mm/yyyy")&amp;" - "&amp;TEXT(AW248,"dd/mm/yyyy"))</f>
        <v/>
      </c>
      <c r="AY248" s="28" t="str">
        <f>IF(B248="","",COUNTIFS($B$5:B248,B248,$AT$5:AT248,AT248))</f>
        <v/>
      </c>
      <c r="AZ248" s="28" t="str">
        <f>IF(B248="","",COUNTIFS($B$5:B248,B248,$AV$5:AV248,AV248))</f>
        <v/>
      </c>
      <c r="BA248" s="28" t="str">
        <f>IF(B248="","",TEXT(AY248,"00")&amp;"|"&amp;B248&amp;"|"&amp;TEXT(AT248,"yyyymmdd"))</f>
        <v/>
      </c>
      <c r="BB248" s="28" t="str">
        <f>IF(B248="","",TEXT(AZ248,"00")&amp;"|"&amp;B248&amp;"|"&amp;TEXT(AV248,"yyyymmdd"))</f>
        <v/>
      </c>
      <c r="BC248" s="28">
        <f>IF(OR(AQ248="YES",AQ248="Yes",AQ248="Y",AQ248=1),1,0)</f>
        <v>0</v>
      </c>
    </row>
    <row r="249" spans="1:55" ht="15" customHeight="1">
      <c r="A249" s="27"/>
      <c r="B249" s="28"/>
      <c r="C249" s="29"/>
      <c r="D249" s="30"/>
      <c r="E249" s="30"/>
      <c r="F249" s="28"/>
      <c r="G249" s="28"/>
      <c r="H249" s="28"/>
      <c r="I249" s="13"/>
      <c r="J249" s="28"/>
      <c r="K249" s="13"/>
      <c r="L249" s="28"/>
      <c r="M249" s="13"/>
      <c r="N249" s="28"/>
      <c r="O249" s="13"/>
      <c r="P249" s="28"/>
      <c r="Q249" s="20"/>
      <c r="R249" s="28"/>
      <c r="S249" s="20"/>
      <c r="T249" s="28"/>
      <c r="U249" s="13"/>
      <c r="V249" s="28"/>
      <c r="W249" s="13"/>
      <c r="X249" s="28"/>
      <c r="Y249" s="13"/>
      <c r="Z249" s="28"/>
      <c r="AA249" s="13"/>
      <c r="AB249" s="28"/>
      <c r="AC249" s="13"/>
      <c r="AD249" s="28"/>
      <c r="AE249" s="13"/>
      <c r="AF249" s="28"/>
      <c r="AG249" s="13"/>
      <c r="AH249" s="28"/>
      <c r="AI249" s="13"/>
      <c r="AJ249" s="28"/>
      <c r="AK249" s="13"/>
      <c r="AL249" s="28"/>
      <c r="AM249" s="13"/>
      <c r="AN249" s="28"/>
      <c r="AO249" s="13"/>
      <c r="AP249" s="28"/>
      <c r="AQ249" s="13"/>
      <c r="AR249" s="28"/>
      <c r="AS249" s="19">
        <f>SUM(H249,J249,L249,N249,P249,R249,T249,V249,X249,Z249,AB249,AD249,AF249,AH249,AJ249,AL249,AN249)</f>
        <v>0</v>
      </c>
      <c r="AT249" s="29" t="str">
        <f>IF(C249="","",DATE(YEAR(C249),MONTH(C249),1))</f>
        <v/>
      </c>
      <c r="AU249" s="28" t="str">
        <f>IF(AT249="","",TEXT(AT249,"mmmm yyyy"))</f>
        <v/>
      </c>
      <c r="AV249" s="29" t="str">
        <f>IF(C249="","",C249-WEEKDAY(C249,2)+1)</f>
        <v/>
      </c>
      <c r="AW249" s="29" t="str">
        <f>IF(AV249="","",AV249+6)</f>
        <v/>
      </c>
      <c r="AX249" s="28" t="str">
        <f>IF(AV249="","",TEXT(AV249,"dd/mm/yyyy")&amp;" - "&amp;TEXT(AW249,"dd/mm/yyyy"))</f>
        <v/>
      </c>
      <c r="AY249" s="28" t="str">
        <f>IF(B249="","",COUNTIFS($B$5:B249,B249,$AT$5:AT249,AT249))</f>
        <v/>
      </c>
      <c r="AZ249" s="28" t="str">
        <f>IF(B249="","",COUNTIFS($B$5:B249,B249,$AV$5:AV249,AV249))</f>
        <v/>
      </c>
      <c r="BA249" s="28" t="str">
        <f>IF(B249="","",TEXT(AY249,"00")&amp;"|"&amp;B249&amp;"|"&amp;TEXT(AT249,"yyyymmdd"))</f>
        <v/>
      </c>
      <c r="BB249" s="28" t="str">
        <f>IF(B249="","",TEXT(AZ249,"00")&amp;"|"&amp;B249&amp;"|"&amp;TEXT(AV249,"yyyymmdd"))</f>
        <v/>
      </c>
      <c r="BC249" s="28">
        <f>IF(OR(AQ249="YES",AQ249="Yes",AQ249="Y",AQ249=1),1,0)</f>
        <v>0</v>
      </c>
    </row>
    <row r="250" spans="1:55" ht="15" customHeight="1">
      <c r="A250" s="27"/>
      <c r="B250" s="28"/>
      <c r="C250" s="29"/>
      <c r="D250" s="30"/>
      <c r="E250" s="30"/>
      <c r="F250" s="28"/>
      <c r="G250" s="28"/>
      <c r="H250" s="28"/>
      <c r="I250" s="13"/>
      <c r="J250" s="28"/>
      <c r="K250" s="13"/>
      <c r="L250" s="28"/>
      <c r="M250" s="13"/>
      <c r="N250" s="28"/>
      <c r="O250" s="13"/>
      <c r="P250" s="28"/>
      <c r="Q250" s="20"/>
      <c r="R250" s="28"/>
      <c r="S250" s="20"/>
      <c r="T250" s="28"/>
      <c r="U250" s="13"/>
      <c r="V250" s="28"/>
      <c r="W250" s="13"/>
      <c r="X250" s="28"/>
      <c r="Y250" s="13"/>
      <c r="Z250" s="28"/>
      <c r="AA250" s="13"/>
      <c r="AB250" s="28"/>
      <c r="AC250" s="13"/>
      <c r="AD250" s="28"/>
      <c r="AE250" s="13"/>
      <c r="AF250" s="28"/>
      <c r="AG250" s="13"/>
      <c r="AH250" s="28"/>
      <c r="AI250" s="13"/>
      <c r="AJ250" s="28"/>
      <c r="AK250" s="13"/>
      <c r="AL250" s="28"/>
      <c r="AM250" s="13"/>
      <c r="AN250" s="28"/>
      <c r="AO250" s="13"/>
      <c r="AP250" s="28"/>
      <c r="AQ250" s="13"/>
      <c r="AR250" s="28"/>
      <c r="AS250" s="19">
        <f>SUM(H250,J250,L250,N250,P250,R250,T250,V250,X250,Z250,AB250,AD250,AF250,AH250,AJ250,AL250,AN250)</f>
        <v>0</v>
      </c>
      <c r="AT250" s="29" t="str">
        <f>IF(C250="","",DATE(YEAR(C250),MONTH(C250),1))</f>
        <v/>
      </c>
      <c r="AU250" s="28" t="str">
        <f>IF(AT250="","",TEXT(AT250,"mmmm yyyy"))</f>
        <v/>
      </c>
      <c r="AV250" s="29" t="str">
        <f>IF(C250="","",C250-WEEKDAY(C250,2)+1)</f>
        <v/>
      </c>
      <c r="AW250" s="29" t="str">
        <f>IF(AV250="","",AV250+6)</f>
        <v/>
      </c>
      <c r="AX250" s="28" t="str">
        <f>IF(AV250="","",TEXT(AV250,"dd/mm/yyyy")&amp;" - "&amp;TEXT(AW250,"dd/mm/yyyy"))</f>
        <v/>
      </c>
      <c r="AY250" s="28" t="str">
        <f>IF(B250="","",COUNTIFS($B$5:B250,B250,$AT$5:AT250,AT250))</f>
        <v/>
      </c>
      <c r="AZ250" s="28" t="str">
        <f>IF(B250="","",COUNTIFS($B$5:B250,B250,$AV$5:AV250,AV250))</f>
        <v/>
      </c>
      <c r="BA250" s="28" t="str">
        <f>IF(B250="","",TEXT(AY250,"00")&amp;"|"&amp;B250&amp;"|"&amp;TEXT(AT250,"yyyymmdd"))</f>
        <v/>
      </c>
      <c r="BB250" s="28" t="str">
        <f>IF(B250="","",TEXT(AZ250,"00")&amp;"|"&amp;B250&amp;"|"&amp;TEXT(AV250,"yyyymmdd"))</f>
        <v/>
      </c>
      <c r="BC250" s="28">
        <f>IF(OR(AQ250="YES",AQ250="Yes",AQ250="Y",AQ250=1),1,0)</f>
        <v>0</v>
      </c>
    </row>
    <row r="251" spans="1:55" ht="15" customHeight="1">
      <c r="A251" s="27"/>
      <c r="B251" s="28"/>
      <c r="C251" s="29"/>
      <c r="D251" s="30"/>
      <c r="E251" s="30"/>
      <c r="F251" s="28"/>
      <c r="G251" s="28"/>
      <c r="H251" s="28"/>
      <c r="I251" s="13"/>
      <c r="J251" s="28"/>
      <c r="K251" s="13"/>
      <c r="L251" s="28"/>
      <c r="M251" s="13"/>
      <c r="N251" s="28"/>
      <c r="O251" s="13"/>
      <c r="P251" s="28"/>
      <c r="Q251" s="20"/>
      <c r="R251" s="28"/>
      <c r="S251" s="20"/>
      <c r="T251" s="28"/>
      <c r="U251" s="13"/>
      <c r="V251" s="28"/>
      <c r="W251" s="13"/>
      <c r="X251" s="28"/>
      <c r="Y251" s="13"/>
      <c r="Z251" s="28"/>
      <c r="AA251" s="13"/>
      <c r="AB251" s="28"/>
      <c r="AC251" s="13"/>
      <c r="AD251" s="28"/>
      <c r="AE251" s="13"/>
      <c r="AF251" s="28"/>
      <c r="AG251" s="13"/>
      <c r="AH251" s="28"/>
      <c r="AI251" s="13"/>
      <c r="AJ251" s="28"/>
      <c r="AK251" s="13"/>
      <c r="AL251" s="28"/>
      <c r="AM251" s="13"/>
      <c r="AN251" s="28"/>
      <c r="AO251" s="13"/>
      <c r="AP251" s="28"/>
      <c r="AQ251" s="13"/>
      <c r="AR251" s="28"/>
      <c r="AS251" s="19">
        <f>SUM(H251,J251,L251,N251,P251,R251,T251,V251,X251,Z251,AB251,AD251,AF251,AH251,AJ251,AL251,AN251)</f>
        <v>0</v>
      </c>
      <c r="AT251" s="29" t="str">
        <f>IF(C251="","",DATE(YEAR(C251),MONTH(C251),1))</f>
        <v/>
      </c>
      <c r="AU251" s="28" t="str">
        <f>IF(AT251="","",TEXT(AT251,"mmmm yyyy"))</f>
        <v/>
      </c>
      <c r="AV251" s="29" t="str">
        <f>IF(C251="","",C251-WEEKDAY(C251,2)+1)</f>
        <v/>
      </c>
      <c r="AW251" s="29" t="str">
        <f>IF(AV251="","",AV251+6)</f>
        <v/>
      </c>
      <c r="AX251" s="28" t="str">
        <f>IF(AV251="","",TEXT(AV251,"dd/mm/yyyy")&amp;" - "&amp;TEXT(AW251,"dd/mm/yyyy"))</f>
        <v/>
      </c>
      <c r="AY251" s="28" t="str">
        <f>IF(B251="","",COUNTIFS($B$5:B251,B251,$AT$5:AT251,AT251))</f>
        <v/>
      </c>
      <c r="AZ251" s="28" t="str">
        <f>IF(B251="","",COUNTIFS($B$5:B251,B251,$AV$5:AV251,AV251))</f>
        <v/>
      </c>
      <c r="BA251" s="28" t="str">
        <f>IF(B251="","",TEXT(AY251,"00")&amp;"|"&amp;B251&amp;"|"&amp;TEXT(AT251,"yyyymmdd"))</f>
        <v/>
      </c>
      <c r="BB251" s="28" t="str">
        <f>IF(B251="","",TEXT(AZ251,"00")&amp;"|"&amp;B251&amp;"|"&amp;TEXT(AV251,"yyyymmdd"))</f>
        <v/>
      </c>
      <c r="BC251" s="28">
        <f>IF(OR(AQ251="YES",AQ251="Yes",AQ251="Y",AQ251=1),1,0)</f>
        <v>0</v>
      </c>
    </row>
    <row r="252" spans="1:55" ht="15" customHeight="1">
      <c r="A252" s="27"/>
      <c r="B252" s="28"/>
      <c r="C252" s="29"/>
      <c r="D252" s="30"/>
      <c r="E252" s="30"/>
      <c r="F252" s="28"/>
      <c r="G252" s="28"/>
      <c r="H252" s="28"/>
      <c r="I252" s="13"/>
      <c r="J252" s="28"/>
      <c r="K252" s="13"/>
      <c r="L252" s="28"/>
      <c r="M252" s="13"/>
      <c r="N252" s="28"/>
      <c r="O252" s="13"/>
      <c r="P252" s="28"/>
      <c r="Q252" s="20"/>
      <c r="R252" s="28"/>
      <c r="S252" s="20"/>
      <c r="T252" s="28"/>
      <c r="U252" s="13"/>
      <c r="V252" s="28"/>
      <c r="W252" s="13"/>
      <c r="X252" s="28"/>
      <c r="Y252" s="13"/>
      <c r="Z252" s="28"/>
      <c r="AA252" s="13"/>
      <c r="AB252" s="28"/>
      <c r="AC252" s="13"/>
      <c r="AD252" s="28"/>
      <c r="AE252" s="13"/>
      <c r="AF252" s="28"/>
      <c r="AG252" s="13"/>
      <c r="AH252" s="28"/>
      <c r="AI252" s="13"/>
      <c r="AJ252" s="28"/>
      <c r="AK252" s="13"/>
      <c r="AL252" s="28"/>
      <c r="AM252" s="13"/>
      <c r="AN252" s="28"/>
      <c r="AO252" s="13"/>
      <c r="AP252" s="28"/>
      <c r="AQ252" s="13"/>
      <c r="AR252" s="28"/>
      <c r="AS252" s="19">
        <f>SUM(H252,J252,L252,N252,P252,R252,T252,V252,X252,Z252,AB252,AD252,AF252,AH252,AJ252,AL252,AN252)</f>
        <v>0</v>
      </c>
      <c r="AT252" s="29" t="str">
        <f>IF(C252="","",DATE(YEAR(C252),MONTH(C252),1))</f>
        <v/>
      </c>
      <c r="AU252" s="28" t="str">
        <f>IF(AT252="","",TEXT(AT252,"mmmm yyyy"))</f>
        <v/>
      </c>
      <c r="AV252" s="29" t="str">
        <f>IF(C252="","",C252-WEEKDAY(C252,2)+1)</f>
        <v/>
      </c>
      <c r="AW252" s="29" t="str">
        <f>IF(AV252="","",AV252+6)</f>
        <v/>
      </c>
      <c r="AX252" s="28" t="str">
        <f>IF(AV252="","",TEXT(AV252,"dd/mm/yyyy")&amp;" - "&amp;TEXT(AW252,"dd/mm/yyyy"))</f>
        <v/>
      </c>
      <c r="AY252" s="28" t="str">
        <f>IF(B252="","",COUNTIFS($B$5:B252,B252,$AT$5:AT252,AT252))</f>
        <v/>
      </c>
      <c r="AZ252" s="28" t="str">
        <f>IF(B252="","",COUNTIFS($B$5:B252,B252,$AV$5:AV252,AV252))</f>
        <v/>
      </c>
      <c r="BA252" s="28" t="str">
        <f>IF(B252="","",TEXT(AY252,"00")&amp;"|"&amp;B252&amp;"|"&amp;TEXT(AT252,"yyyymmdd"))</f>
        <v/>
      </c>
      <c r="BB252" s="28" t="str">
        <f>IF(B252="","",TEXT(AZ252,"00")&amp;"|"&amp;B252&amp;"|"&amp;TEXT(AV252,"yyyymmdd"))</f>
        <v/>
      </c>
      <c r="BC252" s="28">
        <f>IF(OR(AQ252="YES",AQ252="Yes",AQ252="Y",AQ252=1),1,0)</f>
        <v>0</v>
      </c>
    </row>
    <row r="253" spans="1:55" ht="15" customHeight="1">
      <c r="A253" s="27"/>
      <c r="B253" s="28"/>
      <c r="C253" s="29"/>
      <c r="D253" s="30"/>
      <c r="E253" s="30"/>
      <c r="F253" s="28"/>
      <c r="G253" s="28"/>
      <c r="H253" s="28"/>
      <c r="I253" s="13"/>
      <c r="J253" s="28"/>
      <c r="K253" s="13"/>
      <c r="L253" s="28"/>
      <c r="M253" s="13"/>
      <c r="N253" s="28"/>
      <c r="O253" s="13"/>
      <c r="P253" s="28"/>
      <c r="Q253" s="20"/>
      <c r="R253" s="28"/>
      <c r="S253" s="20"/>
      <c r="T253" s="28"/>
      <c r="U253" s="13"/>
      <c r="V253" s="28"/>
      <c r="W253" s="13"/>
      <c r="X253" s="28"/>
      <c r="Y253" s="13"/>
      <c r="Z253" s="28"/>
      <c r="AA253" s="13"/>
      <c r="AB253" s="28"/>
      <c r="AC253" s="13"/>
      <c r="AD253" s="28"/>
      <c r="AE253" s="13"/>
      <c r="AF253" s="28"/>
      <c r="AG253" s="13"/>
      <c r="AH253" s="28"/>
      <c r="AI253" s="13"/>
      <c r="AJ253" s="28"/>
      <c r="AK253" s="13"/>
      <c r="AL253" s="28"/>
      <c r="AM253" s="13"/>
      <c r="AN253" s="28"/>
      <c r="AO253" s="13"/>
      <c r="AP253" s="28"/>
      <c r="AQ253" s="13"/>
      <c r="AR253" s="28"/>
      <c r="AS253" s="19">
        <f>SUM(H253,J253,L253,N253,P253,R253,T253,V253,X253,Z253,AB253,AD253,AF253,AH253,AJ253,AL253,AN253)</f>
        <v>0</v>
      </c>
      <c r="AT253" s="29" t="str">
        <f>IF(C253="","",DATE(YEAR(C253),MONTH(C253),1))</f>
        <v/>
      </c>
      <c r="AU253" s="28" t="str">
        <f>IF(AT253="","",TEXT(AT253,"mmmm yyyy"))</f>
        <v/>
      </c>
      <c r="AV253" s="29" t="str">
        <f>IF(C253="","",C253-WEEKDAY(C253,2)+1)</f>
        <v/>
      </c>
      <c r="AW253" s="29" t="str">
        <f>IF(AV253="","",AV253+6)</f>
        <v/>
      </c>
      <c r="AX253" s="28" t="str">
        <f>IF(AV253="","",TEXT(AV253,"dd/mm/yyyy")&amp;" - "&amp;TEXT(AW253,"dd/mm/yyyy"))</f>
        <v/>
      </c>
      <c r="AY253" s="28" t="str">
        <f>IF(B253="","",COUNTIFS($B$5:B253,B253,$AT$5:AT253,AT253))</f>
        <v/>
      </c>
      <c r="AZ253" s="28" t="str">
        <f>IF(B253="","",COUNTIFS($B$5:B253,B253,$AV$5:AV253,AV253))</f>
        <v/>
      </c>
      <c r="BA253" s="28" t="str">
        <f>IF(B253="","",TEXT(AY253,"00")&amp;"|"&amp;B253&amp;"|"&amp;TEXT(AT253,"yyyymmdd"))</f>
        <v/>
      </c>
      <c r="BB253" s="28" t="str">
        <f>IF(B253="","",TEXT(AZ253,"00")&amp;"|"&amp;B253&amp;"|"&amp;TEXT(AV253,"yyyymmdd"))</f>
        <v/>
      </c>
      <c r="BC253" s="28">
        <f>IF(OR(AQ253="YES",AQ253="Yes",AQ253="Y",AQ253=1),1,0)</f>
        <v>0</v>
      </c>
    </row>
    <row r="254" spans="1:55" ht="15" customHeight="1">
      <c r="A254" s="27"/>
      <c r="B254" s="28"/>
      <c r="C254" s="29"/>
      <c r="D254" s="30"/>
      <c r="E254" s="30"/>
      <c r="F254" s="28"/>
      <c r="G254" s="28"/>
      <c r="H254" s="28"/>
      <c r="I254" s="13"/>
      <c r="J254" s="28"/>
      <c r="K254" s="13"/>
      <c r="L254" s="28"/>
      <c r="M254" s="13"/>
      <c r="N254" s="28"/>
      <c r="O254" s="13"/>
      <c r="P254" s="28"/>
      <c r="Q254" s="20"/>
      <c r="R254" s="28"/>
      <c r="S254" s="20"/>
      <c r="T254" s="28"/>
      <c r="U254" s="13"/>
      <c r="V254" s="28"/>
      <c r="W254" s="13"/>
      <c r="X254" s="28"/>
      <c r="Y254" s="13"/>
      <c r="Z254" s="28"/>
      <c r="AA254" s="13"/>
      <c r="AB254" s="28"/>
      <c r="AC254" s="13"/>
      <c r="AD254" s="28"/>
      <c r="AE254" s="13"/>
      <c r="AF254" s="28"/>
      <c r="AG254" s="13"/>
      <c r="AH254" s="28"/>
      <c r="AI254" s="13"/>
      <c r="AJ254" s="28"/>
      <c r="AK254" s="13"/>
      <c r="AL254" s="28"/>
      <c r="AM254" s="13"/>
      <c r="AN254" s="28"/>
      <c r="AO254" s="13"/>
      <c r="AP254" s="28"/>
      <c r="AQ254" s="13"/>
      <c r="AR254" s="28"/>
      <c r="AS254" s="19">
        <f>SUM(H254,J254,L254,N254,P254,R254,T254,V254,X254,Z254,AB254,AD254,AF254,AH254,AJ254,AL254,AN254)</f>
        <v>0</v>
      </c>
      <c r="AT254" s="29" t="str">
        <f>IF(C254="","",DATE(YEAR(C254),MONTH(C254),1))</f>
        <v/>
      </c>
      <c r="AU254" s="28" t="str">
        <f>IF(AT254="","",TEXT(AT254,"mmmm yyyy"))</f>
        <v/>
      </c>
      <c r="AV254" s="29" t="str">
        <f>IF(C254="","",C254-WEEKDAY(C254,2)+1)</f>
        <v/>
      </c>
      <c r="AW254" s="29" t="str">
        <f>IF(AV254="","",AV254+6)</f>
        <v/>
      </c>
      <c r="AX254" s="28" t="str">
        <f>IF(AV254="","",TEXT(AV254,"dd/mm/yyyy")&amp;" - "&amp;TEXT(AW254,"dd/mm/yyyy"))</f>
        <v/>
      </c>
      <c r="AY254" s="28" t="str">
        <f>IF(B254="","",COUNTIFS($B$5:B254,B254,$AT$5:AT254,AT254))</f>
        <v/>
      </c>
      <c r="AZ254" s="28" t="str">
        <f>IF(B254="","",COUNTIFS($B$5:B254,B254,$AV$5:AV254,AV254))</f>
        <v/>
      </c>
      <c r="BA254" s="28" t="str">
        <f>IF(B254="","",TEXT(AY254,"00")&amp;"|"&amp;B254&amp;"|"&amp;TEXT(AT254,"yyyymmdd"))</f>
        <v/>
      </c>
      <c r="BB254" s="28" t="str">
        <f>IF(B254="","",TEXT(AZ254,"00")&amp;"|"&amp;B254&amp;"|"&amp;TEXT(AV254,"yyyymmdd"))</f>
        <v/>
      </c>
      <c r="BC254" s="28">
        <f>IF(OR(AQ254="YES",AQ254="Yes",AQ254="Y",AQ254=1),1,0)</f>
        <v>0</v>
      </c>
    </row>
    <row r="255" spans="1:55" ht="15" customHeight="1">
      <c r="A255" s="27"/>
      <c r="B255" s="28"/>
      <c r="C255" s="29"/>
      <c r="D255" s="30"/>
      <c r="E255" s="30"/>
      <c r="F255" s="28"/>
      <c r="G255" s="28"/>
      <c r="H255" s="28"/>
      <c r="I255" s="13"/>
      <c r="J255" s="28"/>
      <c r="K255" s="13"/>
      <c r="L255" s="28"/>
      <c r="M255" s="13"/>
      <c r="N255" s="28"/>
      <c r="O255" s="13"/>
      <c r="P255" s="28"/>
      <c r="Q255" s="20"/>
      <c r="R255" s="28"/>
      <c r="S255" s="20"/>
      <c r="T255" s="28"/>
      <c r="U255" s="13"/>
      <c r="V255" s="28"/>
      <c r="W255" s="13"/>
      <c r="X255" s="28"/>
      <c r="Y255" s="13"/>
      <c r="Z255" s="28"/>
      <c r="AA255" s="13"/>
      <c r="AB255" s="28"/>
      <c r="AC255" s="13"/>
      <c r="AD255" s="28"/>
      <c r="AE255" s="13"/>
      <c r="AF255" s="28"/>
      <c r="AG255" s="13"/>
      <c r="AH255" s="28"/>
      <c r="AI255" s="13"/>
      <c r="AJ255" s="28"/>
      <c r="AK255" s="13"/>
      <c r="AL255" s="28"/>
      <c r="AM255" s="13"/>
      <c r="AN255" s="28"/>
      <c r="AO255" s="13"/>
      <c r="AP255" s="28"/>
      <c r="AQ255" s="13"/>
      <c r="AR255" s="28"/>
      <c r="AS255" s="19">
        <f>SUM(H255,J255,L255,N255,P255,R255,T255,V255,X255,Z255,AB255,AD255,AF255,AH255,AJ255,AL255,AN255)</f>
        <v>0</v>
      </c>
      <c r="AT255" s="29" t="str">
        <f>IF(C255="","",DATE(YEAR(C255),MONTH(C255),1))</f>
        <v/>
      </c>
      <c r="AU255" s="28" t="str">
        <f>IF(AT255="","",TEXT(AT255,"mmmm yyyy"))</f>
        <v/>
      </c>
      <c r="AV255" s="29" t="str">
        <f>IF(C255="","",C255-WEEKDAY(C255,2)+1)</f>
        <v/>
      </c>
      <c r="AW255" s="29" t="str">
        <f>IF(AV255="","",AV255+6)</f>
        <v/>
      </c>
      <c r="AX255" s="28" t="str">
        <f>IF(AV255="","",TEXT(AV255,"dd/mm/yyyy")&amp;" - "&amp;TEXT(AW255,"dd/mm/yyyy"))</f>
        <v/>
      </c>
      <c r="AY255" s="28" t="str">
        <f>IF(B255="","",COUNTIFS($B$5:B255,B255,$AT$5:AT255,AT255))</f>
        <v/>
      </c>
      <c r="AZ255" s="28" t="str">
        <f>IF(B255="","",COUNTIFS($B$5:B255,B255,$AV$5:AV255,AV255))</f>
        <v/>
      </c>
      <c r="BA255" s="28" t="str">
        <f>IF(B255="","",TEXT(AY255,"00")&amp;"|"&amp;B255&amp;"|"&amp;TEXT(AT255,"yyyymmdd"))</f>
        <v/>
      </c>
      <c r="BB255" s="28" t="str">
        <f>IF(B255="","",TEXT(AZ255,"00")&amp;"|"&amp;B255&amp;"|"&amp;TEXT(AV255,"yyyymmdd"))</f>
        <v/>
      </c>
      <c r="BC255" s="28">
        <f>IF(OR(AQ255="YES",AQ255="Yes",AQ255="Y",AQ255=1),1,0)</f>
        <v>0</v>
      </c>
    </row>
    <row r="256" spans="1:55" ht="15" customHeight="1">
      <c r="A256" s="27"/>
      <c r="B256" s="28"/>
      <c r="C256" s="29"/>
      <c r="D256" s="30"/>
      <c r="E256" s="30"/>
      <c r="F256" s="28"/>
      <c r="G256" s="28"/>
      <c r="H256" s="28"/>
      <c r="I256" s="13"/>
      <c r="J256" s="28"/>
      <c r="K256" s="13"/>
      <c r="L256" s="28"/>
      <c r="M256" s="13"/>
      <c r="N256" s="28"/>
      <c r="O256" s="13"/>
      <c r="P256" s="28"/>
      <c r="Q256" s="20"/>
      <c r="R256" s="28"/>
      <c r="S256" s="20"/>
      <c r="T256" s="28"/>
      <c r="U256" s="13"/>
      <c r="V256" s="28"/>
      <c r="W256" s="13"/>
      <c r="X256" s="28"/>
      <c r="Y256" s="13"/>
      <c r="Z256" s="28"/>
      <c r="AA256" s="13"/>
      <c r="AB256" s="28"/>
      <c r="AC256" s="13"/>
      <c r="AD256" s="28"/>
      <c r="AE256" s="13"/>
      <c r="AF256" s="28"/>
      <c r="AG256" s="13"/>
      <c r="AH256" s="28"/>
      <c r="AI256" s="13"/>
      <c r="AJ256" s="28"/>
      <c r="AK256" s="13"/>
      <c r="AL256" s="28"/>
      <c r="AM256" s="13"/>
      <c r="AN256" s="28"/>
      <c r="AO256" s="13"/>
      <c r="AP256" s="28"/>
      <c r="AQ256" s="13"/>
      <c r="AR256" s="28"/>
      <c r="AS256" s="19">
        <f>SUM(H256,J256,L256,N256,P256,R256,T256,V256,X256,Z256,AB256,AD256,AF256,AH256,AJ256,AL256,AN256)</f>
        <v>0</v>
      </c>
      <c r="AT256" s="29" t="str">
        <f>IF(C256="","",DATE(YEAR(C256),MONTH(C256),1))</f>
        <v/>
      </c>
      <c r="AU256" s="28" t="str">
        <f>IF(AT256="","",TEXT(AT256,"mmmm yyyy"))</f>
        <v/>
      </c>
      <c r="AV256" s="29" t="str">
        <f>IF(C256="","",C256-WEEKDAY(C256,2)+1)</f>
        <v/>
      </c>
      <c r="AW256" s="29" t="str">
        <f>IF(AV256="","",AV256+6)</f>
        <v/>
      </c>
      <c r="AX256" s="28" t="str">
        <f>IF(AV256="","",TEXT(AV256,"dd/mm/yyyy")&amp;" - "&amp;TEXT(AW256,"dd/mm/yyyy"))</f>
        <v/>
      </c>
      <c r="AY256" s="28" t="str">
        <f>IF(B256="","",COUNTIFS($B$5:B256,B256,$AT$5:AT256,AT256))</f>
        <v/>
      </c>
      <c r="AZ256" s="28" t="str">
        <f>IF(B256="","",COUNTIFS($B$5:B256,B256,$AV$5:AV256,AV256))</f>
        <v/>
      </c>
      <c r="BA256" s="28" t="str">
        <f>IF(B256="","",TEXT(AY256,"00")&amp;"|"&amp;B256&amp;"|"&amp;TEXT(AT256,"yyyymmdd"))</f>
        <v/>
      </c>
      <c r="BB256" s="28" t="str">
        <f>IF(B256="","",TEXT(AZ256,"00")&amp;"|"&amp;B256&amp;"|"&amp;TEXT(AV256,"yyyymmdd"))</f>
        <v/>
      </c>
      <c r="BC256" s="28">
        <f>IF(OR(AQ256="YES",AQ256="Yes",AQ256="Y",AQ256=1),1,0)</f>
        <v>0</v>
      </c>
    </row>
    <row r="257" spans="1:55" ht="15" customHeight="1">
      <c r="A257" s="27"/>
      <c r="B257" s="28"/>
      <c r="C257" s="29"/>
      <c r="D257" s="30"/>
      <c r="E257" s="30"/>
      <c r="F257" s="28"/>
      <c r="G257" s="28"/>
      <c r="H257" s="28"/>
      <c r="I257" s="13"/>
      <c r="J257" s="28"/>
      <c r="K257" s="13"/>
      <c r="L257" s="28"/>
      <c r="M257" s="13"/>
      <c r="N257" s="28"/>
      <c r="O257" s="13"/>
      <c r="P257" s="28"/>
      <c r="Q257" s="20"/>
      <c r="R257" s="28"/>
      <c r="S257" s="20"/>
      <c r="T257" s="28"/>
      <c r="U257" s="13"/>
      <c r="V257" s="28"/>
      <c r="W257" s="13"/>
      <c r="X257" s="28"/>
      <c r="Y257" s="13"/>
      <c r="Z257" s="28"/>
      <c r="AA257" s="13"/>
      <c r="AB257" s="28"/>
      <c r="AC257" s="13"/>
      <c r="AD257" s="28"/>
      <c r="AE257" s="13"/>
      <c r="AF257" s="28"/>
      <c r="AG257" s="13"/>
      <c r="AH257" s="28"/>
      <c r="AI257" s="13"/>
      <c r="AJ257" s="28"/>
      <c r="AK257" s="13"/>
      <c r="AL257" s="28"/>
      <c r="AM257" s="13"/>
      <c r="AN257" s="28"/>
      <c r="AO257" s="13"/>
      <c r="AP257" s="28"/>
      <c r="AQ257" s="13"/>
      <c r="AR257" s="28"/>
      <c r="AS257" s="19">
        <f>SUM(H257,J257,L257,N257,P257,R257,T257,V257,X257,Z257,AB257,AD257,AF257,AH257,AJ257,AL257,AN257)</f>
        <v>0</v>
      </c>
      <c r="AT257" s="29" t="str">
        <f>IF(C257="","",DATE(YEAR(C257),MONTH(C257),1))</f>
        <v/>
      </c>
      <c r="AU257" s="28" t="str">
        <f>IF(AT257="","",TEXT(AT257,"mmmm yyyy"))</f>
        <v/>
      </c>
      <c r="AV257" s="29" t="str">
        <f>IF(C257="","",C257-WEEKDAY(C257,2)+1)</f>
        <v/>
      </c>
      <c r="AW257" s="29" t="str">
        <f>IF(AV257="","",AV257+6)</f>
        <v/>
      </c>
      <c r="AX257" s="28" t="str">
        <f>IF(AV257="","",TEXT(AV257,"dd/mm/yyyy")&amp;" - "&amp;TEXT(AW257,"dd/mm/yyyy"))</f>
        <v/>
      </c>
      <c r="AY257" s="28" t="str">
        <f>IF(B257="","",COUNTIFS($B$5:B257,B257,$AT$5:AT257,AT257))</f>
        <v/>
      </c>
      <c r="AZ257" s="28" t="str">
        <f>IF(B257="","",COUNTIFS($B$5:B257,B257,$AV$5:AV257,AV257))</f>
        <v/>
      </c>
      <c r="BA257" s="28" t="str">
        <f>IF(B257="","",TEXT(AY257,"00")&amp;"|"&amp;B257&amp;"|"&amp;TEXT(AT257,"yyyymmdd"))</f>
        <v/>
      </c>
      <c r="BB257" s="28" t="str">
        <f>IF(B257="","",TEXT(AZ257,"00")&amp;"|"&amp;B257&amp;"|"&amp;TEXT(AV257,"yyyymmdd"))</f>
        <v/>
      </c>
      <c r="BC257" s="28">
        <f>IF(OR(AQ257="YES",AQ257="Yes",AQ257="Y",AQ257=1),1,0)</f>
        <v>0</v>
      </c>
    </row>
    <row r="258" spans="1:55" ht="15" customHeight="1">
      <c r="A258" s="27"/>
      <c r="B258" s="28"/>
      <c r="C258" s="29"/>
      <c r="D258" s="30"/>
      <c r="E258" s="30"/>
      <c r="F258" s="28"/>
      <c r="G258" s="28"/>
      <c r="H258" s="28"/>
      <c r="I258" s="13"/>
      <c r="J258" s="28"/>
      <c r="K258" s="13"/>
      <c r="L258" s="28"/>
      <c r="M258" s="13"/>
      <c r="N258" s="28"/>
      <c r="O258" s="13"/>
      <c r="P258" s="28"/>
      <c r="Q258" s="20"/>
      <c r="R258" s="28"/>
      <c r="S258" s="20"/>
      <c r="T258" s="28"/>
      <c r="U258" s="13"/>
      <c r="V258" s="28"/>
      <c r="W258" s="13"/>
      <c r="X258" s="28"/>
      <c r="Y258" s="13"/>
      <c r="Z258" s="28"/>
      <c r="AA258" s="13"/>
      <c r="AB258" s="28"/>
      <c r="AC258" s="13"/>
      <c r="AD258" s="28"/>
      <c r="AE258" s="13"/>
      <c r="AF258" s="28"/>
      <c r="AG258" s="13"/>
      <c r="AH258" s="28"/>
      <c r="AI258" s="13"/>
      <c r="AJ258" s="28"/>
      <c r="AK258" s="13"/>
      <c r="AL258" s="28"/>
      <c r="AM258" s="13"/>
      <c r="AN258" s="28"/>
      <c r="AO258" s="13"/>
      <c r="AP258" s="28"/>
      <c r="AQ258" s="13"/>
      <c r="AR258" s="28"/>
      <c r="AS258" s="19">
        <f>SUM(H258,J258,L258,N258,P258,R258,T258,V258,X258,Z258,AB258,AD258,AF258,AH258,AJ258,AL258,AN258)</f>
        <v>0</v>
      </c>
      <c r="AT258" s="29" t="str">
        <f>IF(C258="","",DATE(YEAR(C258),MONTH(C258),1))</f>
        <v/>
      </c>
      <c r="AU258" s="28" t="str">
        <f>IF(AT258="","",TEXT(AT258,"mmmm yyyy"))</f>
        <v/>
      </c>
      <c r="AV258" s="29" t="str">
        <f>IF(C258="","",C258-WEEKDAY(C258,2)+1)</f>
        <v/>
      </c>
      <c r="AW258" s="29" t="str">
        <f>IF(AV258="","",AV258+6)</f>
        <v/>
      </c>
      <c r="AX258" s="28" t="str">
        <f>IF(AV258="","",TEXT(AV258,"dd/mm/yyyy")&amp;" - "&amp;TEXT(AW258,"dd/mm/yyyy"))</f>
        <v/>
      </c>
      <c r="AY258" s="28" t="str">
        <f>IF(B258="","",COUNTIFS($B$5:B258,B258,$AT$5:AT258,AT258))</f>
        <v/>
      </c>
      <c r="AZ258" s="28" t="str">
        <f>IF(B258="","",COUNTIFS($B$5:B258,B258,$AV$5:AV258,AV258))</f>
        <v/>
      </c>
      <c r="BA258" s="28" t="str">
        <f>IF(B258="","",TEXT(AY258,"00")&amp;"|"&amp;B258&amp;"|"&amp;TEXT(AT258,"yyyymmdd"))</f>
        <v/>
      </c>
      <c r="BB258" s="28" t="str">
        <f>IF(B258="","",TEXT(AZ258,"00")&amp;"|"&amp;B258&amp;"|"&amp;TEXT(AV258,"yyyymmdd"))</f>
        <v/>
      </c>
      <c r="BC258" s="28">
        <f>IF(OR(AQ258="YES",AQ258="Yes",AQ258="Y",AQ258=1),1,0)</f>
        <v>0</v>
      </c>
    </row>
    <row r="259" spans="1:55" ht="15" customHeight="1">
      <c r="A259" s="27"/>
      <c r="B259" s="28"/>
      <c r="C259" s="29"/>
      <c r="D259" s="30"/>
      <c r="E259" s="30"/>
      <c r="F259" s="28"/>
      <c r="G259" s="28"/>
      <c r="H259" s="28"/>
      <c r="I259" s="13"/>
      <c r="J259" s="28"/>
      <c r="K259" s="13"/>
      <c r="L259" s="28"/>
      <c r="M259" s="13"/>
      <c r="N259" s="28"/>
      <c r="O259" s="13"/>
      <c r="P259" s="28"/>
      <c r="Q259" s="20"/>
      <c r="R259" s="28"/>
      <c r="S259" s="20"/>
      <c r="T259" s="28"/>
      <c r="U259" s="13"/>
      <c r="V259" s="28"/>
      <c r="W259" s="13"/>
      <c r="X259" s="28"/>
      <c r="Y259" s="13"/>
      <c r="Z259" s="28"/>
      <c r="AA259" s="13"/>
      <c r="AB259" s="28"/>
      <c r="AC259" s="13"/>
      <c r="AD259" s="28"/>
      <c r="AE259" s="13"/>
      <c r="AF259" s="28"/>
      <c r="AG259" s="13"/>
      <c r="AH259" s="28"/>
      <c r="AI259" s="13"/>
      <c r="AJ259" s="28"/>
      <c r="AK259" s="13"/>
      <c r="AL259" s="28"/>
      <c r="AM259" s="13"/>
      <c r="AN259" s="28"/>
      <c r="AO259" s="13"/>
      <c r="AP259" s="28"/>
      <c r="AQ259" s="13"/>
      <c r="AR259" s="28"/>
      <c r="AS259" s="19">
        <f>SUM(H259,J259,L259,N259,P259,R259,T259,V259,X259,Z259,AB259,AD259,AF259,AH259,AJ259,AL259,AN259)</f>
        <v>0</v>
      </c>
      <c r="AT259" s="29" t="str">
        <f>IF(C259="","",DATE(YEAR(C259),MONTH(C259),1))</f>
        <v/>
      </c>
      <c r="AU259" s="28" t="str">
        <f>IF(AT259="","",TEXT(AT259,"mmmm yyyy"))</f>
        <v/>
      </c>
      <c r="AV259" s="29" t="str">
        <f>IF(C259="","",C259-WEEKDAY(C259,2)+1)</f>
        <v/>
      </c>
      <c r="AW259" s="29" t="str">
        <f>IF(AV259="","",AV259+6)</f>
        <v/>
      </c>
      <c r="AX259" s="28" t="str">
        <f>IF(AV259="","",TEXT(AV259,"dd/mm/yyyy")&amp;" - "&amp;TEXT(AW259,"dd/mm/yyyy"))</f>
        <v/>
      </c>
      <c r="AY259" s="28" t="str">
        <f>IF(B259="","",COUNTIFS($B$5:B259,B259,$AT$5:AT259,AT259))</f>
        <v/>
      </c>
      <c r="AZ259" s="28" t="str">
        <f>IF(B259="","",COUNTIFS($B$5:B259,B259,$AV$5:AV259,AV259))</f>
        <v/>
      </c>
      <c r="BA259" s="28" t="str">
        <f>IF(B259="","",TEXT(AY259,"00")&amp;"|"&amp;B259&amp;"|"&amp;TEXT(AT259,"yyyymmdd"))</f>
        <v/>
      </c>
      <c r="BB259" s="28" t="str">
        <f>IF(B259="","",TEXT(AZ259,"00")&amp;"|"&amp;B259&amp;"|"&amp;TEXT(AV259,"yyyymmdd"))</f>
        <v/>
      </c>
      <c r="BC259" s="28">
        <f>IF(OR(AQ259="YES",AQ259="Yes",AQ259="Y",AQ259=1),1,0)</f>
        <v>0</v>
      </c>
    </row>
    <row r="260" spans="1:55" ht="15" customHeight="1">
      <c r="A260" s="27"/>
      <c r="B260" s="28"/>
      <c r="C260" s="29"/>
      <c r="D260" s="30"/>
      <c r="E260" s="30"/>
      <c r="F260" s="28"/>
      <c r="G260" s="28"/>
      <c r="H260" s="28"/>
      <c r="I260" s="13"/>
      <c r="J260" s="28"/>
      <c r="K260" s="13"/>
      <c r="L260" s="28"/>
      <c r="M260" s="13"/>
      <c r="N260" s="28"/>
      <c r="O260" s="13"/>
      <c r="P260" s="28"/>
      <c r="Q260" s="20"/>
      <c r="R260" s="28"/>
      <c r="S260" s="20"/>
      <c r="T260" s="28"/>
      <c r="U260" s="13"/>
      <c r="V260" s="28"/>
      <c r="W260" s="13"/>
      <c r="X260" s="28"/>
      <c r="Y260" s="13"/>
      <c r="Z260" s="28"/>
      <c r="AA260" s="13"/>
      <c r="AB260" s="28"/>
      <c r="AC260" s="13"/>
      <c r="AD260" s="28"/>
      <c r="AE260" s="13"/>
      <c r="AF260" s="28"/>
      <c r="AG260" s="13"/>
      <c r="AH260" s="28"/>
      <c r="AI260" s="13"/>
      <c r="AJ260" s="28"/>
      <c r="AK260" s="13"/>
      <c r="AL260" s="28"/>
      <c r="AM260" s="13"/>
      <c r="AN260" s="28"/>
      <c r="AO260" s="13"/>
      <c r="AP260" s="28"/>
      <c r="AQ260" s="13"/>
      <c r="AR260" s="28"/>
      <c r="AS260" s="19">
        <f>SUM(H260,J260,L260,N260,P260,R260,T260,V260,X260,Z260,AB260,AD260,AF260,AH260,AJ260,AL260,AN260)</f>
        <v>0</v>
      </c>
      <c r="AT260" s="29" t="str">
        <f>IF(C260="","",DATE(YEAR(C260),MONTH(C260),1))</f>
        <v/>
      </c>
      <c r="AU260" s="28" t="str">
        <f>IF(AT260="","",TEXT(AT260,"mmmm yyyy"))</f>
        <v/>
      </c>
      <c r="AV260" s="29" t="str">
        <f>IF(C260="","",C260-WEEKDAY(C260,2)+1)</f>
        <v/>
      </c>
      <c r="AW260" s="29" t="str">
        <f>IF(AV260="","",AV260+6)</f>
        <v/>
      </c>
      <c r="AX260" s="28" t="str">
        <f>IF(AV260="","",TEXT(AV260,"dd/mm/yyyy")&amp;" - "&amp;TEXT(AW260,"dd/mm/yyyy"))</f>
        <v/>
      </c>
      <c r="AY260" s="28" t="str">
        <f>IF(B260="","",COUNTIFS($B$5:B260,B260,$AT$5:AT260,AT260))</f>
        <v/>
      </c>
      <c r="AZ260" s="28" t="str">
        <f>IF(B260="","",COUNTIFS($B$5:B260,B260,$AV$5:AV260,AV260))</f>
        <v/>
      </c>
      <c r="BA260" s="28" t="str">
        <f>IF(B260="","",TEXT(AY260,"00")&amp;"|"&amp;B260&amp;"|"&amp;TEXT(AT260,"yyyymmdd"))</f>
        <v/>
      </c>
      <c r="BB260" s="28" t="str">
        <f>IF(B260="","",TEXT(AZ260,"00")&amp;"|"&amp;B260&amp;"|"&amp;TEXT(AV260,"yyyymmdd"))</f>
        <v/>
      </c>
      <c r="BC260" s="28">
        <f>IF(OR(AQ260="YES",AQ260="Yes",AQ260="Y",AQ260=1),1,0)</f>
        <v>0</v>
      </c>
    </row>
    <row r="261" spans="1:55" ht="15" customHeight="1">
      <c r="A261" s="27"/>
      <c r="B261" s="28"/>
      <c r="C261" s="29"/>
      <c r="D261" s="30"/>
      <c r="E261" s="30"/>
      <c r="F261" s="28"/>
      <c r="G261" s="28"/>
      <c r="H261" s="28"/>
      <c r="I261" s="13"/>
      <c r="J261" s="28"/>
      <c r="K261" s="13"/>
      <c r="L261" s="28"/>
      <c r="M261" s="13"/>
      <c r="N261" s="28"/>
      <c r="O261" s="13"/>
      <c r="P261" s="28"/>
      <c r="Q261" s="20"/>
      <c r="R261" s="28"/>
      <c r="S261" s="20"/>
      <c r="T261" s="28"/>
      <c r="U261" s="13"/>
      <c r="V261" s="28"/>
      <c r="W261" s="13"/>
      <c r="X261" s="28"/>
      <c r="Y261" s="13"/>
      <c r="Z261" s="28"/>
      <c r="AA261" s="13"/>
      <c r="AB261" s="28"/>
      <c r="AC261" s="13"/>
      <c r="AD261" s="28"/>
      <c r="AE261" s="13"/>
      <c r="AF261" s="28"/>
      <c r="AG261" s="13"/>
      <c r="AH261" s="28"/>
      <c r="AI261" s="13"/>
      <c r="AJ261" s="28"/>
      <c r="AK261" s="13"/>
      <c r="AL261" s="28"/>
      <c r="AM261" s="13"/>
      <c r="AN261" s="28"/>
      <c r="AO261" s="13"/>
      <c r="AP261" s="28"/>
      <c r="AQ261" s="13"/>
      <c r="AR261" s="28"/>
      <c r="AS261" s="19">
        <f>SUM(H261,J261,L261,N261,P261,R261,T261,V261,X261,Z261,AB261,AD261,AF261,AH261,AJ261,AL261,AN261)</f>
        <v>0</v>
      </c>
      <c r="AT261" s="29" t="str">
        <f>IF(C261="","",DATE(YEAR(C261),MONTH(C261),1))</f>
        <v/>
      </c>
      <c r="AU261" s="28" t="str">
        <f>IF(AT261="","",TEXT(AT261,"mmmm yyyy"))</f>
        <v/>
      </c>
      <c r="AV261" s="29" t="str">
        <f>IF(C261="","",C261-WEEKDAY(C261,2)+1)</f>
        <v/>
      </c>
      <c r="AW261" s="29" t="str">
        <f>IF(AV261="","",AV261+6)</f>
        <v/>
      </c>
      <c r="AX261" s="28" t="str">
        <f>IF(AV261="","",TEXT(AV261,"dd/mm/yyyy")&amp;" - "&amp;TEXT(AW261,"dd/mm/yyyy"))</f>
        <v/>
      </c>
      <c r="AY261" s="28" t="str">
        <f>IF(B261="","",COUNTIFS($B$5:B261,B261,$AT$5:AT261,AT261))</f>
        <v/>
      </c>
      <c r="AZ261" s="28" t="str">
        <f>IF(B261="","",COUNTIFS($B$5:B261,B261,$AV$5:AV261,AV261))</f>
        <v/>
      </c>
      <c r="BA261" s="28" t="str">
        <f>IF(B261="","",TEXT(AY261,"00")&amp;"|"&amp;B261&amp;"|"&amp;TEXT(AT261,"yyyymmdd"))</f>
        <v/>
      </c>
      <c r="BB261" s="28" t="str">
        <f>IF(B261="","",TEXT(AZ261,"00")&amp;"|"&amp;B261&amp;"|"&amp;TEXT(AV261,"yyyymmdd"))</f>
        <v/>
      </c>
      <c r="BC261" s="28">
        <f>IF(OR(AQ261="YES",AQ261="Yes",AQ261="Y",AQ261=1),1,0)</f>
        <v>0</v>
      </c>
    </row>
    <row r="262" spans="1:55" ht="15" customHeight="1">
      <c r="A262" s="27"/>
      <c r="B262" s="28"/>
      <c r="C262" s="29"/>
      <c r="D262" s="30"/>
      <c r="E262" s="30"/>
      <c r="F262" s="28"/>
      <c r="G262" s="28"/>
      <c r="H262" s="28"/>
      <c r="I262" s="13"/>
      <c r="J262" s="28"/>
      <c r="K262" s="13"/>
      <c r="L262" s="28"/>
      <c r="M262" s="13"/>
      <c r="N262" s="28"/>
      <c r="O262" s="13"/>
      <c r="P262" s="28"/>
      <c r="Q262" s="20"/>
      <c r="R262" s="28"/>
      <c r="S262" s="20"/>
      <c r="T262" s="28"/>
      <c r="U262" s="13"/>
      <c r="V262" s="28"/>
      <c r="W262" s="13"/>
      <c r="X262" s="28"/>
      <c r="Y262" s="13"/>
      <c r="Z262" s="28"/>
      <c r="AA262" s="13"/>
      <c r="AB262" s="28"/>
      <c r="AC262" s="13"/>
      <c r="AD262" s="28"/>
      <c r="AE262" s="13"/>
      <c r="AF262" s="28"/>
      <c r="AG262" s="13"/>
      <c r="AH262" s="28"/>
      <c r="AI262" s="13"/>
      <c r="AJ262" s="28"/>
      <c r="AK262" s="13"/>
      <c r="AL262" s="28"/>
      <c r="AM262" s="13"/>
      <c r="AN262" s="28"/>
      <c r="AO262" s="13"/>
      <c r="AP262" s="28"/>
      <c r="AQ262" s="13"/>
      <c r="AR262" s="28"/>
      <c r="AS262" s="19">
        <f>SUM(H262,J262,L262,N262,P262,R262,T262,V262,X262,Z262,AB262,AD262,AF262,AH262,AJ262,AL262,AN262)</f>
        <v>0</v>
      </c>
      <c r="AT262" s="29" t="str">
        <f>IF(C262="","",DATE(YEAR(C262),MONTH(C262),1))</f>
        <v/>
      </c>
      <c r="AU262" s="28" t="str">
        <f>IF(AT262="","",TEXT(AT262,"mmmm yyyy"))</f>
        <v/>
      </c>
      <c r="AV262" s="29" t="str">
        <f>IF(C262="","",C262-WEEKDAY(C262,2)+1)</f>
        <v/>
      </c>
      <c r="AW262" s="29" t="str">
        <f>IF(AV262="","",AV262+6)</f>
        <v/>
      </c>
      <c r="AX262" s="28" t="str">
        <f>IF(AV262="","",TEXT(AV262,"dd/mm/yyyy")&amp;" - "&amp;TEXT(AW262,"dd/mm/yyyy"))</f>
        <v/>
      </c>
      <c r="AY262" s="28" t="str">
        <f>IF(B262="","",COUNTIFS($B$5:B262,B262,$AT$5:AT262,AT262))</f>
        <v/>
      </c>
      <c r="AZ262" s="28" t="str">
        <f>IF(B262="","",COUNTIFS($B$5:B262,B262,$AV$5:AV262,AV262))</f>
        <v/>
      </c>
      <c r="BA262" s="28" t="str">
        <f>IF(B262="","",TEXT(AY262,"00")&amp;"|"&amp;B262&amp;"|"&amp;TEXT(AT262,"yyyymmdd"))</f>
        <v/>
      </c>
      <c r="BB262" s="28" t="str">
        <f>IF(B262="","",TEXT(AZ262,"00")&amp;"|"&amp;B262&amp;"|"&amp;TEXT(AV262,"yyyymmdd"))</f>
        <v/>
      </c>
      <c r="BC262" s="28">
        <f>IF(OR(AQ262="YES",AQ262="Yes",AQ262="Y",AQ262=1),1,0)</f>
        <v>0</v>
      </c>
    </row>
    <row r="263" spans="1:55" ht="15" customHeight="1">
      <c r="A263" s="27"/>
      <c r="B263" s="28"/>
      <c r="C263" s="29"/>
      <c r="D263" s="30"/>
      <c r="E263" s="30"/>
      <c r="F263" s="28"/>
      <c r="G263" s="28"/>
      <c r="H263" s="28"/>
      <c r="I263" s="13"/>
      <c r="J263" s="28"/>
      <c r="K263" s="13"/>
      <c r="L263" s="28"/>
      <c r="M263" s="13"/>
      <c r="N263" s="28"/>
      <c r="O263" s="13"/>
      <c r="P263" s="28"/>
      <c r="Q263" s="20"/>
      <c r="R263" s="28"/>
      <c r="S263" s="20"/>
      <c r="T263" s="28"/>
      <c r="U263" s="13"/>
      <c r="V263" s="28"/>
      <c r="W263" s="13"/>
      <c r="X263" s="28"/>
      <c r="Y263" s="13"/>
      <c r="Z263" s="28"/>
      <c r="AA263" s="13"/>
      <c r="AB263" s="28"/>
      <c r="AC263" s="13"/>
      <c r="AD263" s="28"/>
      <c r="AE263" s="13"/>
      <c r="AF263" s="28"/>
      <c r="AG263" s="13"/>
      <c r="AH263" s="28"/>
      <c r="AI263" s="13"/>
      <c r="AJ263" s="28"/>
      <c r="AK263" s="13"/>
      <c r="AL263" s="28"/>
      <c r="AM263" s="13"/>
      <c r="AN263" s="28"/>
      <c r="AO263" s="13"/>
      <c r="AP263" s="28"/>
      <c r="AQ263" s="13"/>
      <c r="AR263" s="28"/>
      <c r="AS263" s="19">
        <f>SUM(H263,J263,L263,N263,P263,R263,T263,V263,X263,Z263,AB263,AD263,AF263,AH263,AJ263,AL263,AN263)</f>
        <v>0</v>
      </c>
      <c r="AT263" s="29" t="str">
        <f>IF(C263="","",DATE(YEAR(C263),MONTH(C263),1))</f>
        <v/>
      </c>
      <c r="AU263" s="28" t="str">
        <f>IF(AT263="","",TEXT(AT263,"mmmm yyyy"))</f>
        <v/>
      </c>
      <c r="AV263" s="29" t="str">
        <f>IF(C263="","",C263-WEEKDAY(C263,2)+1)</f>
        <v/>
      </c>
      <c r="AW263" s="29" t="str">
        <f>IF(AV263="","",AV263+6)</f>
        <v/>
      </c>
      <c r="AX263" s="28" t="str">
        <f>IF(AV263="","",TEXT(AV263,"dd/mm/yyyy")&amp;" - "&amp;TEXT(AW263,"dd/mm/yyyy"))</f>
        <v/>
      </c>
      <c r="AY263" s="28" t="str">
        <f>IF(B263="","",COUNTIFS($B$5:B263,B263,$AT$5:AT263,AT263))</f>
        <v/>
      </c>
      <c r="AZ263" s="28" t="str">
        <f>IF(B263="","",COUNTIFS($B$5:B263,B263,$AV$5:AV263,AV263))</f>
        <v/>
      </c>
      <c r="BA263" s="28" t="str">
        <f>IF(B263="","",TEXT(AY263,"00")&amp;"|"&amp;B263&amp;"|"&amp;TEXT(AT263,"yyyymmdd"))</f>
        <v/>
      </c>
      <c r="BB263" s="28" t="str">
        <f>IF(B263="","",TEXT(AZ263,"00")&amp;"|"&amp;B263&amp;"|"&amp;TEXT(AV263,"yyyymmdd"))</f>
        <v/>
      </c>
      <c r="BC263" s="28">
        <f>IF(OR(AQ263="YES",AQ263="Yes",AQ263="Y",AQ263=1),1,0)</f>
        <v>0</v>
      </c>
    </row>
    <row r="264" spans="1:55" ht="15" customHeight="1">
      <c r="A264" s="27"/>
      <c r="B264" s="28"/>
      <c r="C264" s="29"/>
      <c r="D264" s="30"/>
      <c r="E264" s="30"/>
      <c r="F264" s="28"/>
      <c r="G264" s="28"/>
      <c r="H264" s="28"/>
      <c r="I264" s="13"/>
      <c r="J264" s="28"/>
      <c r="K264" s="13"/>
      <c r="L264" s="28"/>
      <c r="M264" s="13"/>
      <c r="N264" s="28"/>
      <c r="O264" s="13"/>
      <c r="P264" s="28"/>
      <c r="Q264" s="20"/>
      <c r="R264" s="28"/>
      <c r="S264" s="20"/>
      <c r="T264" s="28"/>
      <c r="U264" s="13"/>
      <c r="V264" s="28"/>
      <c r="W264" s="13"/>
      <c r="X264" s="28"/>
      <c r="Y264" s="13"/>
      <c r="Z264" s="28"/>
      <c r="AA264" s="13"/>
      <c r="AB264" s="28"/>
      <c r="AC264" s="13"/>
      <c r="AD264" s="28"/>
      <c r="AE264" s="13"/>
      <c r="AF264" s="28"/>
      <c r="AG264" s="13"/>
      <c r="AH264" s="28"/>
      <c r="AI264" s="13"/>
      <c r="AJ264" s="28"/>
      <c r="AK264" s="13"/>
      <c r="AL264" s="28"/>
      <c r="AM264" s="13"/>
      <c r="AN264" s="28"/>
      <c r="AO264" s="13"/>
      <c r="AP264" s="28"/>
      <c r="AQ264" s="13"/>
      <c r="AR264" s="28"/>
      <c r="AS264" s="19">
        <f>SUM(H264,J264,L264,N264,P264,R264,T264,V264,X264,Z264,AB264,AD264,AF264,AH264,AJ264,AL264,AN264)</f>
        <v>0</v>
      </c>
      <c r="AT264" s="29" t="str">
        <f>IF(C264="","",DATE(YEAR(C264),MONTH(C264),1))</f>
        <v/>
      </c>
      <c r="AU264" s="28" t="str">
        <f>IF(AT264="","",TEXT(AT264,"mmmm yyyy"))</f>
        <v/>
      </c>
      <c r="AV264" s="29" t="str">
        <f>IF(C264="","",C264-WEEKDAY(C264,2)+1)</f>
        <v/>
      </c>
      <c r="AW264" s="29" t="str">
        <f>IF(AV264="","",AV264+6)</f>
        <v/>
      </c>
      <c r="AX264" s="28" t="str">
        <f>IF(AV264="","",TEXT(AV264,"dd/mm/yyyy")&amp;" - "&amp;TEXT(AW264,"dd/mm/yyyy"))</f>
        <v/>
      </c>
      <c r="AY264" s="28" t="str">
        <f>IF(B264="","",COUNTIFS($B$5:B264,B264,$AT$5:AT264,AT264))</f>
        <v/>
      </c>
      <c r="AZ264" s="28" t="str">
        <f>IF(B264="","",COUNTIFS($B$5:B264,B264,$AV$5:AV264,AV264))</f>
        <v/>
      </c>
      <c r="BA264" s="28" t="str">
        <f>IF(B264="","",TEXT(AY264,"00")&amp;"|"&amp;B264&amp;"|"&amp;TEXT(AT264,"yyyymmdd"))</f>
        <v/>
      </c>
      <c r="BB264" s="28" t="str">
        <f>IF(B264="","",TEXT(AZ264,"00")&amp;"|"&amp;B264&amp;"|"&amp;TEXT(AV264,"yyyymmdd"))</f>
        <v/>
      </c>
      <c r="BC264" s="28">
        <f>IF(OR(AQ264="YES",AQ264="Yes",AQ264="Y",AQ264=1),1,0)</f>
        <v>0</v>
      </c>
    </row>
    <row r="265" spans="1:55" ht="15" customHeight="1">
      <c r="A265" s="27"/>
      <c r="B265" s="28"/>
      <c r="C265" s="29"/>
      <c r="D265" s="30"/>
      <c r="E265" s="30"/>
      <c r="F265" s="28"/>
      <c r="G265" s="28"/>
      <c r="H265" s="28"/>
      <c r="I265" s="13"/>
      <c r="J265" s="28"/>
      <c r="K265" s="13"/>
      <c r="L265" s="28"/>
      <c r="M265" s="13"/>
      <c r="N265" s="28"/>
      <c r="O265" s="13"/>
      <c r="P265" s="28"/>
      <c r="Q265" s="20"/>
      <c r="R265" s="28"/>
      <c r="S265" s="20"/>
      <c r="T265" s="28"/>
      <c r="U265" s="13"/>
      <c r="V265" s="28"/>
      <c r="W265" s="13"/>
      <c r="X265" s="28"/>
      <c r="Y265" s="13"/>
      <c r="Z265" s="28"/>
      <c r="AA265" s="13"/>
      <c r="AB265" s="28"/>
      <c r="AC265" s="13"/>
      <c r="AD265" s="28"/>
      <c r="AE265" s="13"/>
      <c r="AF265" s="28"/>
      <c r="AG265" s="13"/>
      <c r="AH265" s="28"/>
      <c r="AI265" s="13"/>
      <c r="AJ265" s="28"/>
      <c r="AK265" s="13"/>
      <c r="AL265" s="28"/>
      <c r="AM265" s="13"/>
      <c r="AN265" s="28"/>
      <c r="AO265" s="13"/>
      <c r="AP265" s="28"/>
      <c r="AQ265" s="13"/>
      <c r="AR265" s="28"/>
      <c r="AS265" s="19">
        <f>SUM(H265,J265,L265,N265,P265,R265,T265,V265,X265,Z265,AB265,AD265,AF265,AH265,AJ265,AL265,AN265)</f>
        <v>0</v>
      </c>
      <c r="AT265" s="29" t="str">
        <f>IF(C265="","",DATE(YEAR(C265),MONTH(C265),1))</f>
        <v/>
      </c>
      <c r="AU265" s="28" t="str">
        <f>IF(AT265="","",TEXT(AT265,"mmmm yyyy"))</f>
        <v/>
      </c>
      <c r="AV265" s="29" t="str">
        <f>IF(C265="","",C265-WEEKDAY(C265,2)+1)</f>
        <v/>
      </c>
      <c r="AW265" s="29" t="str">
        <f>IF(AV265="","",AV265+6)</f>
        <v/>
      </c>
      <c r="AX265" s="28" t="str">
        <f>IF(AV265="","",TEXT(AV265,"dd/mm/yyyy")&amp;" - "&amp;TEXT(AW265,"dd/mm/yyyy"))</f>
        <v/>
      </c>
      <c r="AY265" s="28" t="str">
        <f>IF(B265="","",COUNTIFS($B$5:B265,B265,$AT$5:AT265,AT265))</f>
        <v/>
      </c>
      <c r="AZ265" s="28" t="str">
        <f>IF(B265="","",COUNTIFS($B$5:B265,B265,$AV$5:AV265,AV265))</f>
        <v/>
      </c>
      <c r="BA265" s="28" t="str">
        <f>IF(B265="","",TEXT(AY265,"00")&amp;"|"&amp;B265&amp;"|"&amp;TEXT(AT265,"yyyymmdd"))</f>
        <v/>
      </c>
      <c r="BB265" s="28" t="str">
        <f>IF(B265="","",TEXT(AZ265,"00")&amp;"|"&amp;B265&amp;"|"&amp;TEXT(AV265,"yyyymmdd"))</f>
        <v/>
      </c>
      <c r="BC265" s="28">
        <f>IF(OR(AQ265="YES",AQ265="Yes",AQ265="Y",AQ265=1),1,0)</f>
        <v>0</v>
      </c>
    </row>
    <row r="266" spans="1:55" ht="15" customHeight="1">
      <c r="A266" s="27"/>
      <c r="B266" s="28"/>
      <c r="C266" s="29"/>
      <c r="D266" s="30"/>
      <c r="E266" s="30"/>
      <c r="F266" s="28"/>
      <c r="G266" s="28"/>
      <c r="H266" s="28"/>
      <c r="I266" s="13"/>
      <c r="J266" s="28"/>
      <c r="K266" s="13"/>
      <c r="L266" s="28"/>
      <c r="M266" s="13"/>
      <c r="N266" s="28"/>
      <c r="O266" s="13"/>
      <c r="P266" s="28"/>
      <c r="Q266" s="20"/>
      <c r="R266" s="28"/>
      <c r="S266" s="20"/>
      <c r="T266" s="28"/>
      <c r="U266" s="13"/>
      <c r="V266" s="28"/>
      <c r="W266" s="13"/>
      <c r="X266" s="28"/>
      <c r="Y266" s="13"/>
      <c r="Z266" s="28"/>
      <c r="AA266" s="13"/>
      <c r="AB266" s="28"/>
      <c r="AC266" s="13"/>
      <c r="AD266" s="28"/>
      <c r="AE266" s="13"/>
      <c r="AF266" s="28"/>
      <c r="AG266" s="13"/>
      <c r="AH266" s="28"/>
      <c r="AI266" s="13"/>
      <c r="AJ266" s="28"/>
      <c r="AK266" s="13"/>
      <c r="AL266" s="28"/>
      <c r="AM266" s="13"/>
      <c r="AN266" s="28"/>
      <c r="AO266" s="13"/>
      <c r="AP266" s="28"/>
      <c r="AQ266" s="13"/>
      <c r="AR266" s="28"/>
      <c r="AS266" s="19">
        <f>SUM(H266,J266,L266,N266,P266,R266,T266,V266,X266,Z266,AB266,AD266,AF266,AH266,AJ266,AL266,AN266)</f>
        <v>0</v>
      </c>
      <c r="AT266" s="29" t="str">
        <f>IF(C266="","",DATE(YEAR(C266),MONTH(C266),1))</f>
        <v/>
      </c>
      <c r="AU266" s="28" t="str">
        <f>IF(AT266="","",TEXT(AT266,"mmmm yyyy"))</f>
        <v/>
      </c>
      <c r="AV266" s="29" t="str">
        <f>IF(C266="","",C266-WEEKDAY(C266,2)+1)</f>
        <v/>
      </c>
      <c r="AW266" s="29" t="str">
        <f>IF(AV266="","",AV266+6)</f>
        <v/>
      </c>
      <c r="AX266" s="28" t="str">
        <f>IF(AV266="","",TEXT(AV266,"dd/mm/yyyy")&amp;" - "&amp;TEXT(AW266,"dd/mm/yyyy"))</f>
        <v/>
      </c>
      <c r="AY266" s="28" t="str">
        <f>IF(B266="","",COUNTIFS($B$5:B266,B266,$AT$5:AT266,AT266))</f>
        <v/>
      </c>
      <c r="AZ266" s="28" t="str">
        <f>IF(B266="","",COUNTIFS($B$5:B266,B266,$AV$5:AV266,AV266))</f>
        <v/>
      </c>
      <c r="BA266" s="28" t="str">
        <f>IF(B266="","",TEXT(AY266,"00")&amp;"|"&amp;B266&amp;"|"&amp;TEXT(AT266,"yyyymmdd"))</f>
        <v/>
      </c>
      <c r="BB266" s="28" t="str">
        <f>IF(B266="","",TEXT(AZ266,"00")&amp;"|"&amp;B266&amp;"|"&amp;TEXT(AV266,"yyyymmdd"))</f>
        <v/>
      </c>
      <c r="BC266" s="28">
        <f>IF(OR(AQ266="YES",AQ266="Yes",AQ266="Y",AQ266=1),1,0)</f>
        <v>0</v>
      </c>
    </row>
    <row r="267" spans="1:55" ht="15" customHeight="1">
      <c r="A267" s="27"/>
      <c r="B267" s="28"/>
      <c r="C267" s="29"/>
      <c r="D267" s="30"/>
      <c r="E267" s="30"/>
      <c r="F267" s="28"/>
      <c r="G267" s="28"/>
      <c r="H267" s="28"/>
      <c r="I267" s="13"/>
      <c r="J267" s="28"/>
      <c r="K267" s="13"/>
      <c r="L267" s="28"/>
      <c r="M267" s="13"/>
      <c r="N267" s="28"/>
      <c r="O267" s="13"/>
      <c r="P267" s="28"/>
      <c r="Q267" s="20"/>
      <c r="R267" s="28"/>
      <c r="S267" s="20"/>
      <c r="T267" s="28"/>
      <c r="U267" s="13"/>
      <c r="V267" s="28"/>
      <c r="W267" s="13"/>
      <c r="X267" s="28"/>
      <c r="Y267" s="13"/>
      <c r="Z267" s="28"/>
      <c r="AA267" s="13"/>
      <c r="AB267" s="28"/>
      <c r="AC267" s="13"/>
      <c r="AD267" s="28"/>
      <c r="AE267" s="13"/>
      <c r="AF267" s="28"/>
      <c r="AG267" s="13"/>
      <c r="AH267" s="28"/>
      <c r="AI267" s="13"/>
      <c r="AJ267" s="28"/>
      <c r="AK267" s="13"/>
      <c r="AL267" s="28"/>
      <c r="AM267" s="13"/>
      <c r="AN267" s="28"/>
      <c r="AO267" s="13"/>
      <c r="AP267" s="28"/>
      <c r="AQ267" s="13"/>
      <c r="AR267" s="28"/>
      <c r="AS267" s="19">
        <f>SUM(H267,J267,L267,N267,P267,R267,T267,V267,X267,Z267,AB267,AD267,AF267,AH267,AJ267,AL267,AN267)</f>
        <v>0</v>
      </c>
      <c r="AT267" s="29" t="str">
        <f>IF(C267="","",DATE(YEAR(C267),MONTH(C267),1))</f>
        <v/>
      </c>
      <c r="AU267" s="28" t="str">
        <f>IF(AT267="","",TEXT(AT267,"mmmm yyyy"))</f>
        <v/>
      </c>
      <c r="AV267" s="29" t="str">
        <f>IF(C267="","",C267-WEEKDAY(C267,2)+1)</f>
        <v/>
      </c>
      <c r="AW267" s="29" t="str">
        <f>IF(AV267="","",AV267+6)</f>
        <v/>
      </c>
      <c r="AX267" s="28" t="str">
        <f>IF(AV267="","",TEXT(AV267,"dd/mm/yyyy")&amp;" - "&amp;TEXT(AW267,"dd/mm/yyyy"))</f>
        <v/>
      </c>
      <c r="AY267" s="28" t="str">
        <f>IF(B267="","",COUNTIFS($B$5:B267,B267,$AT$5:AT267,AT267))</f>
        <v/>
      </c>
      <c r="AZ267" s="28" t="str">
        <f>IF(B267="","",COUNTIFS($B$5:B267,B267,$AV$5:AV267,AV267))</f>
        <v/>
      </c>
      <c r="BA267" s="28" t="str">
        <f>IF(B267="","",TEXT(AY267,"00")&amp;"|"&amp;B267&amp;"|"&amp;TEXT(AT267,"yyyymmdd"))</f>
        <v/>
      </c>
      <c r="BB267" s="28" t="str">
        <f>IF(B267="","",TEXT(AZ267,"00")&amp;"|"&amp;B267&amp;"|"&amp;TEXT(AV267,"yyyymmdd"))</f>
        <v/>
      </c>
      <c r="BC267" s="28">
        <f>IF(OR(AQ267="YES",AQ267="Yes",AQ267="Y",AQ267=1),1,0)</f>
        <v>0</v>
      </c>
    </row>
    <row r="268" spans="1:55" ht="15" customHeight="1">
      <c r="A268" s="27"/>
      <c r="B268" s="28"/>
      <c r="C268" s="29"/>
      <c r="D268" s="30"/>
      <c r="E268" s="30"/>
      <c r="F268" s="28"/>
      <c r="G268" s="28"/>
      <c r="H268" s="28"/>
      <c r="I268" s="13"/>
      <c r="J268" s="28"/>
      <c r="K268" s="13"/>
      <c r="L268" s="28"/>
      <c r="M268" s="13"/>
      <c r="N268" s="28"/>
      <c r="O268" s="13"/>
      <c r="P268" s="28"/>
      <c r="Q268" s="20"/>
      <c r="R268" s="28"/>
      <c r="S268" s="20"/>
      <c r="T268" s="28"/>
      <c r="U268" s="13"/>
      <c r="V268" s="28"/>
      <c r="W268" s="13"/>
      <c r="X268" s="28"/>
      <c r="Y268" s="13"/>
      <c r="Z268" s="28"/>
      <c r="AA268" s="13"/>
      <c r="AB268" s="28"/>
      <c r="AC268" s="13"/>
      <c r="AD268" s="28"/>
      <c r="AE268" s="13"/>
      <c r="AF268" s="28"/>
      <c r="AG268" s="13"/>
      <c r="AH268" s="28"/>
      <c r="AI268" s="13"/>
      <c r="AJ268" s="28"/>
      <c r="AK268" s="13"/>
      <c r="AL268" s="28"/>
      <c r="AM268" s="13"/>
      <c r="AN268" s="28"/>
      <c r="AO268" s="13"/>
      <c r="AP268" s="28"/>
      <c r="AQ268" s="13"/>
      <c r="AR268" s="28"/>
      <c r="AS268" s="19">
        <f>SUM(H268,J268,L268,N268,P268,R268,T268,V268,X268,Z268,AB268,AD268,AF268,AH268,AJ268,AL268,AN268)</f>
        <v>0</v>
      </c>
      <c r="AT268" s="29" t="str">
        <f>IF(C268="","",DATE(YEAR(C268),MONTH(C268),1))</f>
        <v/>
      </c>
      <c r="AU268" s="28" t="str">
        <f>IF(AT268="","",TEXT(AT268,"mmmm yyyy"))</f>
        <v/>
      </c>
      <c r="AV268" s="29" t="str">
        <f>IF(C268="","",C268-WEEKDAY(C268,2)+1)</f>
        <v/>
      </c>
      <c r="AW268" s="29" t="str">
        <f>IF(AV268="","",AV268+6)</f>
        <v/>
      </c>
      <c r="AX268" s="28" t="str">
        <f>IF(AV268="","",TEXT(AV268,"dd/mm/yyyy")&amp;" - "&amp;TEXT(AW268,"dd/mm/yyyy"))</f>
        <v/>
      </c>
      <c r="AY268" s="28" t="str">
        <f>IF(B268="","",COUNTIFS($B$5:B268,B268,$AT$5:AT268,AT268))</f>
        <v/>
      </c>
      <c r="AZ268" s="28" t="str">
        <f>IF(B268="","",COUNTIFS($B$5:B268,B268,$AV$5:AV268,AV268))</f>
        <v/>
      </c>
      <c r="BA268" s="28" t="str">
        <f>IF(B268="","",TEXT(AY268,"00")&amp;"|"&amp;B268&amp;"|"&amp;TEXT(AT268,"yyyymmdd"))</f>
        <v/>
      </c>
      <c r="BB268" s="28" t="str">
        <f>IF(B268="","",TEXT(AZ268,"00")&amp;"|"&amp;B268&amp;"|"&amp;TEXT(AV268,"yyyymmdd"))</f>
        <v/>
      </c>
      <c r="BC268" s="28">
        <f>IF(OR(AQ268="YES",AQ268="Yes",AQ268="Y",AQ268=1),1,0)</f>
        <v>0</v>
      </c>
    </row>
    <row r="269" spans="1:55" ht="15" customHeight="1">
      <c r="A269" s="27"/>
      <c r="B269" s="28"/>
      <c r="C269" s="29"/>
      <c r="D269" s="30"/>
      <c r="E269" s="30"/>
      <c r="F269" s="28"/>
      <c r="G269" s="28"/>
      <c r="H269" s="28"/>
      <c r="I269" s="13"/>
      <c r="J269" s="28"/>
      <c r="K269" s="13"/>
      <c r="L269" s="28"/>
      <c r="M269" s="13"/>
      <c r="N269" s="28"/>
      <c r="O269" s="13"/>
      <c r="P269" s="28"/>
      <c r="Q269" s="20"/>
      <c r="R269" s="28"/>
      <c r="S269" s="20"/>
      <c r="T269" s="28"/>
      <c r="U269" s="13"/>
      <c r="V269" s="28"/>
      <c r="W269" s="13"/>
      <c r="X269" s="28"/>
      <c r="Y269" s="13"/>
      <c r="Z269" s="28"/>
      <c r="AA269" s="13"/>
      <c r="AB269" s="28"/>
      <c r="AC269" s="13"/>
      <c r="AD269" s="28"/>
      <c r="AE269" s="13"/>
      <c r="AF269" s="28"/>
      <c r="AG269" s="13"/>
      <c r="AH269" s="28"/>
      <c r="AI269" s="13"/>
      <c r="AJ269" s="28"/>
      <c r="AK269" s="13"/>
      <c r="AL269" s="28"/>
      <c r="AM269" s="13"/>
      <c r="AN269" s="28"/>
      <c r="AO269" s="13"/>
      <c r="AP269" s="28"/>
      <c r="AQ269" s="13"/>
      <c r="AR269" s="28"/>
      <c r="AS269" s="19">
        <f>SUM(H269,J269,L269,N269,P269,R269,T269,V269,X269,Z269,AB269,AD269,AF269,AH269,AJ269,AL269,AN269)</f>
        <v>0</v>
      </c>
      <c r="AT269" s="29" t="str">
        <f>IF(C269="","",DATE(YEAR(C269),MONTH(C269),1))</f>
        <v/>
      </c>
      <c r="AU269" s="28" t="str">
        <f>IF(AT269="","",TEXT(AT269,"mmmm yyyy"))</f>
        <v/>
      </c>
      <c r="AV269" s="29" t="str">
        <f>IF(C269="","",C269-WEEKDAY(C269,2)+1)</f>
        <v/>
      </c>
      <c r="AW269" s="29" t="str">
        <f>IF(AV269="","",AV269+6)</f>
        <v/>
      </c>
      <c r="AX269" s="28" t="str">
        <f>IF(AV269="","",TEXT(AV269,"dd/mm/yyyy")&amp;" - "&amp;TEXT(AW269,"dd/mm/yyyy"))</f>
        <v/>
      </c>
      <c r="AY269" s="28" t="str">
        <f>IF(B269="","",COUNTIFS($B$5:B269,B269,$AT$5:AT269,AT269))</f>
        <v/>
      </c>
      <c r="AZ269" s="28" t="str">
        <f>IF(B269="","",COUNTIFS($B$5:B269,B269,$AV$5:AV269,AV269))</f>
        <v/>
      </c>
      <c r="BA269" s="28" t="str">
        <f>IF(B269="","",TEXT(AY269,"00")&amp;"|"&amp;B269&amp;"|"&amp;TEXT(AT269,"yyyymmdd"))</f>
        <v/>
      </c>
      <c r="BB269" s="28" t="str">
        <f>IF(B269="","",TEXT(AZ269,"00")&amp;"|"&amp;B269&amp;"|"&amp;TEXT(AV269,"yyyymmdd"))</f>
        <v/>
      </c>
      <c r="BC269" s="28">
        <f>IF(OR(AQ269="YES",AQ269="Yes",AQ269="Y",AQ269=1),1,0)</f>
        <v>0</v>
      </c>
    </row>
    <row r="270" spans="1:55" ht="15" customHeight="1">
      <c r="A270" s="27"/>
      <c r="B270" s="28"/>
      <c r="C270" s="29"/>
      <c r="D270" s="30"/>
      <c r="E270" s="30"/>
      <c r="F270" s="28"/>
      <c r="G270" s="28"/>
      <c r="H270" s="28"/>
      <c r="I270" s="13"/>
      <c r="J270" s="28"/>
      <c r="K270" s="13"/>
      <c r="L270" s="28"/>
      <c r="M270" s="13"/>
      <c r="N270" s="28"/>
      <c r="O270" s="13"/>
      <c r="P270" s="28"/>
      <c r="Q270" s="20"/>
      <c r="R270" s="28"/>
      <c r="S270" s="20"/>
      <c r="T270" s="28"/>
      <c r="U270" s="13"/>
      <c r="V270" s="28"/>
      <c r="W270" s="13"/>
      <c r="X270" s="28"/>
      <c r="Y270" s="13"/>
      <c r="Z270" s="28"/>
      <c r="AA270" s="13"/>
      <c r="AB270" s="28"/>
      <c r="AC270" s="13"/>
      <c r="AD270" s="28"/>
      <c r="AE270" s="13"/>
      <c r="AF270" s="28"/>
      <c r="AG270" s="13"/>
      <c r="AH270" s="28"/>
      <c r="AI270" s="13"/>
      <c r="AJ270" s="28"/>
      <c r="AK270" s="13"/>
      <c r="AL270" s="28"/>
      <c r="AM270" s="13"/>
      <c r="AN270" s="28"/>
      <c r="AO270" s="13"/>
      <c r="AP270" s="28"/>
      <c r="AQ270" s="13"/>
      <c r="AR270" s="28"/>
      <c r="AS270" s="19">
        <f>SUM(H270,J270,L270,N270,P270,R270,T270,V270,X270,Z270,AB270,AD270,AF270,AH270,AJ270,AL270,AN270)</f>
        <v>0</v>
      </c>
      <c r="AT270" s="29" t="str">
        <f>IF(C270="","",DATE(YEAR(C270),MONTH(C270),1))</f>
        <v/>
      </c>
      <c r="AU270" s="28" t="str">
        <f>IF(AT270="","",TEXT(AT270,"mmmm yyyy"))</f>
        <v/>
      </c>
      <c r="AV270" s="29" t="str">
        <f>IF(C270="","",C270-WEEKDAY(C270,2)+1)</f>
        <v/>
      </c>
      <c r="AW270" s="29" t="str">
        <f>IF(AV270="","",AV270+6)</f>
        <v/>
      </c>
      <c r="AX270" s="28" t="str">
        <f>IF(AV270="","",TEXT(AV270,"dd/mm/yyyy")&amp;" - "&amp;TEXT(AW270,"dd/mm/yyyy"))</f>
        <v/>
      </c>
      <c r="AY270" s="28" t="str">
        <f>IF(B270="","",COUNTIFS($B$5:B270,B270,$AT$5:AT270,AT270))</f>
        <v/>
      </c>
      <c r="AZ270" s="28" t="str">
        <f>IF(B270="","",COUNTIFS($B$5:B270,B270,$AV$5:AV270,AV270))</f>
        <v/>
      </c>
      <c r="BA270" s="28" t="str">
        <f>IF(B270="","",TEXT(AY270,"00")&amp;"|"&amp;B270&amp;"|"&amp;TEXT(AT270,"yyyymmdd"))</f>
        <v/>
      </c>
      <c r="BB270" s="28" t="str">
        <f>IF(B270="","",TEXT(AZ270,"00")&amp;"|"&amp;B270&amp;"|"&amp;TEXT(AV270,"yyyymmdd"))</f>
        <v/>
      </c>
      <c r="BC270" s="28">
        <f>IF(OR(AQ270="YES",AQ270="Yes",AQ270="Y",AQ270=1),1,0)</f>
        <v>0</v>
      </c>
    </row>
    <row r="271" spans="1:55" ht="15" customHeight="1">
      <c r="A271" s="27"/>
      <c r="B271" s="28"/>
      <c r="C271" s="29"/>
      <c r="D271" s="30"/>
      <c r="E271" s="30"/>
      <c r="F271" s="28"/>
      <c r="G271" s="28"/>
      <c r="H271" s="28"/>
      <c r="I271" s="13"/>
      <c r="J271" s="28"/>
      <c r="K271" s="13"/>
      <c r="L271" s="28"/>
      <c r="M271" s="13"/>
      <c r="N271" s="28"/>
      <c r="O271" s="13"/>
      <c r="P271" s="28"/>
      <c r="Q271" s="20"/>
      <c r="R271" s="28"/>
      <c r="S271" s="20"/>
      <c r="T271" s="28"/>
      <c r="U271" s="13"/>
      <c r="V271" s="28"/>
      <c r="W271" s="13"/>
      <c r="X271" s="28"/>
      <c r="Y271" s="13"/>
      <c r="Z271" s="28"/>
      <c r="AA271" s="13"/>
      <c r="AB271" s="28"/>
      <c r="AC271" s="13"/>
      <c r="AD271" s="28"/>
      <c r="AE271" s="13"/>
      <c r="AF271" s="28"/>
      <c r="AG271" s="13"/>
      <c r="AH271" s="28"/>
      <c r="AI271" s="13"/>
      <c r="AJ271" s="28"/>
      <c r="AK271" s="13"/>
      <c r="AL271" s="28"/>
      <c r="AM271" s="13"/>
      <c r="AN271" s="28"/>
      <c r="AO271" s="13"/>
      <c r="AP271" s="28"/>
      <c r="AQ271" s="13"/>
      <c r="AR271" s="28"/>
      <c r="AS271" s="19">
        <f>SUM(H271,J271,L271,N271,P271,R271,T271,V271,X271,Z271,AB271,AD271,AF271,AH271,AJ271,AL271,AN271)</f>
        <v>0</v>
      </c>
      <c r="AT271" s="29" t="str">
        <f>IF(C271="","",DATE(YEAR(C271),MONTH(C271),1))</f>
        <v/>
      </c>
      <c r="AU271" s="28" t="str">
        <f>IF(AT271="","",TEXT(AT271,"mmmm yyyy"))</f>
        <v/>
      </c>
      <c r="AV271" s="29" t="str">
        <f>IF(C271="","",C271-WEEKDAY(C271,2)+1)</f>
        <v/>
      </c>
      <c r="AW271" s="29" t="str">
        <f>IF(AV271="","",AV271+6)</f>
        <v/>
      </c>
      <c r="AX271" s="28" t="str">
        <f>IF(AV271="","",TEXT(AV271,"dd/mm/yyyy")&amp;" - "&amp;TEXT(AW271,"dd/mm/yyyy"))</f>
        <v/>
      </c>
      <c r="AY271" s="28" t="str">
        <f>IF(B271="","",COUNTIFS($B$5:B271,B271,$AT$5:AT271,AT271))</f>
        <v/>
      </c>
      <c r="AZ271" s="28" t="str">
        <f>IF(B271="","",COUNTIFS($B$5:B271,B271,$AV$5:AV271,AV271))</f>
        <v/>
      </c>
      <c r="BA271" s="28" t="str">
        <f>IF(B271="","",TEXT(AY271,"00")&amp;"|"&amp;B271&amp;"|"&amp;TEXT(AT271,"yyyymmdd"))</f>
        <v/>
      </c>
      <c r="BB271" s="28" t="str">
        <f>IF(B271="","",TEXT(AZ271,"00")&amp;"|"&amp;B271&amp;"|"&amp;TEXT(AV271,"yyyymmdd"))</f>
        <v/>
      </c>
      <c r="BC271" s="28">
        <f>IF(OR(AQ271="YES",AQ271="Yes",AQ271="Y",AQ271=1),1,0)</f>
        <v>0</v>
      </c>
    </row>
    <row r="272" spans="1:55" ht="15" customHeight="1">
      <c r="A272" s="27"/>
      <c r="B272" s="28"/>
      <c r="C272" s="29"/>
      <c r="D272" s="30"/>
      <c r="E272" s="30"/>
      <c r="F272" s="28"/>
      <c r="G272" s="28"/>
      <c r="H272" s="28"/>
      <c r="I272" s="13"/>
      <c r="J272" s="28"/>
      <c r="K272" s="13"/>
      <c r="L272" s="28"/>
      <c r="M272" s="13"/>
      <c r="N272" s="28"/>
      <c r="O272" s="13"/>
      <c r="P272" s="28"/>
      <c r="Q272" s="20"/>
      <c r="R272" s="28"/>
      <c r="S272" s="20"/>
      <c r="T272" s="28"/>
      <c r="U272" s="13"/>
      <c r="V272" s="28"/>
      <c r="W272" s="13"/>
      <c r="X272" s="28"/>
      <c r="Y272" s="13"/>
      <c r="Z272" s="28"/>
      <c r="AA272" s="13"/>
      <c r="AB272" s="28"/>
      <c r="AC272" s="13"/>
      <c r="AD272" s="28"/>
      <c r="AE272" s="13"/>
      <c r="AF272" s="28"/>
      <c r="AG272" s="13"/>
      <c r="AH272" s="28"/>
      <c r="AI272" s="13"/>
      <c r="AJ272" s="28"/>
      <c r="AK272" s="13"/>
      <c r="AL272" s="28"/>
      <c r="AM272" s="13"/>
      <c r="AN272" s="28"/>
      <c r="AO272" s="13"/>
      <c r="AP272" s="28"/>
      <c r="AQ272" s="13"/>
      <c r="AR272" s="28"/>
      <c r="AS272" s="19">
        <f>SUM(H272,J272,L272,N272,P272,R272,T272,V272,X272,Z272,AB272,AD272,AF272,AH272,AJ272,AL272,AN272)</f>
        <v>0</v>
      </c>
      <c r="AT272" s="29" t="str">
        <f>IF(C272="","",DATE(YEAR(C272),MONTH(C272),1))</f>
        <v/>
      </c>
      <c r="AU272" s="28" t="str">
        <f>IF(AT272="","",TEXT(AT272,"mmmm yyyy"))</f>
        <v/>
      </c>
      <c r="AV272" s="29" t="str">
        <f>IF(C272="","",C272-WEEKDAY(C272,2)+1)</f>
        <v/>
      </c>
      <c r="AW272" s="29" t="str">
        <f>IF(AV272="","",AV272+6)</f>
        <v/>
      </c>
      <c r="AX272" s="28" t="str">
        <f>IF(AV272="","",TEXT(AV272,"dd/mm/yyyy")&amp;" - "&amp;TEXT(AW272,"dd/mm/yyyy"))</f>
        <v/>
      </c>
      <c r="AY272" s="28" t="str">
        <f>IF(B272="","",COUNTIFS($B$5:B272,B272,$AT$5:AT272,AT272))</f>
        <v/>
      </c>
      <c r="AZ272" s="28" t="str">
        <f>IF(B272="","",COUNTIFS($B$5:B272,B272,$AV$5:AV272,AV272))</f>
        <v/>
      </c>
      <c r="BA272" s="28" t="str">
        <f>IF(B272="","",TEXT(AY272,"00")&amp;"|"&amp;B272&amp;"|"&amp;TEXT(AT272,"yyyymmdd"))</f>
        <v/>
      </c>
      <c r="BB272" s="28" t="str">
        <f>IF(B272="","",TEXT(AZ272,"00")&amp;"|"&amp;B272&amp;"|"&amp;TEXT(AV272,"yyyymmdd"))</f>
        <v/>
      </c>
      <c r="BC272" s="28">
        <f>IF(OR(AQ272="YES",AQ272="Yes",AQ272="Y",AQ272=1),1,0)</f>
        <v>0</v>
      </c>
    </row>
    <row r="273" spans="1:55" ht="15" customHeight="1">
      <c r="A273" s="27"/>
      <c r="B273" s="28"/>
      <c r="C273" s="29"/>
      <c r="D273" s="30"/>
      <c r="E273" s="30"/>
      <c r="F273" s="28"/>
      <c r="G273" s="28"/>
      <c r="H273" s="28"/>
      <c r="I273" s="13"/>
      <c r="J273" s="28"/>
      <c r="K273" s="13"/>
      <c r="L273" s="28"/>
      <c r="M273" s="13"/>
      <c r="N273" s="28"/>
      <c r="O273" s="13"/>
      <c r="P273" s="28"/>
      <c r="Q273" s="20"/>
      <c r="R273" s="28"/>
      <c r="S273" s="20"/>
      <c r="T273" s="28"/>
      <c r="U273" s="13"/>
      <c r="V273" s="28"/>
      <c r="W273" s="13"/>
      <c r="X273" s="28"/>
      <c r="Y273" s="13"/>
      <c r="Z273" s="28"/>
      <c r="AA273" s="13"/>
      <c r="AB273" s="28"/>
      <c r="AC273" s="13"/>
      <c r="AD273" s="28"/>
      <c r="AE273" s="13"/>
      <c r="AF273" s="28"/>
      <c r="AG273" s="13"/>
      <c r="AH273" s="28"/>
      <c r="AI273" s="13"/>
      <c r="AJ273" s="28"/>
      <c r="AK273" s="13"/>
      <c r="AL273" s="28"/>
      <c r="AM273" s="13"/>
      <c r="AN273" s="28"/>
      <c r="AO273" s="13"/>
      <c r="AP273" s="28"/>
      <c r="AQ273" s="13"/>
      <c r="AR273" s="28"/>
      <c r="AS273" s="19">
        <f>SUM(H273,J273,L273,N273,P273,R273,T273,V273,X273,Z273,AB273,AD273,AF273,AH273,AJ273,AL273,AN273)</f>
        <v>0</v>
      </c>
      <c r="AT273" s="29" t="str">
        <f>IF(C273="","",DATE(YEAR(C273),MONTH(C273),1))</f>
        <v/>
      </c>
      <c r="AU273" s="28" t="str">
        <f>IF(AT273="","",TEXT(AT273,"mmmm yyyy"))</f>
        <v/>
      </c>
      <c r="AV273" s="29" t="str">
        <f>IF(C273="","",C273-WEEKDAY(C273,2)+1)</f>
        <v/>
      </c>
      <c r="AW273" s="29" t="str">
        <f>IF(AV273="","",AV273+6)</f>
        <v/>
      </c>
      <c r="AX273" s="28" t="str">
        <f>IF(AV273="","",TEXT(AV273,"dd/mm/yyyy")&amp;" - "&amp;TEXT(AW273,"dd/mm/yyyy"))</f>
        <v/>
      </c>
      <c r="AY273" s="28" t="str">
        <f>IF(B273="","",COUNTIFS($B$5:B273,B273,$AT$5:AT273,AT273))</f>
        <v/>
      </c>
      <c r="AZ273" s="28" t="str">
        <f>IF(B273="","",COUNTIFS($B$5:B273,B273,$AV$5:AV273,AV273))</f>
        <v/>
      </c>
      <c r="BA273" s="28" t="str">
        <f>IF(B273="","",TEXT(AY273,"00")&amp;"|"&amp;B273&amp;"|"&amp;TEXT(AT273,"yyyymmdd"))</f>
        <v/>
      </c>
      <c r="BB273" s="28" t="str">
        <f>IF(B273="","",TEXT(AZ273,"00")&amp;"|"&amp;B273&amp;"|"&amp;TEXT(AV273,"yyyymmdd"))</f>
        <v/>
      </c>
      <c r="BC273" s="28">
        <f>IF(OR(AQ273="YES",AQ273="Yes",AQ273="Y",AQ273=1),1,0)</f>
        <v>0</v>
      </c>
    </row>
    <row r="274" spans="1:55" ht="15" customHeight="1">
      <c r="A274" s="27"/>
      <c r="B274" s="28"/>
      <c r="C274" s="29"/>
      <c r="D274" s="30"/>
      <c r="E274" s="30"/>
      <c r="F274" s="28"/>
      <c r="G274" s="28"/>
      <c r="H274" s="28"/>
      <c r="I274" s="13"/>
      <c r="J274" s="28"/>
      <c r="K274" s="13"/>
      <c r="L274" s="28"/>
      <c r="M274" s="13"/>
      <c r="N274" s="28"/>
      <c r="O274" s="13"/>
      <c r="P274" s="28"/>
      <c r="Q274" s="20"/>
      <c r="R274" s="28"/>
      <c r="S274" s="20"/>
      <c r="T274" s="28"/>
      <c r="U274" s="13"/>
      <c r="V274" s="28"/>
      <c r="W274" s="13"/>
      <c r="X274" s="28"/>
      <c r="Y274" s="13"/>
      <c r="Z274" s="28"/>
      <c r="AA274" s="13"/>
      <c r="AB274" s="28"/>
      <c r="AC274" s="13"/>
      <c r="AD274" s="28"/>
      <c r="AE274" s="13"/>
      <c r="AF274" s="28"/>
      <c r="AG274" s="13"/>
      <c r="AH274" s="28"/>
      <c r="AI274" s="13"/>
      <c r="AJ274" s="28"/>
      <c r="AK274" s="13"/>
      <c r="AL274" s="28"/>
      <c r="AM274" s="13"/>
      <c r="AN274" s="28"/>
      <c r="AO274" s="13"/>
      <c r="AP274" s="28"/>
      <c r="AQ274" s="13"/>
      <c r="AR274" s="28"/>
      <c r="AS274" s="19">
        <f>SUM(H274,J274,L274,N274,P274,R274,T274,V274,X274,Z274,AB274,AD274,AF274,AH274,AJ274,AL274,AN274)</f>
        <v>0</v>
      </c>
      <c r="AT274" s="29" t="str">
        <f>IF(C274="","",DATE(YEAR(C274),MONTH(C274),1))</f>
        <v/>
      </c>
      <c r="AU274" s="28" t="str">
        <f>IF(AT274="","",TEXT(AT274,"mmmm yyyy"))</f>
        <v/>
      </c>
      <c r="AV274" s="29" t="str">
        <f>IF(C274="","",C274-WEEKDAY(C274,2)+1)</f>
        <v/>
      </c>
      <c r="AW274" s="29" t="str">
        <f>IF(AV274="","",AV274+6)</f>
        <v/>
      </c>
      <c r="AX274" s="28" t="str">
        <f>IF(AV274="","",TEXT(AV274,"dd/mm/yyyy")&amp;" - "&amp;TEXT(AW274,"dd/mm/yyyy"))</f>
        <v/>
      </c>
      <c r="AY274" s="28" t="str">
        <f>IF(B274="","",COUNTIFS($B$5:B274,B274,$AT$5:AT274,AT274))</f>
        <v/>
      </c>
      <c r="AZ274" s="28" t="str">
        <f>IF(B274="","",COUNTIFS($B$5:B274,B274,$AV$5:AV274,AV274))</f>
        <v/>
      </c>
      <c r="BA274" s="28" t="str">
        <f>IF(B274="","",TEXT(AY274,"00")&amp;"|"&amp;B274&amp;"|"&amp;TEXT(AT274,"yyyymmdd"))</f>
        <v/>
      </c>
      <c r="BB274" s="28" t="str">
        <f>IF(B274="","",TEXT(AZ274,"00")&amp;"|"&amp;B274&amp;"|"&amp;TEXT(AV274,"yyyymmdd"))</f>
        <v/>
      </c>
      <c r="BC274" s="28">
        <f>IF(OR(AQ274="YES",AQ274="Yes",AQ274="Y",AQ274=1),1,0)</f>
        <v>0</v>
      </c>
    </row>
    <row r="275" spans="1:55" ht="15" customHeight="1">
      <c r="A275" s="27"/>
      <c r="B275" s="28"/>
      <c r="C275" s="29"/>
      <c r="D275" s="30"/>
      <c r="E275" s="30"/>
      <c r="F275" s="28"/>
      <c r="G275" s="28"/>
      <c r="H275" s="28"/>
      <c r="I275" s="13"/>
      <c r="J275" s="28"/>
      <c r="K275" s="13"/>
      <c r="L275" s="28"/>
      <c r="M275" s="13"/>
      <c r="N275" s="28"/>
      <c r="O275" s="13"/>
      <c r="P275" s="28"/>
      <c r="Q275" s="20"/>
      <c r="R275" s="28"/>
      <c r="S275" s="20"/>
      <c r="T275" s="28"/>
      <c r="U275" s="13"/>
      <c r="V275" s="28"/>
      <c r="W275" s="13"/>
      <c r="X275" s="28"/>
      <c r="Y275" s="13"/>
      <c r="Z275" s="28"/>
      <c r="AA275" s="13"/>
      <c r="AB275" s="28"/>
      <c r="AC275" s="13"/>
      <c r="AD275" s="28"/>
      <c r="AE275" s="13"/>
      <c r="AF275" s="28"/>
      <c r="AG275" s="13"/>
      <c r="AH275" s="28"/>
      <c r="AI275" s="13"/>
      <c r="AJ275" s="28"/>
      <c r="AK275" s="13"/>
      <c r="AL275" s="28"/>
      <c r="AM275" s="13"/>
      <c r="AN275" s="28"/>
      <c r="AO275" s="13"/>
      <c r="AP275" s="28"/>
      <c r="AQ275" s="13"/>
      <c r="AR275" s="28"/>
      <c r="AS275" s="19">
        <f>SUM(H275,J275,L275,N275,P275,R275,T275,V275,X275,Z275,AB275,AD275,AF275,AH275,AJ275,AL275,AN275)</f>
        <v>0</v>
      </c>
      <c r="AT275" s="29" t="str">
        <f>IF(C275="","",DATE(YEAR(C275),MONTH(C275),1))</f>
        <v/>
      </c>
      <c r="AU275" s="28" t="str">
        <f>IF(AT275="","",TEXT(AT275,"mmmm yyyy"))</f>
        <v/>
      </c>
      <c r="AV275" s="29" t="str">
        <f>IF(C275="","",C275-WEEKDAY(C275,2)+1)</f>
        <v/>
      </c>
      <c r="AW275" s="29" t="str">
        <f>IF(AV275="","",AV275+6)</f>
        <v/>
      </c>
      <c r="AX275" s="28" t="str">
        <f>IF(AV275="","",TEXT(AV275,"dd/mm/yyyy")&amp;" - "&amp;TEXT(AW275,"dd/mm/yyyy"))</f>
        <v/>
      </c>
      <c r="AY275" s="28" t="str">
        <f>IF(B275="","",COUNTIFS($B$5:B275,B275,$AT$5:AT275,AT275))</f>
        <v/>
      </c>
      <c r="AZ275" s="28" t="str">
        <f>IF(B275="","",COUNTIFS($B$5:B275,B275,$AV$5:AV275,AV275))</f>
        <v/>
      </c>
      <c r="BA275" s="28" t="str">
        <f>IF(B275="","",TEXT(AY275,"00")&amp;"|"&amp;B275&amp;"|"&amp;TEXT(AT275,"yyyymmdd"))</f>
        <v/>
      </c>
      <c r="BB275" s="28" t="str">
        <f>IF(B275="","",TEXT(AZ275,"00")&amp;"|"&amp;B275&amp;"|"&amp;TEXT(AV275,"yyyymmdd"))</f>
        <v/>
      </c>
      <c r="BC275" s="28">
        <f>IF(OR(AQ275="YES",AQ275="Yes",AQ275="Y",AQ275=1),1,0)</f>
        <v>0</v>
      </c>
    </row>
    <row r="276" spans="1:55" ht="15" customHeight="1">
      <c r="A276" s="27"/>
      <c r="B276" s="28"/>
      <c r="C276" s="29"/>
      <c r="D276" s="30"/>
      <c r="E276" s="30"/>
      <c r="F276" s="28"/>
      <c r="G276" s="28"/>
      <c r="H276" s="28"/>
      <c r="I276" s="13"/>
      <c r="J276" s="28"/>
      <c r="K276" s="13"/>
      <c r="L276" s="28"/>
      <c r="M276" s="13"/>
      <c r="N276" s="28"/>
      <c r="O276" s="13"/>
      <c r="P276" s="28"/>
      <c r="Q276" s="20"/>
      <c r="R276" s="28"/>
      <c r="S276" s="20"/>
      <c r="T276" s="28"/>
      <c r="U276" s="13"/>
      <c r="V276" s="28"/>
      <c r="W276" s="13"/>
      <c r="X276" s="28"/>
      <c r="Y276" s="13"/>
      <c r="Z276" s="28"/>
      <c r="AA276" s="13"/>
      <c r="AB276" s="28"/>
      <c r="AC276" s="13"/>
      <c r="AD276" s="28"/>
      <c r="AE276" s="13"/>
      <c r="AF276" s="28"/>
      <c r="AG276" s="13"/>
      <c r="AH276" s="28"/>
      <c r="AI276" s="13"/>
      <c r="AJ276" s="28"/>
      <c r="AK276" s="13"/>
      <c r="AL276" s="28"/>
      <c r="AM276" s="13"/>
      <c r="AN276" s="28"/>
      <c r="AO276" s="13"/>
      <c r="AP276" s="28"/>
      <c r="AQ276" s="13"/>
      <c r="AR276" s="28"/>
      <c r="AS276" s="19">
        <f>SUM(H276,J276,L276,N276,P276,R276,T276,V276,X276,Z276,AB276,AD276,AF276,AH276,AJ276,AL276,AN276)</f>
        <v>0</v>
      </c>
      <c r="AT276" s="29" t="str">
        <f>IF(C276="","",DATE(YEAR(C276),MONTH(C276),1))</f>
        <v/>
      </c>
      <c r="AU276" s="28" t="str">
        <f>IF(AT276="","",TEXT(AT276,"mmmm yyyy"))</f>
        <v/>
      </c>
      <c r="AV276" s="29" t="str">
        <f>IF(C276="","",C276-WEEKDAY(C276,2)+1)</f>
        <v/>
      </c>
      <c r="AW276" s="29" t="str">
        <f>IF(AV276="","",AV276+6)</f>
        <v/>
      </c>
      <c r="AX276" s="28" t="str">
        <f>IF(AV276="","",TEXT(AV276,"dd/mm/yyyy")&amp;" - "&amp;TEXT(AW276,"dd/mm/yyyy"))</f>
        <v/>
      </c>
      <c r="AY276" s="28" t="str">
        <f>IF(B276="","",COUNTIFS($B$5:B276,B276,$AT$5:AT276,AT276))</f>
        <v/>
      </c>
      <c r="AZ276" s="28" t="str">
        <f>IF(B276="","",COUNTIFS($B$5:B276,B276,$AV$5:AV276,AV276))</f>
        <v/>
      </c>
      <c r="BA276" s="28" t="str">
        <f>IF(B276="","",TEXT(AY276,"00")&amp;"|"&amp;B276&amp;"|"&amp;TEXT(AT276,"yyyymmdd"))</f>
        <v/>
      </c>
      <c r="BB276" s="28" t="str">
        <f>IF(B276="","",TEXT(AZ276,"00")&amp;"|"&amp;B276&amp;"|"&amp;TEXT(AV276,"yyyymmdd"))</f>
        <v/>
      </c>
      <c r="BC276" s="28">
        <f>IF(OR(AQ276="YES",AQ276="Yes",AQ276="Y",AQ276=1),1,0)</f>
        <v>0</v>
      </c>
    </row>
    <row r="277" spans="1:55" ht="15" customHeight="1">
      <c r="A277" s="27"/>
      <c r="B277" s="28"/>
      <c r="C277" s="29"/>
      <c r="D277" s="30"/>
      <c r="E277" s="30"/>
      <c r="F277" s="28"/>
      <c r="G277" s="28"/>
      <c r="H277" s="28"/>
      <c r="I277" s="13"/>
      <c r="J277" s="28"/>
      <c r="K277" s="13"/>
      <c r="L277" s="28"/>
      <c r="M277" s="13"/>
      <c r="N277" s="28"/>
      <c r="O277" s="13"/>
      <c r="P277" s="28"/>
      <c r="Q277" s="20"/>
      <c r="R277" s="28"/>
      <c r="S277" s="20"/>
      <c r="T277" s="28"/>
      <c r="U277" s="13"/>
      <c r="V277" s="28"/>
      <c r="W277" s="13"/>
      <c r="X277" s="28"/>
      <c r="Y277" s="13"/>
      <c r="Z277" s="28"/>
      <c r="AA277" s="13"/>
      <c r="AB277" s="28"/>
      <c r="AC277" s="13"/>
      <c r="AD277" s="28"/>
      <c r="AE277" s="13"/>
      <c r="AF277" s="28"/>
      <c r="AG277" s="13"/>
      <c r="AH277" s="28"/>
      <c r="AI277" s="13"/>
      <c r="AJ277" s="28"/>
      <c r="AK277" s="13"/>
      <c r="AL277" s="28"/>
      <c r="AM277" s="13"/>
      <c r="AN277" s="28"/>
      <c r="AO277" s="13"/>
      <c r="AP277" s="28"/>
      <c r="AQ277" s="13"/>
      <c r="AR277" s="28"/>
      <c r="AS277" s="19">
        <f>SUM(H277,J277,L277,N277,P277,R277,T277,V277,X277,Z277,AB277,AD277,AF277,AH277,AJ277,AL277,AN277)</f>
        <v>0</v>
      </c>
      <c r="AT277" s="29" t="str">
        <f>IF(C277="","",DATE(YEAR(C277),MONTH(C277),1))</f>
        <v/>
      </c>
      <c r="AU277" s="28" t="str">
        <f>IF(AT277="","",TEXT(AT277,"mmmm yyyy"))</f>
        <v/>
      </c>
      <c r="AV277" s="29" t="str">
        <f>IF(C277="","",C277-WEEKDAY(C277,2)+1)</f>
        <v/>
      </c>
      <c r="AW277" s="29" t="str">
        <f>IF(AV277="","",AV277+6)</f>
        <v/>
      </c>
      <c r="AX277" s="28" t="str">
        <f>IF(AV277="","",TEXT(AV277,"dd/mm/yyyy")&amp;" - "&amp;TEXT(AW277,"dd/mm/yyyy"))</f>
        <v/>
      </c>
      <c r="AY277" s="28" t="str">
        <f>IF(B277="","",COUNTIFS($B$5:B277,B277,$AT$5:AT277,AT277))</f>
        <v/>
      </c>
      <c r="AZ277" s="28" t="str">
        <f>IF(B277="","",COUNTIFS($B$5:B277,B277,$AV$5:AV277,AV277))</f>
        <v/>
      </c>
      <c r="BA277" s="28" t="str">
        <f>IF(B277="","",TEXT(AY277,"00")&amp;"|"&amp;B277&amp;"|"&amp;TEXT(AT277,"yyyymmdd"))</f>
        <v/>
      </c>
      <c r="BB277" s="28" t="str">
        <f>IF(B277="","",TEXT(AZ277,"00")&amp;"|"&amp;B277&amp;"|"&amp;TEXT(AV277,"yyyymmdd"))</f>
        <v/>
      </c>
      <c r="BC277" s="28">
        <f>IF(OR(AQ277="YES",AQ277="Yes",AQ277="Y",AQ277=1),1,0)</f>
        <v>0</v>
      </c>
    </row>
    <row r="278" spans="1:55" ht="15" customHeight="1">
      <c r="A278" s="27"/>
      <c r="B278" s="28"/>
      <c r="C278" s="29"/>
      <c r="D278" s="30"/>
      <c r="E278" s="30"/>
      <c r="F278" s="28"/>
      <c r="G278" s="28"/>
      <c r="H278" s="28"/>
      <c r="I278" s="13"/>
      <c r="J278" s="28"/>
      <c r="K278" s="13"/>
      <c r="L278" s="28"/>
      <c r="M278" s="13"/>
      <c r="N278" s="28"/>
      <c r="O278" s="13"/>
      <c r="P278" s="28"/>
      <c r="Q278" s="20"/>
      <c r="R278" s="28"/>
      <c r="S278" s="20"/>
      <c r="T278" s="28"/>
      <c r="U278" s="13"/>
      <c r="V278" s="28"/>
      <c r="W278" s="13"/>
      <c r="X278" s="28"/>
      <c r="Y278" s="13"/>
      <c r="Z278" s="28"/>
      <c r="AA278" s="13"/>
      <c r="AB278" s="28"/>
      <c r="AC278" s="13"/>
      <c r="AD278" s="28"/>
      <c r="AE278" s="13"/>
      <c r="AF278" s="28"/>
      <c r="AG278" s="13"/>
      <c r="AH278" s="28"/>
      <c r="AI278" s="13"/>
      <c r="AJ278" s="28"/>
      <c r="AK278" s="13"/>
      <c r="AL278" s="28"/>
      <c r="AM278" s="13"/>
      <c r="AN278" s="28"/>
      <c r="AO278" s="13"/>
      <c r="AP278" s="28"/>
      <c r="AQ278" s="13"/>
      <c r="AR278" s="28"/>
      <c r="AS278" s="19">
        <f>SUM(H278,J278,L278,N278,P278,R278,T278,V278,X278,Z278,AB278,AD278,AF278,AH278,AJ278,AL278,AN278)</f>
        <v>0</v>
      </c>
      <c r="AT278" s="29" t="str">
        <f>IF(C278="","",DATE(YEAR(C278),MONTH(C278),1))</f>
        <v/>
      </c>
      <c r="AU278" s="28" t="str">
        <f>IF(AT278="","",TEXT(AT278,"mmmm yyyy"))</f>
        <v/>
      </c>
      <c r="AV278" s="29" t="str">
        <f>IF(C278="","",C278-WEEKDAY(C278,2)+1)</f>
        <v/>
      </c>
      <c r="AW278" s="29" t="str">
        <f>IF(AV278="","",AV278+6)</f>
        <v/>
      </c>
      <c r="AX278" s="28" t="str">
        <f>IF(AV278="","",TEXT(AV278,"dd/mm/yyyy")&amp;" - "&amp;TEXT(AW278,"dd/mm/yyyy"))</f>
        <v/>
      </c>
      <c r="AY278" s="28" t="str">
        <f>IF(B278="","",COUNTIFS($B$5:B278,B278,$AT$5:AT278,AT278))</f>
        <v/>
      </c>
      <c r="AZ278" s="28" t="str">
        <f>IF(B278="","",COUNTIFS($B$5:B278,B278,$AV$5:AV278,AV278))</f>
        <v/>
      </c>
      <c r="BA278" s="28" t="str">
        <f>IF(B278="","",TEXT(AY278,"00")&amp;"|"&amp;B278&amp;"|"&amp;TEXT(AT278,"yyyymmdd"))</f>
        <v/>
      </c>
      <c r="BB278" s="28" t="str">
        <f>IF(B278="","",TEXT(AZ278,"00")&amp;"|"&amp;B278&amp;"|"&amp;TEXT(AV278,"yyyymmdd"))</f>
        <v/>
      </c>
      <c r="BC278" s="28">
        <f>IF(OR(AQ278="YES",AQ278="Yes",AQ278="Y",AQ278=1),1,0)</f>
        <v>0</v>
      </c>
    </row>
    <row r="279" spans="1:55" ht="15" customHeight="1">
      <c r="A279" s="27"/>
      <c r="B279" s="28"/>
      <c r="C279" s="29"/>
      <c r="D279" s="30"/>
      <c r="E279" s="30"/>
      <c r="F279" s="28"/>
      <c r="G279" s="28"/>
      <c r="H279" s="28"/>
      <c r="I279" s="13"/>
      <c r="J279" s="28"/>
      <c r="K279" s="13"/>
      <c r="L279" s="28"/>
      <c r="M279" s="13"/>
      <c r="N279" s="28"/>
      <c r="O279" s="13"/>
      <c r="P279" s="28"/>
      <c r="Q279" s="20"/>
      <c r="R279" s="28"/>
      <c r="S279" s="20"/>
      <c r="T279" s="28"/>
      <c r="U279" s="13"/>
      <c r="V279" s="28"/>
      <c r="W279" s="13"/>
      <c r="X279" s="28"/>
      <c r="Y279" s="13"/>
      <c r="Z279" s="28"/>
      <c r="AA279" s="13"/>
      <c r="AB279" s="28"/>
      <c r="AC279" s="13"/>
      <c r="AD279" s="28"/>
      <c r="AE279" s="13"/>
      <c r="AF279" s="28"/>
      <c r="AG279" s="13"/>
      <c r="AH279" s="28"/>
      <c r="AI279" s="13"/>
      <c r="AJ279" s="28"/>
      <c r="AK279" s="13"/>
      <c r="AL279" s="28"/>
      <c r="AM279" s="13"/>
      <c r="AN279" s="28"/>
      <c r="AO279" s="13"/>
      <c r="AP279" s="28"/>
      <c r="AQ279" s="13"/>
      <c r="AR279" s="28"/>
      <c r="AS279" s="19">
        <f>SUM(H279,J279,L279,N279,P279,R279,T279,V279,X279,Z279,AB279,AD279,AF279,AH279,AJ279,AL279,AN279)</f>
        <v>0</v>
      </c>
      <c r="AT279" s="29" t="str">
        <f>IF(C279="","",DATE(YEAR(C279),MONTH(C279),1))</f>
        <v/>
      </c>
      <c r="AU279" s="28" t="str">
        <f>IF(AT279="","",TEXT(AT279,"mmmm yyyy"))</f>
        <v/>
      </c>
      <c r="AV279" s="29" t="str">
        <f>IF(C279="","",C279-WEEKDAY(C279,2)+1)</f>
        <v/>
      </c>
      <c r="AW279" s="29" t="str">
        <f>IF(AV279="","",AV279+6)</f>
        <v/>
      </c>
      <c r="AX279" s="28" t="str">
        <f>IF(AV279="","",TEXT(AV279,"dd/mm/yyyy")&amp;" - "&amp;TEXT(AW279,"dd/mm/yyyy"))</f>
        <v/>
      </c>
      <c r="AY279" s="28" t="str">
        <f>IF(B279="","",COUNTIFS($B$5:B279,B279,$AT$5:AT279,AT279))</f>
        <v/>
      </c>
      <c r="AZ279" s="28" t="str">
        <f>IF(B279="","",COUNTIFS($B$5:B279,B279,$AV$5:AV279,AV279))</f>
        <v/>
      </c>
      <c r="BA279" s="28" t="str">
        <f>IF(B279="","",TEXT(AY279,"00")&amp;"|"&amp;B279&amp;"|"&amp;TEXT(AT279,"yyyymmdd"))</f>
        <v/>
      </c>
      <c r="BB279" s="28" t="str">
        <f>IF(B279="","",TEXT(AZ279,"00")&amp;"|"&amp;B279&amp;"|"&amp;TEXT(AV279,"yyyymmdd"))</f>
        <v/>
      </c>
      <c r="BC279" s="28">
        <f>IF(OR(AQ279="YES",AQ279="Yes",AQ279="Y",AQ279=1),1,0)</f>
        <v>0</v>
      </c>
    </row>
    <row r="280" spans="1:55" ht="15" customHeight="1">
      <c r="A280" s="27"/>
      <c r="B280" s="28"/>
      <c r="C280" s="29"/>
      <c r="D280" s="30"/>
      <c r="E280" s="30"/>
      <c r="F280" s="28"/>
      <c r="G280" s="28"/>
      <c r="H280" s="28"/>
      <c r="I280" s="13"/>
      <c r="J280" s="28"/>
      <c r="K280" s="13"/>
      <c r="L280" s="28"/>
      <c r="M280" s="13"/>
      <c r="N280" s="28"/>
      <c r="O280" s="13"/>
      <c r="P280" s="28"/>
      <c r="Q280" s="20"/>
      <c r="R280" s="28"/>
      <c r="S280" s="20"/>
      <c r="T280" s="28"/>
      <c r="U280" s="13"/>
      <c r="V280" s="28"/>
      <c r="W280" s="13"/>
      <c r="X280" s="28"/>
      <c r="Y280" s="13"/>
      <c r="Z280" s="28"/>
      <c r="AA280" s="13"/>
      <c r="AB280" s="28"/>
      <c r="AC280" s="13"/>
      <c r="AD280" s="28"/>
      <c r="AE280" s="13"/>
      <c r="AF280" s="28"/>
      <c r="AG280" s="13"/>
      <c r="AH280" s="28"/>
      <c r="AI280" s="13"/>
      <c r="AJ280" s="28"/>
      <c r="AK280" s="13"/>
      <c r="AL280" s="28"/>
      <c r="AM280" s="13"/>
      <c r="AN280" s="28"/>
      <c r="AO280" s="13"/>
      <c r="AP280" s="28"/>
      <c r="AQ280" s="13"/>
      <c r="AR280" s="28"/>
      <c r="AS280" s="19">
        <f>SUM(H280,J280,L280,N280,P280,R280,T280,V280,X280,Z280,AB280,AD280,AF280,AH280,AJ280,AL280,AN280)</f>
        <v>0</v>
      </c>
      <c r="AT280" s="29" t="str">
        <f>IF(C280="","",DATE(YEAR(C280),MONTH(C280),1))</f>
        <v/>
      </c>
      <c r="AU280" s="28" t="str">
        <f>IF(AT280="","",TEXT(AT280,"mmmm yyyy"))</f>
        <v/>
      </c>
      <c r="AV280" s="29" t="str">
        <f>IF(C280="","",C280-WEEKDAY(C280,2)+1)</f>
        <v/>
      </c>
      <c r="AW280" s="29" t="str">
        <f>IF(AV280="","",AV280+6)</f>
        <v/>
      </c>
      <c r="AX280" s="28" t="str">
        <f>IF(AV280="","",TEXT(AV280,"dd/mm/yyyy")&amp;" - "&amp;TEXT(AW280,"dd/mm/yyyy"))</f>
        <v/>
      </c>
      <c r="AY280" s="28" t="str">
        <f>IF(B280="","",COUNTIFS($B$5:B280,B280,$AT$5:AT280,AT280))</f>
        <v/>
      </c>
      <c r="AZ280" s="28" t="str">
        <f>IF(B280="","",COUNTIFS($B$5:B280,B280,$AV$5:AV280,AV280))</f>
        <v/>
      </c>
      <c r="BA280" s="28" t="str">
        <f>IF(B280="","",TEXT(AY280,"00")&amp;"|"&amp;B280&amp;"|"&amp;TEXT(AT280,"yyyymmdd"))</f>
        <v/>
      </c>
      <c r="BB280" s="28" t="str">
        <f>IF(B280="","",TEXT(AZ280,"00")&amp;"|"&amp;B280&amp;"|"&amp;TEXT(AV280,"yyyymmdd"))</f>
        <v/>
      </c>
      <c r="BC280" s="28">
        <f>IF(OR(AQ280="YES",AQ280="Yes",AQ280="Y",AQ280=1),1,0)</f>
        <v>0</v>
      </c>
    </row>
    <row r="281" spans="1:55" ht="15" customHeight="1">
      <c r="A281" s="27"/>
      <c r="B281" s="28"/>
      <c r="C281" s="29"/>
      <c r="D281" s="30"/>
      <c r="E281" s="30"/>
      <c r="F281" s="28"/>
      <c r="G281" s="28"/>
      <c r="H281" s="28"/>
      <c r="I281" s="13"/>
      <c r="J281" s="28"/>
      <c r="K281" s="13"/>
      <c r="L281" s="28"/>
      <c r="M281" s="13"/>
      <c r="N281" s="28"/>
      <c r="O281" s="13"/>
      <c r="P281" s="28"/>
      <c r="Q281" s="20"/>
      <c r="R281" s="28"/>
      <c r="S281" s="20"/>
      <c r="T281" s="28"/>
      <c r="U281" s="13"/>
      <c r="V281" s="28"/>
      <c r="W281" s="13"/>
      <c r="X281" s="28"/>
      <c r="Y281" s="13"/>
      <c r="Z281" s="28"/>
      <c r="AA281" s="13"/>
      <c r="AB281" s="28"/>
      <c r="AC281" s="13"/>
      <c r="AD281" s="28"/>
      <c r="AE281" s="13"/>
      <c r="AF281" s="28"/>
      <c r="AG281" s="13"/>
      <c r="AH281" s="28"/>
      <c r="AI281" s="13"/>
      <c r="AJ281" s="28"/>
      <c r="AK281" s="13"/>
      <c r="AL281" s="28"/>
      <c r="AM281" s="13"/>
      <c r="AN281" s="28"/>
      <c r="AO281" s="13"/>
      <c r="AP281" s="28"/>
      <c r="AQ281" s="13"/>
      <c r="AR281" s="28"/>
      <c r="AS281" s="19">
        <f>SUM(H281,J281,L281,N281,P281,R281,T281,V281,X281,Z281,AB281,AD281,AF281,AH281,AJ281,AL281,AN281)</f>
        <v>0</v>
      </c>
      <c r="AT281" s="29" t="str">
        <f>IF(C281="","",DATE(YEAR(C281),MONTH(C281),1))</f>
        <v/>
      </c>
      <c r="AU281" s="28" t="str">
        <f>IF(AT281="","",TEXT(AT281,"mmmm yyyy"))</f>
        <v/>
      </c>
      <c r="AV281" s="29" t="str">
        <f>IF(C281="","",C281-WEEKDAY(C281,2)+1)</f>
        <v/>
      </c>
      <c r="AW281" s="29" t="str">
        <f>IF(AV281="","",AV281+6)</f>
        <v/>
      </c>
      <c r="AX281" s="28" t="str">
        <f>IF(AV281="","",TEXT(AV281,"dd/mm/yyyy")&amp;" - "&amp;TEXT(AW281,"dd/mm/yyyy"))</f>
        <v/>
      </c>
      <c r="AY281" s="28" t="str">
        <f>IF(B281="","",COUNTIFS($B$5:B281,B281,$AT$5:AT281,AT281))</f>
        <v/>
      </c>
      <c r="AZ281" s="28" t="str">
        <f>IF(B281="","",COUNTIFS($B$5:B281,B281,$AV$5:AV281,AV281))</f>
        <v/>
      </c>
      <c r="BA281" s="28" t="str">
        <f>IF(B281="","",TEXT(AY281,"00")&amp;"|"&amp;B281&amp;"|"&amp;TEXT(AT281,"yyyymmdd"))</f>
        <v/>
      </c>
      <c r="BB281" s="28" t="str">
        <f>IF(B281="","",TEXT(AZ281,"00")&amp;"|"&amp;B281&amp;"|"&amp;TEXT(AV281,"yyyymmdd"))</f>
        <v/>
      </c>
      <c r="BC281" s="28">
        <f>IF(OR(AQ281="YES",AQ281="Yes",AQ281="Y",AQ281=1),1,0)</f>
        <v>0</v>
      </c>
    </row>
    <row r="282" spans="1:55" ht="15" customHeight="1">
      <c r="A282" s="27"/>
      <c r="B282" s="28"/>
      <c r="C282" s="29"/>
      <c r="D282" s="30"/>
      <c r="E282" s="30"/>
      <c r="F282" s="28"/>
      <c r="G282" s="28"/>
      <c r="H282" s="28"/>
      <c r="I282" s="13"/>
      <c r="J282" s="28"/>
      <c r="K282" s="13"/>
      <c r="L282" s="28"/>
      <c r="M282" s="13"/>
      <c r="N282" s="28"/>
      <c r="O282" s="13"/>
      <c r="P282" s="28"/>
      <c r="Q282" s="20"/>
      <c r="R282" s="28"/>
      <c r="S282" s="20"/>
      <c r="T282" s="28"/>
      <c r="U282" s="13"/>
      <c r="V282" s="28"/>
      <c r="W282" s="13"/>
      <c r="X282" s="28"/>
      <c r="Y282" s="13"/>
      <c r="Z282" s="28"/>
      <c r="AA282" s="13"/>
      <c r="AB282" s="28"/>
      <c r="AC282" s="13"/>
      <c r="AD282" s="28"/>
      <c r="AE282" s="13"/>
      <c r="AF282" s="28"/>
      <c r="AG282" s="13"/>
      <c r="AH282" s="28"/>
      <c r="AI282" s="13"/>
      <c r="AJ282" s="28"/>
      <c r="AK282" s="13"/>
      <c r="AL282" s="28"/>
      <c r="AM282" s="13"/>
      <c r="AN282" s="28"/>
      <c r="AO282" s="13"/>
      <c r="AP282" s="28"/>
      <c r="AQ282" s="13"/>
      <c r="AR282" s="28"/>
      <c r="AS282" s="19">
        <f>SUM(H282,J282,L282,N282,P282,R282,T282,V282,X282,Z282,AB282,AD282,AF282,AH282,AJ282,AL282,AN282)</f>
        <v>0</v>
      </c>
      <c r="AT282" s="29" t="str">
        <f>IF(C282="","",DATE(YEAR(C282),MONTH(C282),1))</f>
        <v/>
      </c>
      <c r="AU282" s="28" t="str">
        <f>IF(AT282="","",TEXT(AT282,"mmmm yyyy"))</f>
        <v/>
      </c>
      <c r="AV282" s="29" t="str">
        <f>IF(C282="","",C282-WEEKDAY(C282,2)+1)</f>
        <v/>
      </c>
      <c r="AW282" s="29" t="str">
        <f>IF(AV282="","",AV282+6)</f>
        <v/>
      </c>
      <c r="AX282" s="28" t="str">
        <f>IF(AV282="","",TEXT(AV282,"dd/mm/yyyy")&amp;" - "&amp;TEXT(AW282,"dd/mm/yyyy"))</f>
        <v/>
      </c>
      <c r="AY282" s="28" t="str">
        <f>IF(B282="","",COUNTIFS($B$5:B282,B282,$AT$5:AT282,AT282))</f>
        <v/>
      </c>
      <c r="AZ282" s="28" t="str">
        <f>IF(B282="","",COUNTIFS($B$5:B282,B282,$AV$5:AV282,AV282))</f>
        <v/>
      </c>
      <c r="BA282" s="28" t="str">
        <f>IF(B282="","",TEXT(AY282,"00")&amp;"|"&amp;B282&amp;"|"&amp;TEXT(AT282,"yyyymmdd"))</f>
        <v/>
      </c>
      <c r="BB282" s="28" t="str">
        <f>IF(B282="","",TEXT(AZ282,"00")&amp;"|"&amp;B282&amp;"|"&amp;TEXT(AV282,"yyyymmdd"))</f>
        <v/>
      </c>
      <c r="BC282" s="28">
        <f>IF(OR(AQ282="YES",AQ282="Yes",AQ282="Y",AQ282=1),1,0)</f>
        <v>0</v>
      </c>
    </row>
    <row r="283" spans="1:55" ht="15" customHeight="1">
      <c r="A283" s="27"/>
      <c r="B283" s="28"/>
      <c r="C283" s="29"/>
      <c r="D283" s="30"/>
      <c r="E283" s="30"/>
      <c r="F283" s="28"/>
      <c r="G283" s="28"/>
      <c r="H283" s="28"/>
      <c r="I283" s="13"/>
      <c r="J283" s="28"/>
      <c r="K283" s="13"/>
      <c r="L283" s="28"/>
      <c r="M283" s="13"/>
      <c r="N283" s="28"/>
      <c r="O283" s="13"/>
      <c r="P283" s="28"/>
      <c r="Q283" s="20"/>
      <c r="R283" s="28"/>
      <c r="S283" s="20"/>
      <c r="T283" s="28"/>
      <c r="U283" s="13"/>
      <c r="V283" s="28"/>
      <c r="W283" s="13"/>
      <c r="X283" s="28"/>
      <c r="Y283" s="13"/>
      <c r="Z283" s="28"/>
      <c r="AA283" s="13"/>
      <c r="AB283" s="28"/>
      <c r="AC283" s="13"/>
      <c r="AD283" s="28"/>
      <c r="AE283" s="13"/>
      <c r="AF283" s="28"/>
      <c r="AG283" s="13"/>
      <c r="AH283" s="28"/>
      <c r="AI283" s="13"/>
      <c r="AJ283" s="28"/>
      <c r="AK283" s="13"/>
      <c r="AL283" s="28"/>
      <c r="AM283" s="13"/>
      <c r="AN283" s="28"/>
      <c r="AO283" s="13"/>
      <c r="AP283" s="28"/>
      <c r="AQ283" s="13"/>
      <c r="AR283" s="28"/>
      <c r="AS283" s="19">
        <f>SUM(H283,J283,L283,N283,P283,R283,T283,V283,X283,Z283,AB283,AD283,AF283,AH283,AJ283,AL283,AN283)</f>
        <v>0</v>
      </c>
      <c r="AT283" s="29" t="str">
        <f>IF(C283="","",DATE(YEAR(C283),MONTH(C283),1))</f>
        <v/>
      </c>
      <c r="AU283" s="28" t="str">
        <f>IF(AT283="","",TEXT(AT283,"mmmm yyyy"))</f>
        <v/>
      </c>
      <c r="AV283" s="29" t="str">
        <f>IF(C283="","",C283-WEEKDAY(C283,2)+1)</f>
        <v/>
      </c>
      <c r="AW283" s="29" t="str">
        <f>IF(AV283="","",AV283+6)</f>
        <v/>
      </c>
      <c r="AX283" s="28" t="str">
        <f>IF(AV283="","",TEXT(AV283,"dd/mm/yyyy")&amp;" - "&amp;TEXT(AW283,"dd/mm/yyyy"))</f>
        <v/>
      </c>
      <c r="AY283" s="28" t="str">
        <f>IF(B283="","",COUNTIFS($B$5:B283,B283,$AT$5:AT283,AT283))</f>
        <v/>
      </c>
      <c r="AZ283" s="28" t="str">
        <f>IF(B283="","",COUNTIFS($B$5:B283,B283,$AV$5:AV283,AV283))</f>
        <v/>
      </c>
      <c r="BA283" s="28" t="str">
        <f>IF(B283="","",TEXT(AY283,"00")&amp;"|"&amp;B283&amp;"|"&amp;TEXT(AT283,"yyyymmdd"))</f>
        <v/>
      </c>
      <c r="BB283" s="28" t="str">
        <f>IF(B283="","",TEXT(AZ283,"00")&amp;"|"&amp;B283&amp;"|"&amp;TEXT(AV283,"yyyymmdd"))</f>
        <v/>
      </c>
      <c r="BC283" s="28">
        <f>IF(OR(AQ283="YES",AQ283="Yes",AQ283="Y",AQ283=1),1,0)</f>
        <v>0</v>
      </c>
    </row>
    <row r="284" spans="1:55" ht="15" customHeight="1">
      <c r="A284" s="27"/>
      <c r="B284" s="28"/>
      <c r="C284" s="29"/>
      <c r="D284" s="30"/>
      <c r="E284" s="30"/>
      <c r="F284" s="28"/>
      <c r="G284" s="28"/>
      <c r="H284" s="28"/>
      <c r="I284" s="13"/>
      <c r="J284" s="28"/>
      <c r="K284" s="13"/>
      <c r="L284" s="28"/>
      <c r="M284" s="13"/>
      <c r="N284" s="28"/>
      <c r="O284" s="13"/>
      <c r="P284" s="28"/>
      <c r="Q284" s="20"/>
      <c r="R284" s="28"/>
      <c r="S284" s="20"/>
      <c r="T284" s="28"/>
      <c r="U284" s="13"/>
      <c r="V284" s="28"/>
      <c r="W284" s="13"/>
      <c r="X284" s="28"/>
      <c r="Y284" s="13"/>
      <c r="Z284" s="28"/>
      <c r="AA284" s="13"/>
      <c r="AB284" s="28"/>
      <c r="AC284" s="13"/>
      <c r="AD284" s="28"/>
      <c r="AE284" s="13"/>
      <c r="AF284" s="28"/>
      <c r="AG284" s="13"/>
      <c r="AH284" s="28"/>
      <c r="AI284" s="13"/>
      <c r="AJ284" s="28"/>
      <c r="AK284" s="13"/>
      <c r="AL284" s="28"/>
      <c r="AM284" s="13"/>
      <c r="AN284" s="28"/>
      <c r="AO284" s="13"/>
      <c r="AP284" s="28"/>
      <c r="AQ284" s="13"/>
      <c r="AR284" s="28"/>
      <c r="AS284" s="19">
        <f>SUM(H284,J284,L284,N284,P284,R284,T284,V284,X284,Z284,AB284,AD284,AF284,AH284,AJ284,AL284,AN284)</f>
        <v>0</v>
      </c>
      <c r="AT284" s="29" t="str">
        <f>IF(C284="","",DATE(YEAR(C284),MONTH(C284),1))</f>
        <v/>
      </c>
      <c r="AU284" s="28" t="str">
        <f>IF(AT284="","",TEXT(AT284,"mmmm yyyy"))</f>
        <v/>
      </c>
      <c r="AV284" s="29" t="str">
        <f>IF(C284="","",C284-WEEKDAY(C284,2)+1)</f>
        <v/>
      </c>
      <c r="AW284" s="29" t="str">
        <f>IF(AV284="","",AV284+6)</f>
        <v/>
      </c>
      <c r="AX284" s="28" t="str">
        <f>IF(AV284="","",TEXT(AV284,"dd/mm/yyyy")&amp;" - "&amp;TEXT(AW284,"dd/mm/yyyy"))</f>
        <v/>
      </c>
      <c r="AY284" s="28" t="str">
        <f>IF(B284="","",COUNTIFS($B$5:B284,B284,$AT$5:AT284,AT284))</f>
        <v/>
      </c>
      <c r="AZ284" s="28" t="str">
        <f>IF(B284="","",COUNTIFS($B$5:B284,B284,$AV$5:AV284,AV284))</f>
        <v/>
      </c>
      <c r="BA284" s="28" t="str">
        <f>IF(B284="","",TEXT(AY284,"00")&amp;"|"&amp;B284&amp;"|"&amp;TEXT(AT284,"yyyymmdd"))</f>
        <v/>
      </c>
      <c r="BB284" s="28" t="str">
        <f>IF(B284="","",TEXT(AZ284,"00")&amp;"|"&amp;B284&amp;"|"&amp;TEXT(AV284,"yyyymmdd"))</f>
        <v/>
      </c>
      <c r="BC284" s="28">
        <f>IF(OR(AQ284="YES",AQ284="Yes",AQ284="Y",AQ284=1),1,0)</f>
        <v>0</v>
      </c>
    </row>
    <row r="285" spans="1:55" ht="15" customHeight="1">
      <c r="A285" s="27"/>
      <c r="B285" s="28"/>
      <c r="C285" s="29"/>
      <c r="D285" s="30"/>
      <c r="E285" s="30"/>
      <c r="F285" s="28"/>
      <c r="G285" s="28"/>
      <c r="H285" s="28"/>
      <c r="I285" s="13"/>
      <c r="J285" s="28"/>
      <c r="K285" s="13"/>
      <c r="L285" s="28"/>
      <c r="M285" s="13"/>
      <c r="N285" s="28"/>
      <c r="O285" s="13"/>
      <c r="P285" s="28"/>
      <c r="Q285" s="20"/>
      <c r="R285" s="28"/>
      <c r="S285" s="20"/>
      <c r="T285" s="28"/>
      <c r="U285" s="13"/>
      <c r="V285" s="28"/>
      <c r="W285" s="13"/>
      <c r="X285" s="28"/>
      <c r="Y285" s="13"/>
      <c r="Z285" s="28"/>
      <c r="AA285" s="13"/>
      <c r="AB285" s="28"/>
      <c r="AC285" s="13"/>
      <c r="AD285" s="28"/>
      <c r="AE285" s="13"/>
      <c r="AF285" s="28"/>
      <c r="AG285" s="13"/>
      <c r="AH285" s="28"/>
      <c r="AI285" s="13"/>
      <c r="AJ285" s="28"/>
      <c r="AK285" s="13"/>
      <c r="AL285" s="28"/>
      <c r="AM285" s="13"/>
      <c r="AN285" s="28"/>
      <c r="AO285" s="13"/>
      <c r="AP285" s="28"/>
      <c r="AQ285" s="13"/>
      <c r="AR285" s="28"/>
      <c r="AS285" s="19">
        <f>SUM(H285,J285,L285,N285,P285,R285,T285,V285,X285,Z285,AB285,AD285,AF285,AH285,AJ285,AL285,AN285)</f>
        <v>0</v>
      </c>
      <c r="AT285" s="29" t="str">
        <f>IF(C285="","",DATE(YEAR(C285),MONTH(C285),1))</f>
        <v/>
      </c>
      <c r="AU285" s="28" t="str">
        <f>IF(AT285="","",TEXT(AT285,"mmmm yyyy"))</f>
        <v/>
      </c>
      <c r="AV285" s="29" t="str">
        <f>IF(C285="","",C285-WEEKDAY(C285,2)+1)</f>
        <v/>
      </c>
      <c r="AW285" s="29" t="str">
        <f>IF(AV285="","",AV285+6)</f>
        <v/>
      </c>
      <c r="AX285" s="28" t="str">
        <f>IF(AV285="","",TEXT(AV285,"dd/mm/yyyy")&amp;" - "&amp;TEXT(AW285,"dd/mm/yyyy"))</f>
        <v/>
      </c>
      <c r="AY285" s="28" t="str">
        <f>IF(B285="","",COUNTIFS($B$5:B285,B285,$AT$5:AT285,AT285))</f>
        <v/>
      </c>
      <c r="AZ285" s="28" t="str">
        <f>IF(B285="","",COUNTIFS($B$5:B285,B285,$AV$5:AV285,AV285))</f>
        <v/>
      </c>
      <c r="BA285" s="28" t="str">
        <f>IF(B285="","",TEXT(AY285,"00")&amp;"|"&amp;B285&amp;"|"&amp;TEXT(AT285,"yyyymmdd"))</f>
        <v/>
      </c>
      <c r="BB285" s="28" t="str">
        <f>IF(B285="","",TEXT(AZ285,"00")&amp;"|"&amp;B285&amp;"|"&amp;TEXT(AV285,"yyyymmdd"))</f>
        <v/>
      </c>
      <c r="BC285" s="28">
        <f>IF(OR(AQ285="YES",AQ285="Yes",AQ285="Y",AQ285=1),1,0)</f>
        <v>0</v>
      </c>
    </row>
    <row r="286" spans="1:55" ht="15" customHeight="1">
      <c r="A286" s="27"/>
      <c r="B286" s="28"/>
      <c r="C286" s="29"/>
      <c r="D286" s="30"/>
      <c r="E286" s="30"/>
      <c r="F286" s="28"/>
      <c r="G286" s="28"/>
      <c r="H286" s="28"/>
      <c r="I286" s="13"/>
      <c r="J286" s="28"/>
      <c r="K286" s="13"/>
      <c r="L286" s="28"/>
      <c r="M286" s="13"/>
      <c r="N286" s="28"/>
      <c r="O286" s="13"/>
      <c r="P286" s="28"/>
      <c r="Q286" s="20"/>
      <c r="R286" s="28"/>
      <c r="S286" s="20"/>
      <c r="T286" s="28"/>
      <c r="U286" s="13"/>
      <c r="V286" s="28"/>
      <c r="W286" s="13"/>
      <c r="X286" s="28"/>
      <c r="Y286" s="13"/>
      <c r="Z286" s="28"/>
      <c r="AA286" s="13"/>
      <c r="AB286" s="28"/>
      <c r="AC286" s="13"/>
      <c r="AD286" s="28"/>
      <c r="AE286" s="13"/>
      <c r="AF286" s="28"/>
      <c r="AG286" s="13"/>
      <c r="AH286" s="28"/>
      <c r="AI286" s="13"/>
      <c r="AJ286" s="28"/>
      <c r="AK286" s="13"/>
      <c r="AL286" s="28"/>
      <c r="AM286" s="13"/>
      <c r="AN286" s="28"/>
      <c r="AO286" s="13"/>
      <c r="AP286" s="28"/>
      <c r="AQ286" s="13"/>
      <c r="AR286" s="28"/>
      <c r="AS286" s="19">
        <f>SUM(H286,J286,L286,N286,P286,R286,T286,V286,X286,Z286,AB286,AD286,AF286,AH286,AJ286,AL286,AN286)</f>
        <v>0</v>
      </c>
      <c r="AT286" s="29" t="str">
        <f>IF(C286="","",DATE(YEAR(C286),MONTH(C286),1))</f>
        <v/>
      </c>
      <c r="AU286" s="28" t="str">
        <f>IF(AT286="","",TEXT(AT286,"mmmm yyyy"))</f>
        <v/>
      </c>
      <c r="AV286" s="29" t="str">
        <f>IF(C286="","",C286-WEEKDAY(C286,2)+1)</f>
        <v/>
      </c>
      <c r="AW286" s="29" t="str">
        <f>IF(AV286="","",AV286+6)</f>
        <v/>
      </c>
      <c r="AX286" s="28" t="str">
        <f>IF(AV286="","",TEXT(AV286,"dd/mm/yyyy")&amp;" - "&amp;TEXT(AW286,"dd/mm/yyyy"))</f>
        <v/>
      </c>
      <c r="AY286" s="28" t="str">
        <f>IF(B286="","",COUNTIFS($B$5:B286,B286,$AT$5:AT286,AT286))</f>
        <v/>
      </c>
      <c r="AZ286" s="28" t="str">
        <f>IF(B286="","",COUNTIFS($B$5:B286,B286,$AV$5:AV286,AV286))</f>
        <v/>
      </c>
      <c r="BA286" s="28" t="str">
        <f>IF(B286="","",TEXT(AY286,"00")&amp;"|"&amp;B286&amp;"|"&amp;TEXT(AT286,"yyyymmdd"))</f>
        <v/>
      </c>
      <c r="BB286" s="28" t="str">
        <f>IF(B286="","",TEXT(AZ286,"00")&amp;"|"&amp;B286&amp;"|"&amp;TEXT(AV286,"yyyymmdd"))</f>
        <v/>
      </c>
      <c r="BC286" s="28">
        <f>IF(OR(AQ286="YES",AQ286="Yes",AQ286="Y",AQ286=1),1,0)</f>
        <v>0</v>
      </c>
    </row>
    <row r="287" spans="1:55" ht="15" customHeight="1">
      <c r="A287" s="27"/>
      <c r="B287" s="28"/>
      <c r="C287" s="29"/>
      <c r="D287" s="30"/>
      <c r="E287" s="30"/>
      <c r="F287" s="28"/>
      <c r="G287" s="28"/>
      <c r="H287" s="28"/>
      <c r="I287" s="13"/>
      <c r="J287" s="28"/>
      <c r="K287" s="13"/>
      <c r="L287" s="28"/>
      <c r="M287" s="13"/>
      <c r="N287" s="28"/>
      <c r="O287" s="13"/>
      <c r="P287" s="28"/>
      <c r="Q287" s="20"/>
      <c r="R287" s="28"/>
      <c r="S287" s="20"/>
      <c r="T287" s="28"/>
      <c r="U287" s="13"/>
      <c r="V287" s="28"/>
      <c r="W287" s="13"/>
      <c r="X287" s="28"/>
      <c r="Y287" s="13"/>
      <c r="Z287" s="28"/>
      <c r="AA287" s="13"/>
      <c r="AB287" s="28"/>
      <c r="AC287" s="13"/>
      <c r="AD287" s="28"/>
      <c r="AE287" s="13"/>
      <c r="AF287" s="28"/>
      <c r="AG287" s="13"/>
      <c r="AH287" s="28"/>
      <c r="AI287" s="13"/>
      <c r="AJ287" s="28"/>
      <c r="AK287" s="13"/>
      <c r="AL287" s="28"/>
      <c r="AM287" s="13"/>
      <c r="AN287" s="28"/>
      <c r="AO287" s="13"/>
      <c r="AP287" s="28"/>
      <c r="AQ287" s="13"/>
      <c r="AR287" s="28"/>
      <c r="AS287" s="19">
        <f>SUM(H287,J287,L287,N287,P287,R287,T287,V287,X287,Z287,AB287,AD287,AF287,AH287,AJ287,AL287,AN287)</f>
        <v>0</v>
      </c>
      <c r="AT287" s="29" t="str">
        <f>IF(C287="","",DATE(YEAR(C287),MONTH(C287),1))</f>
        <v/>
      </c>
      <c r="AU287" s="28" t="str">
        <f>IF(AT287="","",TEXT(AT287,"mmmm yyyy"))</f>
        <v/>
      </c>
      <c r="AV287" s="29" t="str">
        <f>IF(C287="","",C287-WEEKDAY(C287,2)+1)</f>
        <v/>
      </c>
      <c r="AW287" s="29" t="str">
        <f>IF(AV287="","",AV287+6)</f>
        <v/>
      </c>
      <c r="AX287" s="28" t="str">
        <f>IF(AV287="","",TEXT(AV287,"dd/mm/yyyy")&amp;" - "&amp;TEXT(AW287,"dd/mm/yyyy"))</f>
        <v/>
      </c>
      <c r="AY287" s="28" t="str">
        <f>IF(B287="","",COUNTIFS($B$5:B287,B287,$AT$5:AT287,AT287))</f>
        <v/>
      </c>
      <c r="AZ287" s="28" t="str">
        <f>IF(B287="","",COUNTIFS($B$5:B287,B287,$AV$5:AV287,AV287))</f>
        <v/>
      </c>
      <c r="BA287" s="28" t="str">
        <f>IF(B287="","",TEXT(AY287,"00")&amp;"|"&amp;B287&amp;"|"&amp;TEXT(AT287,"yyyymmdd"))</f>
        <v/>
      </c>
      <c r="BB287" s="28" t="str">
        <f>IF(B287="","",TEXT(AZ287,"00")&amp;"|"&amp;B287&amp;"|"&amp;TEXT(AV287,"yyyymmdd"))</f>
        <v/>
      </c>
      <c r="BC287" s="28">
        <f>IF(OR(AQ287="YES",AQ287="Yes",AQ287="Y",AQ287=1),1,0)</f>
        <v>0</v>
      </c>
    </row>
    <row r="288" spans="1:55" ht="15" customHeight="1">
      <c r="A288" s="27"/>
      <c r="B288" s="28"/>
      <c r="C288" s="29"/>
      <c r="D288" s="30"/>
      <c r="E288" s="30"/>
      <c r="F288" s="28"/>
      <c r="G288" s="28"/>
      <c r="H288" s="28"/>
      <c r="I288" s="13"/>
      <c r="J288" s="28"/>
      <c r="K288" s="13"/>
      <c r="L288" s="28"/>
      <c r="M288" s="13"/>
      <c r="N288" s="28"/>
      <c r="O288" s="13"/>
      <c r="P288" s="28"/>
      <c r="Q288" s="20"/>
      <c r="R288" s="28"/>
      <c r="S288" s="20"/>
      <c r="T288" s="28"/>
      <c r="U288" s="13"/>
      <c r="V288" s="28"/>
      <c r="W288" s="13"/>
      <c r="X288" s="28"/>
      <c r="Y288" s="13"/>
      <c r="Z288" s="28"/>
      <c r="AA288" s="13"/>
      <c r="AB288" s="28"/>
      <c r="AC288" s="13"/>
      <c r="AD288" s="28"/>
      <c r="AE288" s="13"/>
      <c r="AF288" s="28"/>
      <c r="AG288" s="13"/>
      <c r="AH288" s="28"/>
      <c r="AI288" s="13"/>
      <c r="AJ288" s="28"/>
      <c r="AK288" s="13"/>
      <c r="AL288" s="28"/>
      <c r="AM288" s="13"/>
      <c r="AN288" s="28"/>
      <c r="AO288" s="13"/>
      <c r="AP288" s="28"/>
      <c r="AQ288" s="13"/>
      <c r="AR288" s="28"/>
      <c r="AS288" s="19">
        <f>SUM(H288,J288,L288,N288,P288,R288,T288,V288,X288,Z288,AB288,AD288,AF288,AH288,AJ288,AL288,AN288)</f>
        <v>0</v>
      </c>
      <c r="AT288" s="29" t="str">
        <f>IF(C288="","",DATE(YEAR(C288),MONTH(C288),1))</f>
        <v/>
      </c>
      <c r="AU288" s="28" t="str">
        <f>IF(AT288="","",TEXT(AT288,"mmmm yyyy"))</f>
        <v/>
      </c>
      <c r="AV288" s="29" t="str">
        <f>IF(C288="","",C288-WEEKDAY(C288,2)+1)</f>
        <v/>
      </c>
      <c r="AW288" s="29" t="str">
        <f>IF(AV288="","",AV288+6)</f>
        <v/>
      </c>
      <c r="AX288" s="28" t="str">
        <f>IF(AV288="","",TEXT(AV288,"dd/mm/yyyy")&amp;" - "&amp;TEXT(AW288,"dd/mm/yyyy"))</f>
        <v/>
      </c>
      <c r="AY288" s="28" t="str">
        <f>IF(B288="","",COUNTIFS($B$5:B288,B288,$AT$5:AT288,AT288))</f>
        <v/>
      </c>
      <c r="AZ288" s="28" t="str">
        <f>IF(B288="","",COUNTIFS($B$5:B288,B288,$AV$5:AV288,AV288))</f>
        <v/>
      </c>
      <c r="BA288" s="28" t="str">
        <f>IF(B288="","",TEXT(AY288,"00")&amp;"|"&amp;B288&amp;"|"&amp;TEXT(AT288,"yyyymmdd"))</f>
        <v/>
      </c>
      <c r="BB288" s="28" t="str">
        <f>IF(B288="","",TEXT(AZ288,"00")&amp;"|"&amp;B288&amp;"|"&amp;TEXT(AV288,"yyyymmdd"))</f>
        <v/>
      </c>
      <c r="BC288" s="28">
        <f>IF(OR(AQ288="YES",AQ288="Yes",AQ288="Y",AQ288=1),1,0)</f>
        <v>0</v>
      </c>
    </row>
    <row r="289" spans="1:55" ht="15" customHeight="1">
      <c r="A289" s="27"/>
      <c r="B289" s="28"/>
      <c r="C289" s="29"/>
      <c r="D289" s="30"/>
      <c r="E289" s="30"/>
      <c r="F289" s="28"/>
      <c r="G289" s="28"/>
      <c r="H289" s="28"/>
      <c r="I289" s="13"/>
      <c r="J289" s="28"/>
      <c r="K289" s="13"/>
      <c r="L289" s="28"/>
      <c r="M289" s="13"/>
      <c r="N289" s="28"/>
      <c r="O289" s="13"/>
      <c r="P289" s="28"/>
      <c r="Q289" s="20"/>
      <c r="R289" s="28"/>
      <c r="S289" s="20"/>
      <c r="T289" s="28"/>
      <c r="U289" s="13"/>
      <c r="V289" s="28"/>
      <c r="W289" s="13"/>
      <c r="X289" s="28"/>
      <c r="Y289" s="13"/>
      <c r="Z289" s="28"/>
      <c r="AA289" s="13"/>
      <c r="AB289" s="28"/>
      <c r="AC289" s="13"/>
      <c r="AD289" s="28"/>
      <c r="AE289" s="13"/>
      <c r="AF289" s="28"/>
      <c r="AG289" s="13"/>
      <c r="AH289" s="28"/>
      <c r="AI289" s="13"/>
      <c r="AJ289" s="28"/>
      <c r="AK289" s="13"/>
      <c r="AL289" s="28"/>
      <c r="AM289" s="13"/>
      <c r="AN289" s="28"/>
      <c r="AO289" s="13"/>
      <c r="AP289" s="28"/>
      <c r="AQ289" s="13"/>
      <c r="AR289" s="28"/>
      <c r="AS289" s="19">
        <f>SUM(H289,J289,L289,N289,P289,R289,T289,V289,X289,Z289,AB289,AD289,AF289,AH289,AJ289,AL289,AN289)</f>
        <v>0</v>
      </c>
      <c r="AT289" s="29" t="str">
        <f>IF(C289="","",DATE(YEAR(C289),MONTH(C289),1))</f>
        <v/>
      </c>
      <c r="AU289" s="28" t="str">
        <f>IF(AT289="","",TEXT(AT289,"mmmm yyyy"))</f>
        <v/>
      </c>
      <c r="AV289" s="29" t="str">
        <f>IF(C289="","",C289-WEEKDAY(C289,2)+1)</f>
        <v/>
      </c>
      <c r="AW289" s="29" t="str">
        <f>IF(AV289="","",AV289+6)</f>
        <v/>
      </c>
      <c r="AX289" s="28" t="str">
        <f>IF(AV289="","",TEXT(AV289,"dd/mm/yyyy")&amp;" - "&amp;TEXT(AW289,"dd/mm/yyyy"))</f>
        <v/>
      </c>
      <c r="AY289" s="28" t="str">
        <f>IF(B289="","",COUNTIFS($B$5:B289,B289,$AT$5:AT289,AT289))</f>
        <v/>
      </c>
      <c r="AZ289" s="28" t="str">
        <f>IF(B289="","",COUNTIFS($B$5:B289,B289,$AV$5:AV289,AV289))</f>
        <v/>
      </c>
      <c r="BA289" s="28" t="str">
        <f>IF(B289="","",TEXT(AY289,"00")&amp;"|"&amp;B289&amp;"|"&amp;TEXT(AT289,"yyyymmdd"))</f>
        <v/>
      </c>
      <c r="BB289" s="28" t="str">
        <f>IF(B289="","",TEXT(AZ289,"00")&amp;"|"&amp;B289&amp;"|"&amp;TEXT(AV289,"yyyymmdd"))</f>
        <v/>
      </c>
      <c r="BC289" s="28">
        <f>IF(OR(AQ289="YES",AQ289="Yes",AQ289="Y",AQ289=1),1,0)</f>
        <v>0</v>
      </c>
    </row>
    <row r="290" spans="1:55" ht="15" customHeight="1">
      <c r="A290" s="27"/>
      <c r="B290" s="28"/>
      <c r="C290" s="29"/>
      <c r="D290" s="30"/>
      <c r="E290" s="30"/>
      <c r="F290" s="28"/>
      <c r="G290" s="28"/>
      <c r="H290" s="28"/>
      <c r="I290" s="13"/>
      <c r="J290" s="28"/>
      <c r="K290" s="13"/>
      <c r="L290" s="28"/>
      <c r="M290" s="13"/>
      <c r="N290" s="28"/>
      <c r="O290" s="13"/>
      <c r="P290" s="28"/>
      <c r="Q290" s="20"/>
      <c r="R290" s="28"/>
      <c r="S290" s="20"/>
      <c r="T290" s="28"/>
      <c r="U290" s="13"/>
      <c r="V290" s="28"/>
      <c r="W290" s="13"/>
      <c r="X290" s="28"/>
      <c r="Y290" s="13"/>
      <c r="Z290" s="28"/>
      <c r="AA290" s="13"/>
      <c r="AB290" s="28"/>
      <c r="AC290" s="13"/>
      <c r="AD290" s="28"/>
      <c r="AE290" s="13"/>
      <c r="AF290" s="28"/>
      <c r="AG290" s="13"/>
      <c r="AH290" s="28"/>
      <c r="AI290" s="13"/>
      <c r="AJ290" s="28"/>
      <c r="AK290" s="13"/>
      <c r="AL290" s="28"/>
      <c r="AM290" s="13"/>
      <c r="AN290" s="28"/>
      <c r="AO290" s="13"/>
      <c r="AP290" s="28"/>
      <c r="AQ290" s="13"/>
      <c r="AR290" s="28"/>
      <c r="AS290" s="19">
        <f>SUM(H290,J290,L290,N290,P290,R290,T290,V290,X290,Z290,AB290,AD290,AF290,AH290,AJ290,AL290,AN290)</f>
        <v>0</v>
      </c>
      <c r="AT290" s="29" t="str">
        <f>IF(C290="","",DATE(YEAR(C290),MONTH(C290),1))</f>
        <v/>
      </c>
      <c r="AU290" s="28" t="str">
        <f>IF(AT290="","",TEXT(AT290,"mmmm yyyy"))</f>
        <v/>
      </c>
      <c r="AV290" s="29" t="str">
        <f>IF(C290="","",C290-WEEKDAY(C290,2)+1)</f>
        <v/>
      </c>
      <c r="AW290" s="29" t="str">
        <f>IF(AV290="","",AV290+6)</f>
        <v/>
      </c>
      <c r="AX290" s="28" t="str">
        <f>IF(AV290="","",TEXT(AV290,"dd/mm/yyyy")&amp;" - "&amp;TEXT(AW290,"dd/mm/yyyy"))</f>
        <v/>
      </c>
      <c r="AY290" s="28" t="str">
        <f>IF(B290="","",COUNTIFS($B$5:B290,B290,$AT$5:AT290,AT290))</f>
        <v/>
      </c>
      <c r="AZ290" s="28" t="str">
        <f>IF(B290="","",COUNTIFS($B$5:B290,B290,$AV$5:AV290,AV290))</f>
        <v/>
      </c>
      <c r="BA290" s="28" t="str">
        <f>IF(B290="","",TEXT(AY290,"00")&amp;"|"&amp;B290&amp;"|"&amp;TEXT(AT290,"yyyymmdd"))</f>
        <v/>
      </c>
      <c r="BB290" s="28" t="str">
        <f>IF(B290="","",TEXT(AZ290,"00")&amp;"|"&amp;B290&amp;"|"&amp;TEXT(AV290,"yyyymmdd"))</f>
        <v/>
      </c>
      <c r="BC290" s="28">
        <f>IF(OR(AQ290="YES",AQ290="Yes",AQ290="Y",AQ290=1),1,0)</f>
        <v>0</v>
      </c>
    </row>
    <row r="291" spans="1:55" ht="15" customHeight="1">
      <c r="A291" s="27"/>
      <c r="B291" s="28"/>
      <c r="C291" s="29"/>
      <c r="D291" s="30"/>
      <c r="E291" s="30"/>
      <c r="F291" s="28"/>
      <c r="G291" s="28"/>
      <c r="H291" s="28"/>
      <c r="I291" s="13"/>
      <c r="J291" s="28"/>
      <c r="K291" s="13"/>
      <c r="L291" s="28"/>
      <c r="M291" s="13"/>
      <c r="N291" s="28"/>
      <c r="O291" s="13"/>
      <c r="P291" s="28"/>
      <c r="Q291" s="20"/>
      <c r="R291" s="28"/>
      <c r="S291" s="20"/>
      <c r="T291" s="28"/>
      <c r="U291" s="13"/>
      <c r="V291" s="28"/>
      <c r="W291" s="13"/>
      <c r="X291" s="28"/>
      <c r="Y291" s="13"/>
      <c r="Z291" s="28"/>
      <c r="AA291" s="13"/>
      <c r="AB291" s="28"/>
      <c r="AC291" s="13"/>
      <c r="AD291" s="28"/>
      <c r="AE291" s="13"/>
      <c r="AF291" s="28"/>
      <c r="AG291" s="13"/>
      <c r="AH291" s="28"/>
      <c r="AI291" s="13"/>
      <c r="AJ291" s="28"/>
      <c r="AK291" s="13"/>
      <c r="AL291" s="28"/>
      <c r="AM291" s="13"/>
      <c r="AN291" s="28"/>
      <c r="AO291" s="13"/>
      <c r="AP291" s="28"/>
      <c r="AQ291" s="13"/>
      <c r="AR291" s="28"/>
      <c r="AS291" s="19">
        <f>SUM(H291,J291,L291,N291,P291,R291,T291,V291,X291,Z291,AB291,AD291,AF291,AH291,AJ291,AL291,AN291)</f>
        <v>0</v>
      </c>
      <c r="AT291" s="29" t="str">
        <f>IF(C291="","",DATE(YEAR(C291),MONTH(C291),1))</f>
        <v/>
      </c>
      <c r="AU291" s="28" t="str">
        <f>IF(AT291="","",TEXT(AT291,"mmmm yyyy"))</f>
        <v/>
      </c>
      <c r="AV291" s="29" t="str">
        <f>IF(C291="","",C291-WEEKDAY(C291,2)+1)</f>
        <v/>
      </c>
      <c r="AW291" s="29" t="str">
        <f>IF(AV291="","",AV291+6)</f>
        <v/>
      </c>
      <c r="AX291" s="28" t="str">
        <f>IF(AV291="","",TEXT(AV291,"dd/mm/yyyy")&amp;" - "&amp;TEXT(AW291,"dd/mm/yyyy"))</f>
        <v/>
      </c>
      <c r="AY291" s="28" t="str">
        <f>IF(B291="","",COUNTIFS($B$5:B291,B291,$AT$5:AT291,AT291))</f>
        <v/>
      </c>
      <c r="AZ291" s="28" t="str">
        <f>IF(B291="","",COUNTIFS($B$5:B291,B291,$AV$5:AV291,AV291))</f>
        <v/>
      </c>
      <c r="BA291" s="28" t="str">
        <f>IF(B291="","",TEXT(AY291,"00")&amp;"|"&amp;B291&amp;"|"&amp;TEXT(AT291,"yyyymmdd"))</f>
        <v/>
      </c>
      <c r="BB291" s="28" t="str">
        <f>IF(B291="","",TEXT(AZ291,"00")&amp;"|"&amp;B291&amp;"|"&amp;TEXT(AV291,"yyyymmdd"))</f>
        <v/>
      </c>
      <c r="BC291" s="28">
        <f>IF(OR(AQ291="YES",AQ291="Yes",AQ291="Y",AQ291=1),1,0)</f>
        <v>0</v>
      </c>
    </row>
    <row r="292" spans="1:55" ht="15" customHeight="1">
      <c r="A292" s="27"/>
      <c r="B292" s="28"/>
      <c r="C292" s="29"/>
      <c r="D292" s="30"/>
      <c r="E292" s="30"/>
      <c r="F292" s="28"/>
      <c r="G292" s="28"/>
      <c r="H292" s="28"/>
      <c r="I292" s="13"/>
      <c r="J292" s="28"/>
      <c r="K292" s="13"/>
      <c r="L292" s="28"/>
      <c r="M292" s="13"/>
      <c r="N292" s="28"/>
      <c r="O292" s="13"/>
      <c r="P292" s="28"/>
      <c r="Q292" s="20"/>
      <c r="R292" s="28"/>
      <c r="S292" s="20"/>
      <c r="T292" s="28"/>
      <c r="U292" s="13"/>
      <c r="V292" s="28"/>
      <c r="W292" s="13"/>
      <c r="X292" s="28"/>
      <c r="Y292" s="13"/>
      <c r="Z292" s="28"/>
      <c r="AA292" s="13"/>
      <c r="AB292" s="28"/>
      <c r="AC292" s="13"/>
      <c r="AD292" s="28"/>
      <c r="AE292" s="13"/>
      <c r="AF292" s="28"/>
      <c r="AG292" s="13"/>
      <c r="AH292" s="28"/>
      <c r="AI292" s="13"/>
      <c r="AJ292" s="28"/>
      <c r="AK292" s="13"/>
      <c r="AL292" s="28"/>
      <c r="AM292" s="13"/>
      <c r="AN292" s="28"/>
      <c r="AO292" s="13"/>
      <c r="AP292" s="28"/>
      <c r="AQ292" s="13"/>
      <c r="AR292" s="28"/>
      <c r="AS292" s="19">
        <f>SUM(H292,J292,L292,N292,P292,R292,T292,V292,X292,Z292,AB292,AD292,AF292,AH292,AJ292,AL292,AN292)</f>
        <v>0</v>
      </c>
      <c r="AT292" s="29" t="str">
        <f>IF(C292="","",DATE(YEAR(C292),MONTH(C292),1))</f>
        <v/>
      </c>
      <c r="AU292" s="28" t="str">
        <f>IF(AT292="","",TEXT(AT292,"mmmm yyyy"))</f>
        <v/>
      </c>
      <c r="AV292" s="29" t="str">
        <f>IF(C292="","",C292-WEEKDAY(C292,2)+1)</f>
        <v/>
      </c>
      <c r="AW292" s="29" t="str">
        <f>IF(AV292="","",AV292+6)</f>
        <v/>
      </c>
      <c r="AX292" s="28" t="str">
        <f>IF(AV292="","",TEXT(AV292,"dd/mm/yyyy")&amp;" - "&amp;TEXT(AW292,"dd/mm/yyyy"))</f>
        <v/>
      </c>
      <c r="AY292" s="28" t="str">
        <f>IF(B292="","",COUNTIFS($B$5:B292,B292,$AT$5:AT292,AT292))</f>
        <v/>
      </c>
      <c r="AZ292" s="28" t="str">
        <f>IF(B292="","",COUNTIFS($B$5:B292,B292,$AV$5:AV292,AV292))</f>
        <v/>
      </c>
      <c r="BA292" s="28" t="str">
        <f>IF(B292="","",TEXT(AY292,"00")&amp;"|"&amp;B292&amp;"|"&amp;TEXT(AT292,"yyyymmdd"))</f>
        <v/>
      </c>
      <c r="BB292" s="28" t="str">
        <f>IF(B292="","",TEXT(AZ292,"00")&amp;"|"&amp;B292&amp;"|"&amp;TEXT(AV292,"yyyymmdd"))</f>
        <v/>
      </c>
      <c r="BC292" s="28">
        <f>IF(OR(AQ292="YES",AQ292="Yes",AQ292="Y",AQ292=1),1,0)</f>
        <v>0</v>
      </c>
    </row>
    <row r="293" spans="1:55" ht="15" customHeight="1">
      <c r="A293" s="27"/>
      <c r="B293" s="28"/>
      <c r="C293" s="29"/>
      <c r="D293" s="30"/>
      <c r="E293" s="30"/>
      <c r="F293" s="28"/>
      <c r="G293" s="28"/>
      <c r="H293" s="28"/>
      <c r="I293" s="13"/>
      <c r="J293" s="28"/>
      <c r="K293" s="13"/>
      <c r="L293" s="28"/>
      <c r="M293" s="13"/>
      <c r="N293" s="28"/>
      <c r="O293" s="13"/>
      <c r="P293" s="28"/>
      <c r="Q293" s="20"/>
      <c r="R293" s="28"/>
      <c r="S293" s="20"/>
      <c r="T293" s="28"/>
      <c r="U293" s="13"/>
      <c r="V293" s="28"/>
      <c r="W293" s="13"/>
      <c r="X293" s="28"/>
      <c r="Y293" s="13"/>
      <c r="Z293" s="28"/>
      <c r="AA293" s="13"/>
      <c r="AB293" s="28"/>
      <c r="AC293" s="13"/>
      <c r="AD293" s="28"/>
      <c r="AE293" s="13"/>
      <c r="AF293" s="28"/>
      <c r="AG293" s="13"/>
      <c r="AH293" s="28"/>
      <c r="AI293" s="13"/>
      <c r="AJ293" s="28"/>
      <c r="AK293" s="13"/>
      <c r="AL293" s="28"/>
      <c r="AM293" s="13"/>
      <c r="AN293" s="28"/>
      <c r="AO293" s="13"/>
      <c r="AP293" s="28"/>
      <c r="AQ293" s="13"/>
      <c r="AR293" s="28"/>
      <c r="AS293" s="19">
        <f>SUM(H293,J293,L293,N293,P293,R293,T293,V293,X293,Z293,AB293,AD293,AF293,AH293,AJ293,AL293,AN293)</f>
        <v>0</v>
      </c>
      <c r="AT293" s="29" t="str">
        <f>IF(C293="","",DATE(YEAR(C293),MONTH(C293),1))</f>
        <v/>
      </c>
      <c r="AU293" s="28" t="str">
        <f>IF(AT293="","",TEXT(AT293,"mmmm yyyy"))</f>
        <v/>
      </c>
      <c r="AV293" s="29" t="str">
        <f>IF(C293="","",C293-WEEKDAY(C293,2)+1)</f>
        <v/>
      </c>
      <c r="AW293" s="29" t="str">
        <f>IF(AV293="","",AV293+6)</f>
        <v/>
      </c>
      <c r="AX293" s="28" t="str">
        <f>IF(AV293="","",TEXT(AV293,"dd/mm/yyyy")&amp;" - "&amp;TEXT(AW293,"dd/mm/yyyy"))</f>
        <v/>
      </c>
      <c r="AY293" s="28" t="str">
        <f>IF(B293="","",COUNTIFS($B$5:B293,B293,$AT$5:AT293,AT293))</f>
        <v/>
      </c>
      <c r="AZ293" s="28" t="str">
        <f>IF(B293="","",COUNTIFS($B$5:B293,B293,$AV$5:AV293,AV293))</f>
        <v/>
      </c>
      <c r="BA293" s="28" t="str">
        <f>IF(B293="","",TEXT(AY293,"00")&amp;"|"&amp;B293&amp;"|"&amp;TEXT(AT293,"yyyymmdd"))</f>
        <v/>
      </c>
      <c r="BB293" s="28" t="str">
        <f>IF(B293="","",TEXT(AZ293,"00")&amp;"|"&amp;B293&amp;"|"&amp;TEXT(AV293,"yyyymmdd"))</f>
        <v/>
      </c>
      <c r="BC293" s="28">
        <f>IF(OR(AQ293="YES",AQ293="Yes",AQ293="Y",AQ293=1),1,0)</f>
        <v>0</v>
      </c>
    </row>
    <row r="294" spans="1:55" ht="15" customHeight="1">
      <c r="A294" s="27"/>
      <c r="B294" s="28"/>
      <c r="C294" s="29"/>
      <c r="D294" s="30"/>
      <c r="E294" s="30"/>
      <c r="F294" s="28"/>
      <c r="G294" s="28"/>
      <c r="H294" s="28"/>
      <c r="I294" s="13"/>
      <c r="J294" s="28"/>
      <c r="K294" s="13"/>
      <c r="L294" s="28"/>
      <c r="M294" s="13"/>
      <c r="N294" s="28"/>
      <c r="O294" s="13"/>
      <c r="P294" s="28"/>
      <c r="Q294" s="20"/>
      <c r="R294" s="28"/>
      <c r="S294" s="20"/>
      <c r="T294" s="28"/>
      <c r="U294" s="13"/>
      <c r="V294" s="28"/>
      <c r="W294" s="13"/>
      <c r="X294" s="28"/>
      <c r="Y294" s="13"/>
      <c r="Z294" s="28"/>
      <c r="AA294" s="13"/>
      <c r="AB294" s="28"/>
      <c r="AC294" s="13"/>
      <c r="AD294" s="28"/>
      <c r="AE294" s="13"/>
      <c r="AF294" s="28"/>
      <c r="AG294" s="13"/>
      <c r="AH294" s="28"/>
      <c r="AI294" s="13"/>
      <c r="AJ294" s="28"/>
      <c r="AK294" s="13"/>
      <c r="AL294" s="28"/>
      <c r="AM294" s="13"/>
      <c r="AN294" s="28"/>
      <c r="AO294" s="13"/>
      <c r="AP294" s="28"/>
      <c r="AQ294" s="13"/>
      <c r="AR294" s="28"/>
      <c r="AS294" s="19">
        <f>SUM(H294,J294,L294,N294,P294,R294,T294,V294,X294,Z294,AB294,AD294,AF294,AH294,AJ294,AL294,AN294)</f>
        <v>0</v>
      </c>
      <c r="AT294" s="29" t="str">
        <f>IF(C294="","",DATE(YEAR(C294),MONTH(C294),1))</f>
        <v/>
      </c>
      <c r="AU294" s="28" t="str">
        <f>IF(AT294="","",TEXT(AT294,"mmmm yyyy"))</f>
        <v/>
      </c>
      <c r="AV294" s="29" t="str">
        <f>IF(C294="","",C294-WEEKDAY(C294,2)+1)</f>
        <v/>
      </c>
      <c r="AW294" s="29" t="str">
        <f>IF(AV294="","",AV294+6)</f>
        <v/>
      </c>
      <c r="AX294" s="28" t="str">
        <f>IF(AV294="","",TEXT(AV294,"dd/mm/yyyy")&amp;" - "&amp;TEXT(AW294,"dd/mm/yyyy"))</f>
        <v/>
      </c>
      <c r="AY294" s="28" t="str">
        <f>IF(B294="","",COUNTIFS($B$5:B294,B294,$AT$5:AT294,AT294))</f>
        <v/>
      </c>
      <c r="AZ294" s="28" t="str">
        <f>IF(B294="","",COUNTIFS($B$5:B294,B294,$AV$5:AV294,AV294))</f>
        <v/>
      </c>
      <c r="BA294" s="28" t="str">
        <f>IF(B294="","",TEXT(AY294,"00")&amp;"|"&amp;B294&amp;"|"&amp;TEXT(AT294,"yyyymmdd"))</f>
        <v/>
      </c>
      <c r="BB294" s="28" t="str">
        <f>IF(B294="","",TEXT(AZ294,"00")&amp;"|"&amp;B294&amp;"|"&amp;TEXT(AV294,"yyyymmdd"))</f>
        <v/>
      </c>
      <c r="BC294" s="28">
        <f>IF(OR(AQ294="YES",AQ294="Yes",AQ294="Y",AQ294=1),1,0)</f>
        <v>0</v>
      </c>
    </row>
    <row r="295" spans="1:55" ht="15" customHeight="1">
      <c r="A295" s="27"/>
      <c r="B295" s="28"/>
      <c r="C295" s="29"/>
      <c r="D295" s="30"/>
      <c r="E295" s="30"/>
      <c r="F295" s="28"/>
      <c r="G295" s="28"/>
      <c r="H295" s="28"/>
      <c r="I295" s="13"/>
      <c r="J295" s="28"/>
      <c r="K295" s="13"/>
      <c r="L295" s="28"/>
      <c r="M295" s="13"/>
      <c r="N295" s="28"/>
      <c r="O295" s="13"/>
      <c r="P295" s="28"/>
      <c r="Q295" s="20"/>
      <c r="R295" s="28"/>
      <c r="S295" s="20"/>
      <c r="T295" s="28"/>
      <c r="U295" s="13"/>
      <c r="V295" s="28"/>
      <c r="W295" s="13"/>
      <c r="X295" s="28"/>
      <c r="Y295" s="13"/>
      <c r="Z295" s="28"/>
      <c r="AA295" s="13"/>
      <c r="AB295" s="28"/>
      <c r="AC295" s="13"/>
      <c r="AD295" s="28"/>
      <c r="AE295" s="13"/>
      <c r="AF295" s="28"/>
      <c r="AG295" s="13"/>
      <c r="AH295" s="28"/>
      <c r="AI295" s="13"/>
      <c r="AJ295" s="28"/>
      <c r="AK295" s="13"/>
      <c r="AL295" s="28"/>
      <c r="AM295" s="13"/>
      <c r="AN295" s="28"/>
      <c r="AO295" s="13"/>
      <c r="AP295" s="28"/>
      <c r="AQ295" s="13"/>
      <c r="AR295" s="28"/>
      <c r="AS295" s="19">
        <f>SUM(H295,J295,L295,N295,P295,R295,T295,V295,X295,Z295,AB295,AD295,AF295,AH295,AJ295,AL295,AN295)</f>
        <v>0</v>
      </c>
      <c r="AT295" s="29" t="str">
        <f>IF(C295="","",DATE(YEAR(C295),MONTH(C295),1))</f>
        <v/>
      </c>
      <c r="AU295" s="28" t="str">
        <f>IF(AT295="","",TEXT(AT295,"mmmm yyyy"))</f>
        <v/>
      </c>
      <c r="AV295" s="29" t="str">
        <f>IF(C295="","",C295-WEEKDAY(C295,2)+1)</f>
        <v/>
      </c>
      <c r="AW295" s="29" t="str">
        <f>IF(AV295="","",AV295+6)</f>
        <v/>
      </c>
      <c r="AX295" s="28" t="str">
        <f>IF(AV295="","",TEXT(AV295,"dd/mm/yyyy")&amp;" - "&amp;TEXT(AW295,"dd/mm/yyyy"))</f>
        <v/>
      </c>
      <c r="AY295" s="28" t="str">
        <f>IF(B295="","",COUNTIFS($B$5:B295,B295,$AT$5:AT295,AT295))</f>
        <v/>
      </c>
      <c r="AZ295" s="28" t="str">
        <f>IF(B295="","",COUNTIFS($B$5:B295,B295,$AV$5:AV295,AV295))</f>
        <v/>
      </c>
      <c r="BA295" s="28" t="str">
        <f>IF(B295="","",TEXT(AY295,"00")&amp;"|"&amp;B295&amp;"|"&amp;TEXT(AT295,"yyyymmdd"))</f>
        <v/>
      </c>
      <c r="BB295" s="28" t="str">
        <f>IF(B295="","",TEXT(AZ295,"00")&amp;"|"&amp;B295&amp;"|"&amp;TEXT(AV295,"yyyymmdd"))</f>
        <v/>
      </c>
      <c r="BC295" s="28">
        <f>IF(OR(AQ295="YES",AQ295="Yes",AQ295="Y",AQ295=1),1,0)</f>
        <v>0</v>
      </c>
    </row>
    <row r="296" spans="1:55" ht="15" customHeight="1">
      <c r="A296" s="27"/>
      <c r="B296" s="28"/>
      <c r="C296" s="29"/>
      <c r="D296" s="30"/>
      <c r="E296" s="30"/>
      <c r="F296" s="28"/>
      <c r="G296" s="28"/>
      <c r="H296" s="28"/>
      <c r="I296" s="13"/>
      <c r="J296" s="28"/>
      <c r="K296" s="13"/>
      <c r="L296" s="28"/>
      <c r="M296" s="13"/>
      <c r="N296" s="28"/>
      <c r="O296" s="13"/>
      <c r="P296" s="28"/>
      <c r="Q296" s="20"/>
      <c r="R296" s="28"/>
      <c r="S296" s="20"/>
      <c r="T296" s="28"/>
      <c r="U296" s="13"/>
      <c r="V296" s="28"/>
      <c r="W296" s="13"/>
      <c r="X296" s="28"/>
      <c r="Y296" s="13"/>
      <c r="Z296" s="28"/>
      <c r="AA296" s="13"/>
      <c r="AB296" s="28"/>
      <c r="AC296" s="13"/>
      <c r="AD296" s="28"/>
      <c r="AE296" s="13"/>
      <c r="AF296" s="28"/>
      <c r="AG296" s="13"/>
      <c r="AH296" s="28"/>
      <c r="AI296" s="13"/>
      <c r="AJ296" s="28"/>
      <c r="AK296" s="13"/>
      <c r="AL296" s="28"/>
      <c r="AM296" s="13"/>
      <c r="AN296" s="28"/>
      <c r="AO296" s="13"/>
      <c r="AP296" s="28"/>
      <c r="AQ296" s="13"/>
      <c r="AR296" s="28"/>
      <c r="AS296" s="19">
        <f>SUM(H296,J296,L296,N296,P296,R296,T296,V296,X296,Z296,AB296,AD296,AF296,AH296,AJ296,AL296,AN296)</f>
        <v>0</v>
      </c>
      <c r="AT296" s="29" t="str">
        <f>IF(C296="","",DATE(YEAR(C296),MONTH(C296),1))</f>
        <v/>
      </c>
      <c r="AU296" s="28" t="str">
        <f>IF(AT296="","",TEXT(AT296,"mmmm yyyy"))</f>
        <v/>
      </c>
      <c r="AV296" s="29" t="str">
        <f>IF(C296="","",C296-WEEKDAY(C296,2)+1)</f>
        <v/>
      </c>
      <c r="AW296" s="29" t="str">
        <f>IF(AV296="","",AV296+6)</f>
        <v/>
      </c>
      <c r="AX296" s="28" t="str">
        <f>IF(AV296="","",TEXT(AV296,"dd/mm/yyyy")&amp;" - "&amp;TEXT(AW296,"dd/mm/yyyy"))</f>
        <v/>
      </c>
      <c r="AY296" s="28" t="str">
        <f>IF(B296="","",COUNTIFS($B$5:B296,B296,$AT$5:AT296,AT296))</f>
        <v/>
      </c>
      <c r="AZ296" s="28" t="str">
        <f>IF(B296="","",COUNTIFS($B$5:B296,B296,$AV$5:AV296,AV296))</f>
        <v/>
      </c>
      <c r="BA296" s="28" t="str">
        <f>IF(B296="","",TEXT(AY296,"00")&amp;"|"&amp;B296&amp;"|"&amp;TEXT(AT296,"yyyymmdd"))</f>
        <v/>
      </c>
      <c r="BB296" s="28" t="str">
        <f>IF(B296="","",TEXT(AZ296,"00")&amp;"|"&amp;B296&amp;"|"&amp;TEXT(AV296,"yyyymmdd"))</f>
        <v/>
      </c>
      <c r="BC296" s="28">
        <f>IF(OR(AQ296="YES",AQ296="Yes",AQ296="Y",AQ296=1),1,0)</f>
        <v>0</v>
      </c>
    </row>
    <row r="297" spans="1:55" ht="15" customHeight="1">
      <c r="A297" s="27"/>
      <c r="B297" s="28"/>
      <c r="C297" s="29"/>
      <c r="D297" s="30"/>
      <c r="E297" s="30"/>
      <c r="F297" s="28"/>
      <c r="G297" s="28"/>
      <c r="H297" s="28"/>
      <c r="I297" s="13"/>
      <c r="J297" s="28"/>
      <c r="K297" s="13"/>
      <c r="L297" s="28"/>
      <c r="M297" s="13"/>
      <c r="N297" s="28"/>
      <c r="O297" s="13"/>
      <c r="P297" s="28"/>
      <c r="Q297" s="20"/>
      <c r="R297" s="28"/>
      <c r="S297" s="20"/>
      <c r="T297" s="28"/>
      <c r="U297" s="13"/>
      <c r="V297" s="28"/>
      <c r="W297" s="13"/>
      <c r="X297" s="28"/>
      <c r="Y297" s="13"/>
      <c r="Z297" s="28"/>
      <c r="AA297" s="13"/>
      <c r="AB297" s="28"/>
      <c r="AC297" s="13"/>
      <c r="AD297" s="28"/>
      <c r="AE297" s="13"/>
      <c r="AF297" s="28"/>
      <c r="AG297" s="13"/>
      <c r="AH297" s="28"/>
      <c r="AI297" s="13"/>
      <c r="AJ297" s="28"/>
      <c r="AK297" s="13"/>
      <c r="AL297" s="28"/>
      <c r="AM297" s="13"/>
      <c r="AN297" s="28"/>
      <c r="AO297" s="13"/>
      <c r="AP297" s="28"/>
      <c r="AQ297" s="13"/>
      <c r="AR297" s="28"/>
      <c r="AS297" s="19">
        <f>SUM(H297,J297,L297,N297,P297,R297,T297,V297,X297,Z297,AB297,AD297,AF297,AH297,AJ297,AL297,AN297)</f>
        <v>0</v>
      </c>
      <c r="AT297" s="29" t="str">
        <f>IF(C297="","",DATE(YEAR(C297),MONTH(C297),1))</f>
        <v/>
      </c>
      <c r="AU297" s="28" t="str">
        <f>IF(AT297="","",TEXT(AT297,"mmmm yyyy"))</f>
        <v/>
      </c>
      <c r="AV297" s="29" t="str">
        <f>IF(C297="","",C297-WEEKDAY(C297,2)+1)</f>
        <v/>
      </c>
      <c r="AW297" s="29" t="str">
        <f>IF(AV297="","",AV297+6)</f>
        <v/>
      </c>
      <c r="AX297" s="28" t="str">
        <f>IF(AV297="","",TEXT(AV297,"dd/mm/yyyy")&amp;" - "&amp;TEXT(AW297,"dd/mm/yyyy"))</f>
        <v/>
      </c>
      <c r="AY297" s="28" t="str">
        <f>IF(B297="","",COUNTIFS($B$5:B297,B297,$AT$5:AT297,AT297))</f>
        <v/>
      </c>
      <c r="AZ297" s="28" t="str">
        <f>IF(B297="","",COUNTIFS($B$5:B297,B297,$AV$5:AV297,AV297))</f>
        <v/>
      </c>
      <c r="BA297" s="28" t="str">
        <f>IF(B297="","",TEXT(AY297,"00")&amp;"|"&amp;B297&amp;"|"&amp;TEXT(AT297,"yyyymmdd"))</f>
        <v/>
      </c>
      <c r="BB297" s="28" t="str">
        <f>IF(B297="","",TEXT(AZ297,"00")&amp;"|"&amp;B297&amp;"|"&amp;TEXT(AV297,"yyyymmdd"))</f>
        <v/>
      </c>
      <c r="BC297" s="28">
        <f>IF(OR(AQ297="YES",AQ297="Yes",AQ297="Y",AQ297=1),1,0)</f>
        <v>0</v>
      </c>
    </row>
    <row r="298" spans="1:55" ht="15" customHeight="1">
      <c r="A298" s="27"/>
      <c r="B298" s="28"/>
      <c r="C298" s="29"/>
      <c r="D298" s="30"/>
      <c r="E298" s="30"/>
      <c r="F298" s="28"/>
      <c r="G298" s="28"/>
      <c r="H298" s="28"/>
      <c r="I298" s="13"/>
      <c r="J298" s="28"/>
      <c r="K298" s="13"/>
      <c r="L298" s="28"/>
      <c r="M298" s="13"/>
      <c r="N298" s="28"/>
      <c r="O298" s="13"/>
      <c r="P298" s="28"/>
      <c r="Q298" s="20"/>
      <c r="R298" s="28"/>
      <c r="S298" s="20"/>
      <c r="T298" s="28"/>
      <c r="U298" s="13"/>
      <c r="V298" s="28"/>
      <c r="W298" s="13"/>
      <c r="X298" s="28"/>
      <c r="Y298" s="13"/>
      <c r="Z298" s="28"/>
      <c r="AA298" s="13"/>
      <c r="AB298" s="28"/>
      <c r="AC298" s="13"/>
      <c r="AD298" s="28"/>
      <c r="AE298" s="13"/>
      <c r="AF298" s="28"/>
      <c r="AG298" s="13"/>
      <c r="AH298" s="28"/>
      <c r="AI298" s="13"/>
      <c r="AJ298" s="28"/>
      <c r="AK298" s="13"/>
      <c r="AL298" s="28"/>
      <c r="AM298" s="13"/>
      <c r="AN298" s="28"/>
      <c r="AO298" s="13"/>
      <c r="AP298" s="28"/>
      <c r="AQ298" s="13"/>
      <c r="AR298" s="28"/>
      <c r="AS298" s="19">
        <f>SUM(H298,J298,L298,N298,P298,R298,T298,V298,X298,Z298,AB298,AD298,AF298,AH298,AJ298,AL298,AN298)</f>
        <v>0</v>
      </c>
      <c r="AT298" s="29" t="str">
        <f>IF(C298="","",DATE(YEAR(C298),MONTH(C298),1))</f>
        <v/>
      </c>
      <c r="AU298" s="28" t="str">
        <f>IF(AT298="","",TEXT(AT298,"mmmm yyyy"))</f>
        <v/>
      </c>
      <c r="AV298" s="29" t="str">
        <f>IF(C298="","",C298-WEEKDAY(C298,2)+1)</f>
        <v/>
      </c>
      <c r="AW298" s="29" t="str">
        <f>IF(AV298="","",AV298+6)</f>
        <v/>
      </c>
      <c r="AX298" s="28" t="str">
        <f>IF(AV298="","",TEXT(AV298,"dd/mm/yyyy")&amp;" - "&amp;TEXT(AW298,"dd/mm/yyyy"))</f>
        <v/>
      </c>
      <c r="AY298" s="28" t="str">
        <f>IF(B298="","",COUNTIFS($B$5:B298,B298,$AT$5:AT298,AT298))</f>
        <v/>
      </c>
      <c r="AZ298" s="28" t="str">
        <f>IF(B298="","",COUNTIFS($B$5:B298,B298,$AV$5:AV298,AV298))</f>
        <v/>
      </c>
      <c r="BA298" s="28" t="str">
        <f>IF(B298="","",TEXT(AY298,"00")&amp;"|"&amp;B298&amp;"|"&amp;TEXT(AT298,"yyyymmdd"))</f>
        <v/>
      </c>
      <c r="BB298" s="28" t="str">
        <f>IF(B298="","",TEXT(AZ298,"00")&amp;"|"&amp;B298&amp;"|"&amp;TEXT(AV298,"yyyymmdd"))</f>
        <v/>
      </c>
      <c r="BC298" s="28">
        <f>IF(OR(AQ298="YES",AQ298="Yes",AQ298="Y",AQ298=1),1,0)</f>
        <v>0</v>
      </c>
    </row>
    <row r="299" spans="1:55" ht="15" customHeight="1">
      <c r="A299" s="27"/>
      <c r="B299" s="28"/>
      <c r="C299" s="29"/>
      <c r="D299" s="30"/>
      <c r="E299" s="30"/>
      <c r="F299" s="28"/>
      <c r="G299" s="28"/>
      <c r="H299" s="28"/>
      <c r="I299" s="13"/>
      <c r="J299" s="28"/>
      <c r="K299" s="13"/>
      <c r="L299" s="28"/>
      <c r="M299" s="13"/>
      <c r="N299" s="28"/>
      <c r="O299" s="13"/>
      <c r="P299" s="28"/>
      <c r="Q299" s="20"/>
      <c r="R299" s="28"/>
      <c r="S299" s="20"/>
      <c r="T299" s="28"/>
      <c r="U299" s="13"/>
      <c r="V299" s="28"/>
      <c r="W299" s="13"/>
      <c r="X299" s="28"/>
      <c r="Y299" s="13"/>
      <c r="Z299" s="28"/>
      <c r="AA299" s="13"/>
      <c r="AB299" s="28"/>
      <c r="AC299" s="13"/>
      <c r="AD299" s="28"/>
      <c r="AE299" s="13"/>
      <c r="AF299" s="28"/>
      <c r="AG299" s="13"/>
      <c r="AH299" s="28"/>
      <c r="AI299" s="13"/>
      <c r="AJ299" s="28"/>
      <c r="AK299" s="13"/>
      <c r="AL299" s="28"/>
      <c r="AM299" s="13"/>
      <c r="AN299" s="28"/>
      <c r="AO299" s="13"/>
      <c r="AP299" s="28"/>
      <c r="AQ299" s="13"/>
      <c r="AR299" s="28"/>
      <c r="AS299" s="19">
        <f>SUM(H299,J299,L299,N299,P299,R299,T299,V299,X299,Z299,AB299,AD299,AF299,AH299,AJ299,AL299,AN299)</f>
        <v>0</v>
      </c>
      <c r="AT299" s="29" t="str">
        <f>IF(C299="","",DATE(YEAR(C299),MONTH(C299),1))</f>
        <v/>
      </c>
      <c r="AU299" s="28" t="str">
        <f>IF(AT299="","",TEXT(AT299,"mmmm yyyy"))</f>
        <v/>
      </c>
      <c r="AV299" s="29" t="str">
        <f>IF(C299="","",C299-WEEKDAY(C299,2)+1)</f>
        <v/>
      </c>
      <c r="AW299" s="29" t="str">
        <f>IF(AV299="","",AV299+6)</f>
        <v/>
      </c>
      <c r="AX299" s="28" t="str">
        <f>IF(AV299="","",TEXT(AV299,"dd/mm/yyyy")&amp;" - "&amp;TEXT(AW299,"dd/mm/yyyy"))</f>
        <v/>
      </c>
      <c r="AY299" s="28" t="str">
        <f>IF(B299="","",COUNTIFS($B$5:B299,B299,$AT$5:AT299,AT299))</f>
        <v/>
      </c>
      <c r="AZ299" s="28" t="str">
        <f>IF(B299="","",COUNTIFS($B$5:B299,B299,$AV$5:AV299,AV299))</f>
        <v/>
      </c>
      <c r="BA299" s="28" t="str">
        <f>IF(B299="","",TEXT(AY299,"00")&amp;"|"&amp;B299&amp;"|"&amp;TEXT(AT299,"yyyymmdd"))</f>
        <v/>
      </c>
      <c r="BB299" s="28" t="str">
        <f>IF(B299="","",TEXT(AZ299,"00")&amp;"|"&amp;B299&amp;"|"&amp;TEXT(AV299,"yyyymmdd"))</f>
        <v/>
      </c>
      <c r="BC299" s="28">
        <f>IF(OR(AQ299="YES",AQ299="Yes",AQ299="Y",AQ299=1),1,0)</f>
        <v>0</v>
      </c>
    </row>
    <row r="300" spans="1:55" ht="15" customHeight="1">
      <c r="A300" s="27"/>
      <c r="B300" s="28"/>
      <c r="C300" s="29"/>
      <c r="D300" s="30"/>
      <c r="E300" s="30"/>
      <c r="F300" s="28"/>
      <c r="G300" s="28"/>
      <c r="H300" s="28"/>
      <c r="I300" s="13"/>
      <c r="J300" s="28"/>
      <c r="K300" s="13"/>
      <c r="L300" s="28"/>
      <c r="M300" s="13"/>
      <c r="N300" s="28"/>
      <c r="O300" s="13"/>
      <c r="P300" s="28"/>
      <c r="Q300" s="20"/>
      <c r="R300" s="28"/>
      <c r="S300" s="20"/>
      <c r="T300" s="28"/>
      <c r="U300" s="13"/>
      <c r="V300" s="28"/>
      <c r="W300" s="13"/>
      <c r="X300" s="28"/>
      <c r="Y300" s="13"/>
      <c r="Z300" s="28"/>
      <c r="AA300" s="13"/>
      <c r="AB300" s="28"/>
      <c r="AC300" s="13"/>
      <c r="AD300" s="28"/>
      <c r="AE300" s="13"/>
      <c r="AF300" s="28"/>
      <c r="AG300" s="13"/>
      <c r="AH300" s="28"/>
      <c r="AI300" s="13"/>
      <c r="AJ300" s="28"/>
      <c r="AK300" s="13"/>
      <c r="AL300" s="28"/>
      <c r="AM300" s="13"/>
      <c r="AN300" s="28"/>
      <c r="AO300" s="13"/>
      <c r="AP300" s="28"/>
      <c r="AQ300" s="13"/>
      <c r="AR300" s="28"/>
      <c r="AS300" s="19">
        <f>SUM(H300,J300,L300,N300,P300,R300,T300,V300,X300,Z300,AB300,AD300,AF300,AH300,AJ300,AL300,AN300)</f>
        <v>0</v>
      </c>
      <c r="AT300" s="29" t="str">
        <f>IF(C300="","",DATE(YEAR(C300),MONTH(C300),1))</f>
        <v/>
      </c>
      <c r="AU300" s="28" t="str">
        <f>IF(AT300="","",TEXT(AT300,"mmmm yyyy"))</f>
        <v/>
      </c>
      <c r="AV300" s="29" t="str">
        <f>IF(C300="","",C300-WEEKDAY(C300,2)+1)</f>
        <v/>
      </c>
      <c r="AW300" s="29" t="str">
        <f>IF(AV300="","",AV300+6)</f>
        <v/>
      </c>
      <c r="AX300" s="28" t="str">
        <f>IF(AV300="","",TEXT(AV300,"dd/mm/yyyy")&amp;" - "&amp;TEXT(AW300,"dd/mm/yyyy"))</f>
        <v/>
      </c>
      <c r="AY300" s="28" t="str">
        <f>IF(B300="","",COUNTIFS($B$5:B300,B300,$AT$5:AT300,AT300))</f>
        <v/>
      </c>
      <c r="AZ300" s="28" t="str">
        <f>IF(B300="","",COUNTIFS($B$5:B300,B300,$AV$5:AV300,AV300))</f>
        <v/>
      </c>
      <c r="BA300" s="28" t="str">
        <f>IF(B300="","",TEXT(AY300,"00")&amp;"|"&amp;B300&amp;"|"&amp;TEXT(AT300,"yyyymmdd"))</f>
        <v/>
      </c>
      <c r="BB300" s="28" t="str">
        <f>IF(B300="","",TEXT(AZ300,"00")&amp;"|"&amp;B300&amp;"|"&amp;TEXT(AV300,"yyyymmdd"))</f>
        <v/>
      </c>
      <c r="BC300" s="28">
        <f>IF(OR(AQ300="YES",AQ300="Yes",AQ300="Y",AQ300=1),1,0)</f>
        <v>0</v>
      </c>
    </row>
    <row r="301" spans="1:55" ht="15" customHeight="1">
      <c r="A301" s="27"/>
      <c r="B301" s="28"/>
      <c r="C301" s="29"/>
      <c r="D301" s="30"/>
      <c r="E301" s="30"/>
      <c r="F301" s="28"/>
      <c r="G301" s="28"/>
      <c r="H301" s="28"/>
      <c r="I301" s="13"/>
      <c r="J301" s="28"/>
      <c r="K301" s="13"/>
      <c r="L301" s="28"/>
      <c r="M301" s="13"/>
      <c r="N301" s="28"/>
      <c r="O301" s="13"/>
      <c r="P301" s="28"/>
      <c r="Q301" s="20"/>
      <c r="R301" s="28"/>
      <c r="S301" s="20"/>
      <c r="T301" s="28"/>
      <c r="U301" s="13"/>
      <c r="V301" s="28"/>
      <c r="W301" s="13"/>
      <c r="X301" s="28"/>
      <c r="Y301" s="13"/>
      <c r="Z301" s="28"/>
      <c r="AA301" s="13"/>
      <c r="AB301" s="28"/>
      <c r="AC301" s="13"/>
      <c r="AD301" s="28"/>
      <c r="AE301" s="13"/>
      <c r="AF301" s="28"/>
      <c r="AG301" s="13"/>
      <c r="AH301" s="28"/>
      <c r="AI301" s="13"/>
      <c r="AJ301" s="28"/>
      <c r="AK301" s="13"/>
      <c r="AL301" s="28"/>
      <c r="AM301" s="13"/>
      <c r="AN301" s="28"/>
      <c r="AO301" s="13"/>
      <c r="AP301" s="28"/>
      <c r="AQ301" s="13"/>
      <c r="AR301" s="28"/>
      <c r="AS301" s="19">
        <f>SUM(H301,J301,L301,N301,P301,R301,T301,V301,X301,Z301,AB301,AD301,AF301,AH301,AJ301,AL301,AN301)</f>
        <v>0</v>
      </c>
      <c r="AT301" s="29" t="str">
        <f>IF(C301="","",DATE(YEAR(C301),MONTH(C301),1))</f>
        <v/>
      </c>
      <c r="AU301" s="28" t="str">
        <f>IF(AT301="","",TEXT(AT301,"mmmm yyyy"))</f>
        <v/>
      </c>
      <c r="AV301" s="29" t="str">
        <f>IF(C301="","",C301-WEEKDAY(C301,2)+1)</f>
        <v/>
      </c>
      <c r="AW301" s="29" t="str">
        <f>IF(AV301="","",AV301+6)</f>
        <v/>
      </c>
      <c r="AX301" s="28" t="str">
        <f>IF(AV301="","",TEXT(AV301,"dd/mm/yyyy")&amp;" - "&amp;TEXT(AW301,"dd/mm/yyyy"))</f>
        <v/>
      </c>
      <c r="AY301" s="28" t="str">
        <f>IF(B301="","",COUNTIFS($B$5:B301,B301,$AT$5:AT301,AT301))</f>
        <v/>
      </c>
      <c r="AZ301" s="28" t="str">
        <f>IF(B301="","",COUNTIFS($B$5:B301,B301,$AV$5:AV301,AV301))</f>
        <v/>
      </c>
      <c r="BA301" s="28" t="str">
        <f>IF(B301="","",TEXT(AY301,"00")&amp;"|"&amp;B301&amp;"|"&amp;TEXT(AT301,"yyyymmdd"))</f>
        <v/>
      </c>
      <c r="BB301" s="28" t="str">
        <f>IF(B301="","",TEXT(AZ301,"00")&amp;"|"&amp;B301&amp;"|"&amp;TEXT(AV301,"yyyymmdd"))</f>
        <v/>
      </c>
      <c r="BC301" s="28">
        <f>IF(OR(AQ301="YES",AQ301="Yes",AQ301="Y",AQ301=1),1,0)</f>
        <v>0</v>
      </c>
    </row>
    <row r="302" spans="1:55" ht="15" customHeight="1">
      <c r="A302" s="27"/>
      <c r="B302" s="28"/>
      <c r="C302" s="29"/>
      <c r="D302" s="30"/>
      <c r="E302" s="30"/>
      <c r="F302" s="28"/>
      <c r="G302" s="28"/>
      <c r="H302" s="28"/>
      <c r="I302" s="13"/>
      <c r="J302" s="28"/>
      <c r="K302" s="13"/>
      <c r="L302" s="28"/>
      <c r="M302" s="13"/>
      <c r="N302" s="28"/>
      <c r="O302" s="13"/>
      <c r="P302" s="28"/>
      <c r="Q302" s="20"/>
      <c r="R302" s="28"/>
      <c r="S302" s="20"/>
      <c r="T302" s="28"/>
      <c r="U302" s="13"/>
      <c r="V302" s="28"/>
      <c r="W302" s="13"/>
      <c r="X302" s="28"/>
      <c r="Y302" s="13"/>
      <c r="Z302" s="28"/>
      <c r="AA302" s="13"/>
      <c r="AB302" s="28"/>
      <c r="AC302" s="13"/>
      <c r="AD302" s="28"/>
      <c r="AE302" s="13"/>
      <c r="AF302" s="28"/>
      <c r="AG302" s="13"/>
      <c r="AH302" s="28"/>
      <c r="AI302" s="13"/>
      <c r="AJ302" s="28"/>
      <c r="AK302" s="13"/>
      <c r="AL302" s="28"/>
      <c r="AM302" s="13"/>
      <c r="AN302" s="28"/>
      <c r="AO302" s="13"/>
      <c r="AP302" s="28"/>
      <c r="AQ302" s="13"/>
      <c r="AR302" s="28"/>
      <c r="AS302" s="19">
        <f>SUM(H302,J302,L302,N302,P302,R302,T302,V302,X302,Z302,AB302,AD302,AF302,AH302,AJ302,AL302,AN302)</f>
        <v>0</v>
      </c>
      <c r="AT302" s="29" t="str">
        <f>IF(C302="","",DATE(YEAR(C302),MONTH(C302),1))</f>
        <v/>
      </c>
      <c r="AU302" s="28" t="str">
        <f>IF(AT302="","",TEXT(AT302,"mmmm yyyy"))</f>
        <v/>
      </c>
      <c r="AV302" s="29" t="str">
        <f>IF(C302="","",C302-WEEKDAY(C302,2)+1)</f>
        <v/>
      </c>
      <c r="AW302" s="29" t="str">
        <f>IF(AV302="","",AV302+6)</f>
        <v/>
      </c>
      <c r="AX302" s="28" t="str">
        <f>IF(AV302="","",TEXT(AV302,"dd/mm/yyyy")&amp;" - "&amp;TEXT(AW302,"dd/mm/yyyy"))</f>
        <v/>
      </c>
      <c r="AY302" s="28" t="str">
        <f>IF(B302="","",COUNTIFS($B$5:B302,B302,$AT$5:AT302,AT302))</f>
        <v/>
      </c>
      <c r="AZ302" s="28" t="str">
        <f>IF(B302="","",COUNTIFS($B$5:B302,B302,$AV$5:AV302,AV302))</f>
        <v/>
      </c>
      <c r="BA302" s="28" t="str">
        <f>IF(B302="","",TEXT(AY302,"00")&amp;"|"&amp;B302&amp;"|"&amp;TEXT(AT302,"yyyymmdd"))</f>
        <v/>
      </c>
      <c r="BB302" s="28" t="str">
        <f>IF(B302="","",TEXT(AZ302,"00")&amp;"|"&amp;B302&amp;"|"&amp;TEXT(AV302,"yyyymmdd"))</f>
        <v/>
      </c>
      <c r="BC302" s="28">
        <f>IF(OR(AQ302="YES",AQ302="Yes",AQ302="Y",AQ302=1),1,0)</f>
        <v>0</v>
      </c>
    </row>
    <row r="303" spans="1:55" ht="15" customHeight="1">
      <c r="A303" s="27"/>
      <c r="B303" s="28"/>
      <c r="C303" s="29"/>
      <c r="D303" s="30"/>
      <c r="E303" s="30"/>
      <c r="F303" s="28"/>
      <c r="G303" s="28"/>
      <c r="H303" s="28"/>
      <c r="I303" s="13"/>
      <c r="J303" s="28"/>
      <c r="K303" s="13"/>
      <c r="L303" s="28"/>
      <c r="M303" s="13"/>
      <c r="N303" s="28"/>
      <c r="O303" s="13"/>
      <c r="P303" s="28"/>
      <c r="Q303" s="20"/>
      <c r="R303" s="28"/>
      <c r="S303" s="20"/>
      <c r="T303" s="28"/>
      <c r="U303" s="13"/>
      <c r="V303" s="28"/>
      <c r="W303" s="13"/>
      <c r="X303" s="28"/>
      <c r="Y303" s="13"/>
      <c r="Z303" s="28"/>
      <c r="AA303" s="13"/>
      <c r="AB303" s="28"/>
      <c r="AC303" s="13"/>
      <c r="AD303" s="28"/>
      <c r="AE303" s="13"/>
      <c r="AF303" s="28"/>
      <c r="AG303" s="13"/>
      <c r="AH303" s="28"/>
      <c r="AI303" s="13"/>
      <c r="AJ303" s="28"/>
      <c r="AK303" s="13"/>
      <c r="AL303" s="28"/>
      <c r="AM303" s="13"/>
      <c r="AN303" s="28"/>
      <c r="AO303" s="13"/>
      <c r="AP303" s="28"/>
      <c r="AQ303" s="13"/>
      <c r="AR303" s="28"/>
      <c r="AS303" s="19">
        <f>SUM(H303,J303,L303,N303,P303,R303,T303,V303,X303,Z303,AB303,AD303,AF303,AH303,AJ303,AL303,AN303)</f>
        <v>0</v>
      </c>
      <c r="AT303" s="29" t="str">
        <f>IF(C303="","",DATE(YEAR(C303),MONTH(C303),1))</f>
        <v/>
      </c>
      <c r="AU303" s="28" t="str">
        <f>IF(AT303="","",TEXT(AT303,"mmmm yyyy"))</f>
        <v/>
      </c>
      <c r="AV303" s="29" t="str">
        <f>IF(C303="","",C303-WEEKDAY(C303,2)+1)</f>
        <v/>
      </c>
      <c r="AW303" s="29" t="str">
        <f>IF(AV303="","",AV303+6)</f>
        <v/>
      </c>
      <c r="AX303" s="28" t="str">
        <f>IF(AV303="","",TEXT(AV303,"dd/mm/yyyy")&amp;" - "&amp;TEXT(AW303,"dd/mm/yyyy"))</f>
        <v/>
      </c>
      <c r="AY303" s="28" t="str">
        <f>IF(B303="","",COUNTIFS($B$5:B303,B303,$AT$5:AT303,AT303))</f>
        <v/>
      </c>
      <c r="AZ303" s="28" t="str">
        <f>IF(B303="","",COUNTIFS($B$5:B303,B303,$AV$5:AV303,AV303))</f>
        <v/>
      </c>
      <c r="BA303" s="28" t="str">
        <f>IF(B303="","",TEXT(AY303,"00")&amp;"|"&amp;B303&amp;"|"&amp;TEXT(AT303,"yyyymmdd"))</f>
        <v/>
      </c>
      <c r="BB303" s="28" t="str">
        <f>IF(B303="","",TEXT(AZ303,"00")&amp;"|"&amp;B303&amp;"|"&amp;TEXT(AV303,"yyyymmdd"))</f>
        <v/>
      </c>
      <c r="BC303" s="28">
        <f>IF(OR(AQ303="YES",AQ303="Yes",AQ303="Y",AQ303=1),1,0)</f>
        <v>0</v>
      </c>
    </row>
    <row r="304" spans="1:55" ht="15" customHeight="1">
      <c r="A304" s="27"/>
      <c r="B304" s="28"/>
      <c r="C304" s="29"/>
      <c r="D304" s="30"/>
      <c r="E304" s="30"/>
      <c r="F304" s="28"/>
      <c r="G304" s="28"/>
      <c r="H304" s="28"/>
      <c r="I304" s="13"/>
      <c r="J304" s="28"/>
      <c r="K304" s="13"/>
      <c r="L304" s="28"/>
      <c r="M304" s="13"/>
      <c r="N304" s="28"/>
      <c r="O304" s="13"/>
      <c r="P304" s="28"/>
      <c r="Q304" s="20"/>
      <c r="R304" s="28"/>
      <c r="S304" s="20"/>
      <c r="T304" s="28"/>
      <c r="U304" s="13"/>
      <c r="V304" s="28"/>
      <c r="W304" s="13"/>
      <c r="X304" s="28"/>
      <c r="Y304" s="13"/>
      <c r="Z304" s="28"/>
      <c r="AA304" s="13"/>
      <c r="AB304" s="28"/>
      <c r="AC304" s="13"/>
      <c r="AD304" s="28"/>
      <c r="AE304" s="13"/>
      <c r="AF304" s="28"/>
      <c r="AG304" s="13"/>
      <c r="AH304" s="28"/>
      <c r="AI304" s="13"/>
      <c r="AJ304" s="28"/>
      <c r="AK304" s="13"/>
      <c r="AL304" s="28"/>
      <c r="AM304" s="13"/>
      <c r="AN304" s="28"/>
      <c r="AO304" s="13"/>
      <c r="AP304" s="28"/>
      <c r="AQ304" s="13"/>
      <c r="AR304" s="28"/>
      <c r="AS304" s="19">
        <f>SUM(H304,J304,L304,N304,P304,R304,T304,V304,X304,Z304,AB304,AD304,AF304,AH304,AJ304,AL304,AN304)</f>
        <v>0</v>
      </c>
      <c r="AT304" s="29" t="str">
        <f>IF(C304="","",DATE(YEAR(C304),MONTH(C304),1))</f>
        <v/>
      </c>
      <c r="AU304" s="28" t="str">
        <f>IF(AT304="","",TEXT(AT304,"mmmm yyyy"))</f>
        <v/>
      </c>
      <c r="AV304" s="29" t="str">
        <f>IF(C304="","",C304-WEEKDAY(C304,2)+1)</f>
        <v/>
      </c>
      <c r="AW304" s="29" t="str">
        <f>IF(AV304="","",AV304+6)</f>
        <v/>
      </c>
      <c r="AX304" s="28" t="str">
        <f>IF(AV304="","",TEXT(AV304,"dd/mm/yyyy")&amp;" - "&amp;TEXT(AW304,"dd/mm/yyyy"))</f>
        <v/>
      </c>
      <c r="AY304" s="28" t="str">
        <f>IF(B304="","",COUNTIFS($B$5:B304,B304,$AT$5:AT304,AT304))</f>
        <v/>
      </c>
      <c r="AZ304" s="28" t="str">
        <f>IF(B304="","",COUNTIFS($B$5:B304,B304,$AV$5:AV304,AV304))</f>
        <v/>
      </c>
      <c r="BA304" s="28" t="str">
        <f>IF(B304="","",TEXT(AY304,"00")&amp;"|"&amp;B304&amp;"|"&amp;TEXT(AT304,"yyyymmdd"))</f>
        <v/>
      </c>
      <c r="BB304" s="28" t="str">
        <f>IF(B304="","",TEXT(AZ304,"00")&amp;"|"&amp;B304&amp;"|"&amp;TEXT(AV304,"yyyymmdd"))</f>
        <v/>
      </c>
      <c r="BC304" s="28">
        <f>IF(OR(AQ304="YES",AQ304="Yes",AQ304="Y",AQ304=1),1,0)</f>
        <v>0</v>
      </c>
    </row>
    <row r="305" spans="1:55" ht="15" customHeight="1">
      <c r="A305" s="27"/>
      <c r="B305" s="28"/>
      <c r="C305" s="29"/>
      <c r="D305" s="30"/>
      <c r="E305" s="30"/>
      <c r="F305" s="28"/>
      <c r="G305" s="28"/>
      <c r="H305" s="28"/>
      <c r="I305" s="13"/>
      <c r="J305" s="28"/>
      <c r="K305" s="13"/>
      <c r="L305" s="28"/>
      <c r="M305" s="13"/>
      <c r="N305" s="28"/>
      <c r="O305" s="13"/>
      <c r="P305" s="28"/>
      <c r="Q305" s="20"/>
      <c r="R305" s="28"/>
      <c r="S305" s="20"/>
      <c r="T305" s="28"/>
      <c r="U305" s="13"/>
      <c r="V305" s="28"/>
      <c r="W305" s="13"/>
      <c r="X305" s="28"/>
      <c r="Y305" s="13"/>
      <c r="Z305" s="28"/>
      <c r="AA305" s="13"/>
      <c r="AB305" s="28"/>
      <c r="AC305" s="13"/>
      <c r="AD305" s="28"/>
      <c r="AE305" s="13"/>
      <c r="AF305" s="28"/>
      <c r="AG305" s="13"/>
      <c r="AH305" s="28"/>
      <c r="AI305" s="13"/>
      <c r="AJ305" s="28"/>
      <c r="AK305" s="13"/>
      <c r="AL305" s="28"/>
      <c r="AM305" s="13"/>
      <c r="AN305" s="28"/>
      <c r="AO305" s="13"/>
      <c r="AP305" s="28"/>
      <c r="AQ305" s="13"/>
      <c r="AR305" s="28"/>
      <c r="AS305" s="19">
        <f>SUM(H305,J305,L305,N305,P305,R305,T305,V305,X305,Z305,AB305,AD305,AF305,AH305,AJ305,AL305,AN305)</f>
        <v>0</v>
      </c>
      <c r="AT305" s="29" t="str">
        <f>IF(C305="","",DATE(YEAR(C305),MONTH(C305),1))</f>
        <v/>
      </c>
      <c r="AU305" s="28" t="str">
        <f>IF(AT305="","",TEXT(AT305,"mmmm yyyy"))</f>
        <v/>
      </c>
      <c r="AV305" s="29" t="str">
        <f>IF(C305="","",C305-WEEKDAY(C305,2)+1)</f>
        <v/>
      </c>
      <c r="AW305" s="29" t="str">
        <f>IF(AV305="","",AV305+6)</f>
        <v/>
      </c>
      <c r="AX305" s="28" t="str">
        <f>IF(AV305="","",TEXT(AV305,"dd/mm/yyyy")&amp;" - "&amp;TEXT(AW305,"dd/mm/yyyy"))</f>
        <v/>
      </c>
      <c r="AY305" s="28" t="str">
        <f>IF(B305="","",COUNTIFS($B$5:B305,B305,$AT$5:AT305,AT305))</f>
        <v/>
      </c>
      <c r="AZ305" s="28" t="str">
        <f>IF(B305="","",COUNTIFS($B$5:B305,B305,$AV$5:AV305,AV305))</f>
        <v/>
      </c>
      <c r="BA305" s="28" t="str">
        <f>IF(B305="","",TEXT(AY305,"00")&amp;"|"&amp;B305&amp;"|"&amp;TEXT(AT305,"yyyymmdd"))</f>
        <v/>
      </c>
      <c r="BB305" s="28" t="str">
        <f>IF(B305="","",TEXT(AZ305,"00")&amp;"|"&amp;B305&amp;"|"&amp;TEXT(AV305,"yyyymmdd"))</f>
        <v/>
      </c>
      <c r="BC305" s="28">
        <f>IF(OR(AQ305="YES",AQ305="Yes",AQ305="Y",AQ305=1),1,0)</f>
        <v>0</v>
      </c>
    </row>
    <row r="306" spans="1:55" ht="15" customHeight="1">
      <c r="A306" s="27"/>
      <c r="B306" s="28"/>
      <c r="C306" s="29"/>
      <c r="D306" s="30"/>
      <c r="E306" s="30"/>
      <c r="F306" s="28"/>
      <c r="G306" s="28"/>
      <c r="H306" s="28"/>
      <c r="I306" s="13"/>
      <c r="J306" s="28"/>
      <c r="K306" s="13"/>
      <c r="L306" s="28"/>
      <c r="M306" s="13"/>
      <c r="N306" s="28"/>
      <c r="O306" s="13"/>
      <c r="P306" s="28"/>
      <c r="Q306" s="20"/>
      <c r="R306" s="28"/>
      <c r="S306" s="20"/>
      <c r="T306" s="28"/>
      <c r="U306" s="13"/>
      <c r="V306" s="28"/>
      <c r="W306" s="13"/>
      <c r="X306" s="28"/>
      <c r="Y306" s="13"/>
      <c r="Z306" s="28"/>
      <c r="AA306" s="13"/>
      <c r="AB306" s="28"/>
      <c r="AC306" s="13"/>
      <c r="AD306" s="28"/>
      <c r="AE306" s="13"/>
      <c r="AF306" s="28"/>
      <c r="AG306" s="13"/>
      <c r="AH306" s="28"/>
      <c r="AI306" s="13"/>
      <c r="AJ306" s="28"/>
      <c r="AK306" s="13"/>
      <c r="AL306" s="28"/>
      <c r="AM306" s="13"/>
      <c r="AN306" s="28"/>
      <c r="AO306" s="13"/>
      <c r="AP306" s="28"/>
      <c r="AQ306" s="13"/>
      <c r="AR306" s="28"/>
      <c r="AS306" s="19">
        <f>SUM(H306,J306,L306,N306,P306,R306,T306,V306,X306,Z306,AB306,AD306,AF306,AH306,AJ306,AL306,AN306)</f>
        <v>0</v>
      </c>
      <c r="AT306" s="29" t="str">
        <f>IF(C306="","",DATE(YEAR(C306),MONTH(C306),1))</f>
        <v/>
      </c>
      <c r="AU306" s="28" t="str">
        <f>IF(AT306="","",TEXT(AT306,"mmmm yyyy"))</f>
        <v/>
      </c>
      <c r="AV306" s="29" t="str">
        <f>IF(C306="","",C306-WEEKDAY(C306,2)+1)</f>
        <v/>
      </c>
      <c r="AW306" s="29" t="str">
        <f>IF(AV306="","",AV306+6)</f>
        <v/>
      </c>
      <c r="AX306" s="28" t="str">
        <f>IF(AV306="","",TEXT(AV306,"dd/mm/yyyy")&amp;" - "&amp;TEXT(AW306,"dd/mm/yyyy"))</f>
        <v/>
      </c>
      <c r="AY306" s="28" t="str">
        <f>IF(B306="","",COUNTIFS($B$5:B306,B306,$AT$5:AT306,AT306))</f>
        <v/>
      </c>
      <c r="AZ306" s="28" t="str">
        <f>IF(B306="","",COUNTIFS($B$5:B306,B306,$AV$5:AV306,AV306))</f>
        <v/>
      </c>
      <c r="BA306" s="28" t="str">
        <f>IF(B306="","",TEXT(AY306,"00")&amp;"|"&amp;B306&amp;"|"&amp;TEXT(AT306,"yyyymmdd"))</f>
        <v/>
      </c>
      <c r="BB306" s="28" t="str">
        <f>IF(B306="","",TEXT(AZ306,"00")&amp;"|"&amp;B306&amp;"|"&amp;TEXT(AV306,"yyyymmdd"))</f>
        <v/>
      </c>
      <c r="BC306" s="28">
        <f>IF(OR(AQ306="YES",AQ306="Yes",AQ306="Y",AQ306=1),1,0)</f>
        <v>0</v>
      </c>
    </row>
    <row r="307" spans="1:55" ht="15" customHeight="1">
      <c r="A307" s="27"/>
      <c r="B307" s="28"/>
      <c r="C307" s="29"/>
      <c r="D307" s="30"/>
      <c r="E307" s="30"/>
      <c r="F307" s="28"/>
      <c r="G307" s="28"/>
      <c r="H307" s="28"/>
      <c r="I307" s="13"/>
      <c r="J307" s="28"/>
      <c r="K307" s="13"/>
      <c r="L307" s="28"/>
      <c r="M307" s="13"/>
      <c r="N307" s="28"/>
      <c r="O307" s="13"/>
      <c r="P307" s="28"/>
      <c r="Q307" s="20"/>
      <c r="R307" s="28"/>
      <c r="S307" s="20"/>
      <c r="T307" s="28"/>
      <c r="U307" s="13"/>
      <c r="V307" s="28"/>
      <c r="W307" s="13"/>
      <c r="X307" s="28"/>
      <c r="Y307" s="13"/>
      <c r="Z307" s="28"/>
      <c r="AA307" s="13"/>
      <c r="AB307" s="28"/>
      <c r="AC307" s="13"/>
      <c r="AD307" s="28"/>
      <c r="AE307" s="13"/>
      <c r="AF307" s="28"/>
      <c r="AG307" s="13"/>
      <c r="AH307" s="28"/>
      <c r="AI307" s="13"/>
      <c r="AJ307" s="28"/>
      <c r="AK307" s="13"/>
      <c r="AL307" s="28"/>
      <c r="AM307" s="13"/>
      <c r="AN307" s="28"/>
      <c r="AO307" s="13"/>
      <c r="AP307" s="28"/>
      <c r="AQ307" s="13"/>
      <c r="AR307" s="28"/>
      <c r="AS307" s="19">
        <f>SUM(H307,J307,L307,N307,P307,R307,T307,V307,X307,Z307,AB307,AD307,AF307,AH307,AJ307,AL307,AN307)</f>
        <v>0</v>
      </c>
      <c r="AT307" s="29" t="str">
        <f>IF(C307="","",DATE(YEAR(C307),MONTH(C307),1))</f>
        <v/>
      </c>
      <c r="AU307" s="28" t="str">
        <f>IF(AT307="","",TEXT(AT307,"mmmm yyyy"))</f>
        <v/>
      </c>
      <c r="AV307" s="29" t="str">
        <f>IF(C307="","",C307-WEEKDAY(C307,2)+1)</f>
        <v/>
      </c>
      <c r="AW307" s="29" t="str">
        <f>IF(AV307="","",AV307+6)</f>
        <v/>
      </c>
      <c r="AX307" s="28" t="str">
        <f>IF(AV307="","",TEXT(AV307,"dd/mm/yyyy")&amp;" - "&amp;TEXT(AW307,"dd/mm/yyyy"))</f>
        <v/>
      </c>
      <c r="AY307" s="28" t="str">
        <f>IF(B307="","",COUNTIFS($B$5:B307,B307,$AT$5:AT307,AT307))</f>
        <v/>
      </c>
      <c r="AZ307" s="28" t="str">
        <f>IF(B307="","",COUNTIFS($B$5:B307,B307,$AV$5:AV307,AV307))</f>
        <v/>
      </c>
      <c r="BA307" s="28" t="str">
        <f>IF(B307="","",TEXT(AY307,"00")&amp;"|"&amp;B307&amp;"|"&amp;TEXT(AT307,"yyyymmdd"))</f>
        <v/>
      </c>
      <c r="BB307" s="28" t="str">
        <f>IF(B307="","",TEXT(AZ307,"00")&amp;"|"&amp;B307&amp;"|"&amp;TEXT(AV307,"yyyymmdd"))</f>
        <v/>
      </c>
      <c r="BC307" s="28">
        <f>IF(OR(AQ307="YES",AQ307="Yes",AQ307="Y",AQ307=1),1,0)</f>
        <v>0</v>
      </c>
    </row>
    <row r="308" spans="1:55" ht="15" customHeight="1">
      <c r="A308" s="27"/>
      <c r="B308" s="28"/>
      <c r="C308" s="29"/>
      <c r="D308" s="30"/>
      <c r="E308" s="30"/>
      <c r="F308" s="28"/>
      <c r="G308" s="28"/>
      <c r="H308" s="28"/>
      <c r="I308" s="13"/>
      <c r="J308" s="28"/>
      <c r="K308" s="13"/>
      <c r="L308" s="28"/>
      <c r="M308" s="13"/>
      <c r="N308" s="28"/>
      <c r="O308" s="13"/>
      <c r="P308" s="28"/>
      <c r="Q308" s="20"/>
      <c r="R308" s="28"/>
      <c r="S308" s="20"/>
      <c r="T308" s="28"/>
      <c r="U308" s="13"/>
      <c r="V308" s="28"/>
      <c r="W308" s="13"/>
      <c r="X308" s="28"/>
      <c r="Y308" s="13"/>
      <c r="Z308" s="28"/>
      <c r="AA308" s="13"/>
      <c r="AB308" s="28"/>
      <c r="AC308" s="13"/>
      <c r="AD308" s="28"/>
      <c r="AE308" s="13"/>
      <c r="AF308" s="28"/>
      <c r="AG308" s="13"/>
      <c r="AH308" s="28"/>
      <c r="AI308" s="13"/>
      <c r="AJ308" s="28"/>
      <c r="AK308" s="13"/>
      <c r="AL308" s="28"/>
      <c r="AM308" s="13"/>
      <c r="AN308" s="28"/>
      <c r="AO308" s="13"/>
      <c r="AP308" s="28"/>
      <c r="AQ308" s="13"/>
      <c r="AR308" s="28"/>
      <c r="AS308" s="19">
        <f>SUM(H308,J308,L308,N308,P308,R308,T308,V308,X308,Z308,AB308,AD308,AF308,AH308,AJ308,AL308,AN308)</f>
        <v>0</v>
      </c>
      <c r="AT308" s="29" t="str">
        <f>IF(C308="","",DATE(YEAR(C308),MONTH(C308),1))</f>
        <v/>
      </c>
      <c r="AU308" s="28" t="str">
        <f>IF(AT308="","",TEXT(AT308,"mmmm yyyy"))</f>
        <v/>
      </c>
      <c r="AV308" s="29" t="str">
        <f>IF(C308="","",C308-WEEKDAY(C308,2)+1)</f>
        <v/>
      </c>
      <c r="AW308" s="29" t="str">
        <f>IF(AV308="","",AV308+6)</f>
        <v/>
      </c>
      <c r="AX308" s="28" t="str">
        <f>IF(AV308="","",TEXT(AV308,"dd/mm/yyyy")&amp;" - "&amp;TEXT(AW308,"dd/mm/yyyy"))</f>
        <v/>
      </c>
      <c r="AY308" s="28" t="str">
        <f>IF(B308="","",COUNTIFS($B$5:B308,B308,$AT$5:AT308,AT308))</f>
        <v/>
      </c>
      <c r="AZ308" s="28" t="str">
        <f>IF(B308="","",COUNTIFS($B$5:B308,B308,$AV$5:AV308,AV308))</f>
        <v/>
      </c>
      <c r="BA308" s="28" t="str">
        <f>IF(B308="","",TEXT(AY308,"00")&amp;"|"&amp;B308&amp;"|"&amp;TEXT(AT308,"yyyymmdd"))</f>
        <v/>
      </c>
      <c r="BB308" s="28" t="str">
        <f>IF(B308="","",TEXT(AZ308,"00")&amp;"|"&amp;B308&amp;"|"&amp;TEXT(AV308,"yyyymmdd"))</f>
        <v/>
      </c>
      <c r="BC308" s="28">
        <f>IF(OR(AQ308="YES",AQ308="Yes",AQ308="Y",AQ308=1),1,0)</f>
        <v>0</v>
      </c>
    </row>
    <row r="309" spans="1:55" ht="15" customHeight="1">
      <c r="A309" s="27"/>
      <c r="B309" s="28"/>
      <c r="C309" s="29"/>
      <c r="D309" s="30"/>
      <c r="E309" s="30"/>
      <c r="F309" s="28"/>
      <c r="G309" s="28"/>
      <c r="H309" s="28"/>
      <c r="I309" s="13"/>
      <c r="J309" s="28"/>
      <c r="K309" s="13"/>
      <c r="L309" s="28"/>
      <c r="M309" s="13"/>
      <c r="N309" s="28"/>
      <c r="O309" s="13"/>
      <c r="P309" s="28"/>
      <c r="Q309" s="20"/>
      <c r="R309" s="28"/>
      <c r="S309" s="20"/>
      <c r="T309" s="28"/>
      <c r="U309" s="13"/>
      <c r="V309" s="28"/>
      <c r="W309" s="13"/>
      <c r="X309" s="28"/>
      <c r="Y309" s="13"/>
      <c r="Z309" s="28"/>
      <c r="AA309" s="13"/>
      <c r="AB309" s="28"/>
      <c r="AC309" s="13"/>
      <c r="AD309" s="28"/>
      <c r="AE309" s="13"/>
      <c r="AF309" s="28"/>
      <c r="AG309" s="13"/>
      <c r="AH309" s="28"/>
      <c r="AI309" s="13"/>
      <c r="AJ309" s="28"/>
      <c r="AK309" s="13"/>
      <c r="AL309" s="28"/>
      <c r="AM309" s="13"/>
      <c r="AN309" s="28"/>
      <c r="AO309" s="13"/>
      <c r="AP309" s="28"/>
      <c r="AQ309" s="13"/>
      <c r="AR309" s="28"/>
      <c r="AS309" s="19">
        <f>SUM(H309,J309,L309,N309,P309,R309,T309,V309,X309,Z309,AB309,AD309,AF309,AH309,AJ309,AL309,AN309)</f>
        <v>0</v>
      </c>
      <c r="AT309" s="29" t="str">
        <f>IF(C309="","",DATE(YEAR(C309),MONTH(C309),1))</f>
        <v/>
      </c>
      <c r="AU309" s="28" t="str">
        <f>IF(AT309="","",TEXT(AT309,"mmmm yyyy"))</f>
        <v/>
      </c>
      <c r="AV309" s="29" t="str">
        <f>IF(C309="","",C309-WEEKDAY(C309,2)+1)</f>
        <v/>
      </c>
      <c r="AW309" s="29" t="str">
        <f>IF(AV309="","",AV309+6)</f>
        <v/>
      </c>
      <c r="AX309" s="28" t="str">
        <f>IF(AV309="","",TEXT(AV309,"dd/mm/yyyy")&amp;" - "&amp;TEXT(AW309,"dd/mm/yyyy"))</f>
        <v/>
      </c>
      <c r="AY309" s="28" t="str">
        <f>IF(B309="","",COUNTIFS($B$5:B309,B309,$AT$5:AT309,AT309))</f>
        <v/>
      </c>
      <c r="AZ309" s="28" t="str">
        <f>IF(B309="","",COUNTIFS($B$5:B309,B309,$AV$5:AV309,AV309))</f>
        <v/>
      </c>
      <c r="BA309" s="28" t="str">
        <f>IF(B309="","",TEXT(AY309,"00")&amp;"|"&amp;B309&amp;"|"&amp;TEXT(AT309,"yyyymmdd"))</f>
        <v/>
      </c>
      <c r="BB309" s="28" t="str">
        <f>IF(B309="","",TEXT(AZ309,"00")&amp;"|"&amp;B309&amp;"|"&amp;TEXT(AV309,"yyyymmdd"))</f>
        <v/>
      </c>
      <c r="BC309" s="28">
        <f>IF(OR(AQ309="YES",AQ309="Yes",AQ309="Y",AQ309=1),1,0)</f>
        <v>0</v>
      </c>
    </row>
    <row r="310" spans="1:55" ht="15" customHeight="1">
      <c r="A310" s="27"/>
      <c r="B310" s="28"/>
      <c r="C310" s="29"/>
      <c r="D310" s="30"/>
      <c r="E310" s="30"/>
      <c r="F310" s="28"/>
      <c r="G310" s="28"/>
      <c r="H310" s="28"/>
      <c r="I310" s="13"/>
      <c r="J310" s="28"/>
      <c r="K310" s="13"/>
      <c r="L310" s="28"/>
      <c r="M310" s="13"/>
      <c r="N310" s="28"/>
      <c r="O310" s="13"/>
      <c r="P310" s="28"/>
      <c r="Q310" s="20"/>
      <c r="R310" s="28"/>
      <c r="S310" s="20"/>
      <c r="T310" s="28"/>
      <c r="U310" s="13"/>
      <c r="V310" s="28"/>
      <c r="W310" s="13"/>
      <c r="X310" s="28"/>
      <c r="Y310" s="13"/>
      <c r="Z310" s="28"/>
      <c r="AA310" s="13"/>
      <c r="AB310" s="28"/>
      <c r="AC310" s="13"/>
      <c r="AD310" s="28"/>
      <c r="AE310" s="13"/>
      <c r="AF310" s="28"/>
      <c r="AG310" s="13"/>
      <c r="AH310" s="28"/>
      <c r="AI310" s="13"/>
      <c r="AJ310" s="28"/>
      <c r="AK310" s="13"/>
      <c r="AL310" s="28"/>
      <c r="AM310" s="13"/>
      <c r="AN310" s="28"/>
      <c r="AO310" s="13"/>
      <c r="AP310" s="28"/>
      <c r="AQ310" s="13"/>
      <c r="AR310" s="28"/>
      <c r="AS310" s="19">
        <f>SUM(H310,J310,L310,N310,P310,R310,T310,V310,X310,Z310,AB310,AD310,AF310,AH310,AJ310,AL310,AN310)</f>
        <v>0</v>
      </c>
      <c r="AT310" s="29" t="str">
        <f>IF(C310="","",DATE(YEAR(C310),MONTH(C310),1))</f>
        <v/>
      </c>
      <c r="AU310" s="28" t="str">
        <f>IF(AT310="","",TEXT(AT310,"mmmm yyyy"))</f>
        <v/>
      </c>
      <c r="AV310" s="29" t="str">
        <f>IF(C310="","",C310-WEEKDAY(C310,2)+1)</f>
        <v/>
      </c>
      <c r="AW310" s="29" t="str">
        <f>IF(AV310="","",AV310+6)</f>
        <v/>
      </c>
      <c r="AX310" s="28" t="str">
        <f>IF(AV310="","",TEXT(AV310,"dd/mm/yyyy")&amp;" - "&amp;TEXT(AW310,"dd/mm/yyyy"))</f>
        <v/>
      </c>
      <c r="AY310" s="28" t="str">
        <f>IF(B310="","",COUNTIFS($B$5:B310,B310,$AT$5:AT310,AT310))</f>
        <v/>
      </c>
      <c r="AZ310" s="28" t="str">
        <f>IF(B310="","",COUNTIFS($B$5:B310,B310,$AV$5:AV310,AV310))</f>
        <v/>
      </c>
      <c r="BA310" s="28" t="str">
        <f>IF(B310="","",TEXT(AY310,"00")&amp;"|"&amp;B310&amp;"|"&amp;TEXT(AT310,"yyyymmdd"))</f>
        <v/>
      </c>
      <c r="BB310" s="28" t="str">
        <f>IF(B310="","",TEXT(AZ310,"00")&amp;"|"&amp;B310&amp;"|"&amp;TEXT(AV310,"yyyymmdd"))</f>
        <v/>
      </c>
      <c r="BC310" s="28">
        <f>IF(OR(AQ310="YES",AQ310="Yes",AQ310="Y",AQ310=1),1,0)</f>
        <v>0</v>
      </c>
    </row>
    <row r="311" spans="1:55" ht="15" customHeight="1">
      <c r="A311" s="27"/>
      <c r="B311" s="28"/>
      <c r="C311" s="29"/>
      <c r="D311" s="30"/>
      <c r="E311" s="30"/>
      <c r="F311" s="28"/>
      <c r="G311" s="28"/>
      <c r="H311" s="28"/>
      <c r="I311" s="13"/>
      <c r="J311" s="28"/>
      <c r="K311" s="13"/>
      <c r="L311" s="28"/>
      <c r="M311" s="13"/>
      <c r="N311" s="28"/>
      <c r="O311" s="13"/>
      <c r="P311" s="28"/>
      <c r="Q311" s="20"/>
      <c r="R311" s="28"/>
      <c r="S311" s="20"/>
      <c r="T311" s="28"/>
      <c r="U311" s="13"/>
      <c r="V311" s="28"/>
      <c r="W311" s="13"/>
      <c r="X311" s="28"/>
      <c r="Y311" s="13"/>
      <c r="Z311" s="28"/>
      <c r="AA311" s="13"/>
      <c r="AB311" s="28"/>
      <c r="AC311" s="13"/>
      <c r="AD311" s="28"/>
      <c r="AE311" s="13"/>
      <c r="AF311" s="28"/>
      <c r="AG311" s="13"/>
      <c r="AH311" s="28"/>
      <c r="AI311" s="13"/>
      <c r="AJ311" s="28"/>
      <c r="AK311" s="13"/>
      <c r="AL311" s="28"/>
      <c r="AM311" s="13"/>
      <c r="AN311" s="28"/>
      <c r="AO311" s="13"/>
      <c r="AP311" s="28"/>
      <c r="AQ311" s="13"/>
      <c r="AR311" s="28"/>
      <c r="AS311" s="19">
        <f>SUM(H311,J311,L311,N311,P311,R311,T311,V311,X311,Z311,AB311,AD311,AF311,AH311,AJ311,AL311,AN311)</f>
        <v>0</v>
      </c>
      <c r="AT311" s="29" t="str">
        <f>IF(C311="","",DATE(YEAR(C311),MONTH(C311),1))</f>
        <v/>
      </c>
      <c r="AU311" s="28" t="str">
        <f>IF(AT311="","",TEXT(AT311,"mmmm yyyy"))</f>
        <v/>
      </c>
      <c r="AV311" s="29" t="str">
        <f>IF(C311="","",C311-WEEKDAY(C311,2)+1)</f>
        <v/>
      </c>
      <c r="AW311" s="29" t="str">
        <f>IF(AV311="","",AV311+6)</f>
        <v/>
      </c>
      <c r="AX311" s="28" t="str">
        <f>IF(AV311="","",TEXT(AV311,"dd/mm/yyyy")&amp;" - "&amp;TEXT(AW311,"dd/mm/yyyy"))</f>
        <v/>
      </c>
      <c r="AY311" s="28" t="str">
        <f>IF(B311="","",COUNTIFS($B$5:B311,B311,$AT$5:AT311,AT311))</f>
        <v/>
      </c>
      <c r="AZ311" s="28" t="str">
        <f>IF(B311="","",COUNTIFS($B$5:B311,B311,$AV$5:AV311,AV311))</f>
        <v/>
      </c>
      <c r="BA311" s="28" t="str">
        <f>IF(B311="","",TEXT(AY311,"00")&amp;"|"&amp;B311&amp;"|"&amp;TEXT(AT311,"yyyymmdd"))</f>
        <v/>
      </c>
      <c r="BB311" s="28" t="str">
        <f>IF(B311="","",TEXT(AZ311,"00")&amp;"|"&amp;B311&amp;"|"&amp;TEXT(AV311,"yyyymmdd"))</f>
        <v/>
      </c>
      <c r="BC311" s="28">
        <f>IF(OR(AQ311="YES",AQ311="Yes",AQ311="Y",AQ311=1),1,0)</f>
        <v>0</v>
      </c>
    </row>
    <row r="312" spans="1:55" ht="15" customHeight="1">
      <c r="A312" s="27"/>
      <c r="B312" s="28"/>
      <c r="C312" s="29"/>
      <c r="D312" s="30"/>
      <c r="E312" s="30"/>
      <c r="F312" s="28"/>
      <c r="G312" s="28"/>
      <c r="H312" s="28"/>
      <c r="I312" s="13"/>
      <c r="J312" s="28"/>
      <c r="K312" s="13"/>
      <c r="L312" s="28"/>
      <c r="M312" s="13"/>
      <c r="N312" s="28"/>
      <c r="O312" s="13"/>
      <c r="P312" s="28"/>
      <c r="Q312" s="20"/>
      <c r="R312" s="28"/>
      <c r="S312" s="20"/>
      <c r="T312" s="28"/>
      <c r="U312" s="13"/>
      <c r="V312" s="28"/>
      <c r="W312" s="13"/>
      <c r="X312" s="28"/>
      <c r="Y312" s="13"/>
      <c r="Z312" s="28"/>
      <c r="AA312" s="13"/>
      <c r="AB312" s="28"/>
      <c r="AC312" s="13"/>
      <c r="AD312" s="28"/>
      <c r="AE312" s="13"/>
      <c r="AF312" s="28"/>
      <c r="AG312" s="13"/>
      <c r="AH312" s="28"/>
      <c r="AI312" s="13"/>
      <c r="AJ312" s="28"/>
      <c r="AK312" s="13"/>
      <c r="AL312" s="28"/>
      <c r="AM312" s="13"/>
      <c r="AN312" s="28"/>
      <c r="AO312" s="13"/>
      <c r="AP312" s="28"/>
      <c r="AQ312" s="13"/>
      <c r="AR312" s="28"/>
      <c r="AS312" s="19">
        <f>SUM(H312,J312,L312,N312,P312,R312,T312,V312,X312,Z312,AB312,AD312,AF312,AH312,AJ312,AL312,AN312)</f>
        <v>0</v>
      </c>
      <c r="AT312" s="29" t="str">
        <f>IF(C312="","",DATE(YEAR(C312),MONTH(C312),1))</f>
        <v/>
      </c>
      <c r="AU312" s="28" t="str">
        <f>IF(AT312="","",TEXT(AT312,"mmmm yyyy"))</f>
        <v/>
      </c>
      <c r="AV312" s="29" t="str">
        <f>IF(C312="","",C312-WEEKDAY(C312,2)+1)</f>
        <v/>
      </c>
      <c r="AW312" s="29" t="str">
        <f>IF(AV312="","",AV312+6)</f>
        <v/>
      </c>
      <c r="AX312" s="28" t="str">
        <f>IF(AV312="","",TEXT(AV312,"dd/mm/yyyy")&amp;" - "&amp;TEXT(AW312,"dd/mm/yyyy"))</f>
        <v/>
      </c>
      <c r="AY312" s="28" t="str">
        <f>IF(B312="","",COUNTIFS($B$5:B312,B312,$AT$5:AT312,AT312))</f>
        <v/>
      </c>
      <c r="AZ312" s="28" t="str">
        <f>IF(B312="","",COUNTIFS($B$5:B312,B312,$AV$5:AV312,AV312))</f>
        <v/>
      </c>
      <c r="BA312" s="28" t="str">
        <f>IF(B312="","",TEXT(AY312,"00")&amp;"|"&amp;B312&amp;"|"&amp;TEXT(AT312,"yyyymmdd"))</f>
        <v/>
      </c>
      <c r="BB312" s="28" t="str">
        <f>IF(B312="","",TEXT(AZ312,"00")&amp;"|"&amp;B312&amp;"|"&amp;TEXT(AV312,"yyyymmdd"))</f>
        <v/>
      </c>
      <c r="BC312" s="28">
        <f>IF(OR(AQ312="YES",AQ312="Yes",AQ312="Y",AQ312=1),1,0)</f>
        <v>0</v>
      </c>
    </row>
    <row r="313" spans="1:55" ht="15" customHeight="1">
      <c r="A313" s="27"/>
      <c r="B313" s="28"/>
      <c r="C313" s="29"/>
      <c r="D313" s="30"/>
      <c r="E313" s="30"/>
      <c r="F313" s="28"/>
      <c r="G313" s="28"/>
      <c r="H313" s="28"/>
      <c r="I313" s="13"/>
      <c r="J313" s="28"/>
      <c r="K313" s="13"/>
      <c r="L313" s="28"/>
      <c r="M313" s="13"/>
      <c r="N313" s="28"/>
      <c r="O313" s="13"/>
      <c r="P313" s="28"/>
      <c r="Q313" s="20"/>
      <c r="R313" s="28"/>
      <c r="S313" s="20"/>
      <c r="T313" s="28"/>
      <c r="U313" s="13"/>
      <c r="V313" s="28"/>
      <c r="W313" s="13"/>
      <c r="X313" s="28"/>
      <c r="Y313" s="13"/>
      <c r="Z313" s="28"/>
      <c r="AA313" s="13"/>
      <c r="AB313" s="28"/>
      <c r="AC313" s="13"/>
      <c r="AD313" s="28"/>
      <c r="AE313" s="13"/>
      <c r="AF313" s="28"/>
      <c r="AG313" s="13"/>
      <c r="AH313" s="28"/>
      <c r="AI313" s="13"/>
      <c r="AJ313" s="28"/>
      <c r="AK313" s="13"/>
      <c r="AL313" s="28"/>
      <c r="AM313" s="13"/>
      <c r="AN313" s="28"/>
      <c r="AO313" s="13"/>
      <c r="AP313" s="28"/>
      <c r="AQ313" s="13"/>
      <c r="AR313" s="28"/>
      <c r="AS313" s="19">
        <f>SUM(H313,J313,L313,N313,P313,R313,T313,V313,X313,Z313,AB313,AD313,AF313,AH313,AJ313,AL313,AN313)</f>
        <v>0</v>
      </c>
      <c r="AT313" s="29" t="str">
        <f>IF(C313="","",DATE(YEAR(C313),MONTH(C313),1))</f>
        <v/>
      </c>
      <c r="AU313" s="28" t="str">
        <f>IF(AT313="","",TEXT(AT313,"mmmm yyyy"))</f>
        <v/>
      </c>
      <c r="AV313" s="29" t="str">
        <f>IF(C313="","",C313-WEEKDAY(C313,2)+1)</f>
        <v/>
      </c>
      <c r="AW313" s="29" t="str">
        <f>IF(AV313="","",AV313+6)</f>
        <v/>
      </c>
      <c r="AX313" s="28" t="str">
        <f>IF(AV313="","",TEXT(AV313,"dd/mm/yyyy")&amp;" - "&amp;TEXT(AW313,"dd/mm/yyyy"))</f>
        <v/>
      </c>
      <c r="AY313" s="28" t="str">
        <f>IF(B313="","",COUNTIFS($B$5:B313,B313,$AT$5:AT313,AT313))</f>
        <v/>
      </c>
      <c r="AZ313" s="28" t="str">
        <f>IF(B313="","",COUNTIFS($B$5:B313,B313,$AV$5:AV313,AV313))</f>
        <v/>
      </c>
      <c r="BA313" s="28" t="str">
        <f>IF(B313="","",TEXT(AY313,"00")&amp;"|"&amp;B313&amp;"|"&amp;TEXT(AT313,"yyyymmdd"))</f>
        <v/>
      </c>
      <c r="BB313" s="28" t="str">
        <f>IF(B313="","",TEXT(AZ313,"00")&amp;"|"&amp;B313&amp;"|"&amp;TEXT(AV313,"yyyymmdd"))</f>
        <v/>
      </c>
      <c r="BC313" s="28">
        <f>IF(OR(AQ313="YES",AQ313="Yes",AQ313="Y",AQ313=1),1,0)</f>
        <v>0</v>
      </c>
    </row>
    <row r="314" spans="1:55" ht="15" customHeight="1">
      <c r="A314" s="27"/>
      <c r="B314" s="28"/>
      <c r="C314" s="29"/>
      <c r="D314" s="30"/>
      <c r="E314" s="30"/>
      <c r="F314" s="28"/>
      <c r="G314" s="28"/>
      <c r="H314" s="28"/>
      <c r="I314" s="13"/>
      <c r="J314" s="28"/>
      <c r="K314" s="13"/>
      <c r="L314" s="28"/>
      <c r="M314" s="13"/>
      <c r="N314" s="28"/>
      <c r="O314" s="13"/>
      <c r="P314" s="28"/>
      <c r="Q314" s="20"/>
      <c r="R314" s="28"/>
      <c r="S314" s="20"/>
      <c r="T314" s="28"/>
      <c r="U314" s="13"/>
      <c r="V314" s="28"/>
      <c r="W314" s="13"/>
      <c r="X314" s="28"/>
      <c r="Y314" s="13"/>
      <c r="Z314" s="28"/>
      <c r="AA314" s="13"/>
      <c r="AB314" s="28"/>
      <c r="AC314" s="13"/>
      <c r="AD314" s="28"/>
      <c r="AE314" s="13"/>
      <c r="AF314" s="28"/>
      <c r="AG314" s="13"/>
      <c r="AH314" s="28"/>
      <c r="AI314" s="13"/>
      <c r="AJ314" s="28"/>
      <c r="AK314" s="13"/>
      <c r="AL314" s="28"/>
      <c r="AM314" s="13"/>
      <c r="AN314" s="28"/>
      <c r="AO314" s="13"/>
      <c r="AP314" s="28"/>
      <c r="AQ314" s="13"/>
      <c r="AR314" s="28"/>
      <c r="AS314" s="19">
        <f>SUM(H314,J314,L314,N314,P314,R314,T314,V314,X314,Z314,AB314,AD314,AF314,AH314,AJ314,AL314,AN314)</f>
        <v>0</v>
      </c>
      <c r="AT314" s="29" t="str">
        <f>IF(C314="","",DATE(YEAR(C314),MONTH(C314),1))</f>
        <v/>
      </c>
      <c r="AU314" s="28" t="str">
        <f>IF(AT314="","",TEXT(AT314,"mmmm yyyy"))</f>
        <v/>
      </c>
      <c r="AV314" s="29" t="str">
        <f>IF(C314="","",C314-WEEKDAY(C314,2)+1)</f>
        <v/>
      </c>
      <c r="AW314" s="29" t="str">
        <f>IF(AV314="","",AV314+6)</f>
        <v/>
      </c>
      <c r="AX314" s="28" t="str">
        <f>IF(AV314="","",TEXT(AV314,"dd/mm/yyyy")&amp;" - "&amp;TEXT(AW314,"dd/mm/yyyy"))</f>
        <v/>
      </c>
      <c r="AY314" s="28" t="str">
        <f>IF(B314="","",COUNTIFS($B$5:B314,B314,$AT$5:AT314,AT314))</f>
        <v/>
      </c>
      <c r="AZ314" s="28" t="str">
        <f>IF(B314="","",COUNTIFS($B$5:B314,B314,$AV$5:AV314,AV314))</f>
        <v/>
      </c>
      <c r="BA314" s="28" t="str">
        <f>IF(B314="","",TEXT(AY314,"00")&amp;"|"&amp;B314&amp;"|"&amp;TEXT(AT314,"yyyymmdd"))</f>
        <v/>
      </c>
      <c r="BB314" s="28" t="str">
        <f>IF(B314="","",TEXT(AZ314,"00")&amp;"|"&amp;B314&amp;"|"&amp;TEXT(AV314,"yyyymmdd"))</f>
        <v/>
      </c>
      <c r="BC314" s="28">
        <f>IF(OR(AQ314="YES",AQ314="Yes",AQ314="Y",AQ314=1),1,0)</f>
        <v>0</v>
      </c>
    </row>
    <row r="315" spans="1:55" ht="15" customHeight="1">
      <c r="A315" s="27"/>
      <c r="B315" s="28"/>
      <c r="C315" s="29"/>
      <c r="D315" s="30"/>
      <c r="E315" s="30"/>
      <c r="F315" s="28"/>
      <c r="G315" s="28"/>
      <c r="H315" s="28"/>
      <c r="I315" s="13"/>
      <c r="J315" s="28"/>
      <c r="K315" s="13"/>
      <c r="L315" s="28"/>
      <c r="M315" s="13"/>
      <c r="N315" s="28"/>
      <c r="O315" s="13"/>
      <c r="P315" s="28"/>
      <c r="Q315" s="20"/>
      <c r="R315" s="28"/>
      <c r="S315" s="20"/>
      <c r="T315" s="28"/>
      <c r="U315" s="13"/>
      <c r="V315" s="28"/>
      <c r="W315" s="13"/>
      <c r="X315" s="28"/>
      <c r="Y315" s="13"/>
      <c r="Z315" s="28"/>
      <c r="AA315" s="13"/>
      <c r="AB315" s="28"/>
      <c r="AC315" s="13"/>
      <c r="AD315" s="28"/>
      <c r="AE315" s="13"/>
      <c r="AF315" s="28"/>
      <c r="AG315" s="13"/>
      <c r="AH315" s="28"/>
      <c r="AI315" s="13"/>
      <c r="AJ315" s="28"/>
      <c r="AK315" s="13"/>
      <c r="AL315" s="28"/>
      <c r="AM315" s="13"/>
      <c r="AN315" s="28"/>
      <c r="AO315" s="13"/>
      <c r="AP315" s="28"/>
      <c r="AQ315" s="13"/>
      <c r="AR315" s="28"/>
      <c r="AS315" s="19">
        <f>SUM(H315,J315,L315,N315,P315,R315,T315,V315,X315,Z315,AB315,AD315,AF315,AH315,AJ315,AL315,AN315)</f>
        <v>0</v>
      </c>
      <c r="AT315" s="29" t="str">
        <f>IF(C315="","",DATE(YEAR(C315),MONTH(C315),1))</f>
        <v/>
      </c>
      <c r="AU315" s="28" t="str">
        <f>IF(AT315="","",TEXT(AT315,"mmmm yyyy"))</f>
        <v/>
      </c>
      <c r="AV315" s="29" t="str">
        <f>IF(C315="","",C315-WEEKDAY(C315,2)+1)</f>
        <v/>
      </c>
      <c r="AW315" s="29" t="str">
        <f>IF(AV315="","",AV315+6)</f>
        <v/>
      </c>
      <c r="AX315" s="28" t="str">
        <f>IF(AV315="","",TEXT(AV315,"dd/mm/yyyy")&amp;" - "&amp;TEXT(AW315,"dd/mm/yyyy"))</f>
        <v/>
      </c>
      <c r="AY315" s="28" t="str">
        <f>IF(B315="","",COUNTIFS($B$5:B315,B315,$AT$5:AT315,AT315))</f>
        <v/>
      </c>
      <c r="AZ315" s="28" t="str">
        <f>IF(B315="","",COUNTIFS($B$5:B315,B315,$AV$5:AV315,AV315))</f>
        <v/>
      </c>
      <c r="BA315" s="28" t="str">
        <f>IF(B315="","",TEXT(AY315,"00")&amp;"|"&amp;B315&amp;"|"&amp;TEXT(AT315,"yyyymmdd"))</f>
        <v/>
      </c>
      <c r="BB315" s="28" t="str">
        <f>IF(B315="","",TEXT(AZ315,"00")&amp;"|"&amp;B315&amp;"|"&amp;TEXT(AV315,"yyyymmdd"))</f>
        <v/>
      </c>
      <c r="BC315" s="28">
        <f>IF(OR(AQ315="YES",AQ315="Yes",AQ315="Y",AQ315=1),1,0)</f>
        <v>0</v>
      </c>
    </row>
    <row r="316" spans="1:55" ht="15" customHeight="1">
      <c r="A316" s="27"/>
      <c r="B316" s="28"/>
      <c r="C316" s="29"/>
      <c r="D316" s="30"/>
      <c r="E316" s="30"/>
      <c r="F316" s="28"/>
      <c r="G316" s="28"/>
      <c r="H316" s="28"/>
      <c r="I316" s="13"/>
      <c r="J316" s="28"/>
      <c r="K316" s="13"/>
      <c r="L316" s="28"/>
      <c r="M316" s="13"/>
      <c r="N316" s="28"/>
      <c r="O316" s="13"/>
      <c r="P316" s="28"/>
      <c r="Q316" s="20"/>
      <c r="R316" s="28"/>
      <c r="S316" s="20"/>
      <c r="T316" s="28"/>
      <c r="U316" s="13"/>
      <c r="V316" s="28"/>
      <c r="W316" s="13"/>
      <c r="X316" s="28"/>
      <c r="Y316" s="13"/>
      <c r="Z316" s="28"/>
      <c r="AA316" s="13"/>
      <c r="AB316" s="28"/>
      <c r="AC316" s="13"/>
      <c r="AD316" s="28"/>
      <c r="AE316" s="13"/>
      <c r="AF316" s="28"/>
      <c r="AG316" s="13"/>
      <c r="AH316" s="28"/>
      <c r="AI316" s="13"/>
      <c r="AJ316" s="28"/>
      <c r="AK316" s="13"/>
      <c r="AL316" s="28"/>
      <c r="AM316" s="13"/>
      <c r="AN316" s="28"/>
      <c r="AO316" s="13"/>
      <c r="AP316" s="28"/>
      <c r="AQ316" s="13"/>
      <c r="AR316" s="28"/>
      <c r="AS316" s="19">
        <f>SUM(H316,J316,L316,N316,P316,R316,T316,V316,X316,Z316,AB316,AD316,AF316,AH316,AJ316,AL316,AN316)</f>
        <v>0</v>
      </c>
      <c r="AT316" s="29" t="str">
        <f>IF(C316="","",DATE(YEAR(C316),MONTH(C316),1))</f>
        <v/>
      </c>
      <c r="AU316" s="28" t="str">
        <f>IF(AT316="","",TEXT(AT316,"mmmm yyyy"))</f>
        <v/>
      </c>
      <c r="AV316" s="29" t="str">
        <f>IF(C316="","",C316-WEEKDAY(C316,2)+1)</f>
        <v/>
      </c>
      <c r="AW316" s="29" t="str">
        <f>IF(AV316="","",AV316+6)</f>
        <v/>
      </c>
      <c r="AX316" s="28" t="str">
        <f>IF(AV316="","",TEXT(AV316,"dd/mm/yyyy")&amp;" - "&amp;TEXT(AW316,"dd/mm/yyyy"))</f>
        <v/>
      </c>
      <c r="AY316" s="28" t="str">
        <f>IF(B316="","",COUNTIFS($B$5:B316,B316,$AT$5:AT316,AT316))</f>
        <v/>
      </c>
      <c r="AZ316" s="28" t="str">
        <f>IF(B316="","",COUNTIFS($B$5:B316,B316,$AV$5:AV316,AV316))</f>
        <v/>
      </c>
      <c r="BA316" s="28" t="str">
        <f>IF(B316="","",TEXT(AY316,"00")&amp;"|"&amp;B316&amp;"|"&amp;TEXT(AT316,"yyyymmdd"))</f>
        <v/>
      </c>
      <c r="BB316" s="28" t="str">
        <f>IF(B316="","",TEXT(AZ316,"00")&amp;"|"&amp;B316&amp;"|"&amp;TEXT(AV316,"yyyymmdd"))</f>
        <v/>
      </c>
      <c r="BC316" s="28">
        <f>IF(OR(AQ316="YES",AQ316="Yes",AQ316="Y",AQ316=1),1,0)</f>
        <v>0</v>
      </c>
    </row>
    <row r="317" spans="1:55" ht="15" customHeight="1">
      <c r="A317" s="27"/>
      <c r="B317" s="28"/>
      <c r="C317" s="29"/>
      <c r="D317" s="30"/>
      <c r="E317" s="30"/>
      <c r="F317" s="28"/>
      <c r="G317" s="28"/>
      <c r="H317" s="28"/>
      <c r="I317" s="13"/>
      <c r="J317" s="28"/>
      <c r="K317" s="13"/>
      <c r="L317" s="28"/>
      <c r="M317" s="13"/>
      <c r="N317" s="28"/>
      <c r="O317" s="13"/>
      <c r="P317" s="28"/>
      <c r="Q317" s="20"/>
      <c r="R317" s="28"/>
      <c r="S317" s="20"/>
      <c r="T317" s="28"/>
      <c r="U317" s="13"/>
      <c r="V317" s="28"/>
      <c r="W317" s="13"/>
      <c r="X317" s="28"/>
      <c r="Y317" s="13"/>
      <c r="Z317" s="28"/>
      <c r="AA317" s="13"/>
      <c r="AB317" s="28"/>
      <c r="AC317" s="13"/>
      <c r="AD317" s="28"/>
      <c r="AE317" s="13"/>
      <c r="AF317" s="28"/>
      <c r="AG317" s="13"/>
      <c r="AH317" s="28"/>
      <c r="AI317" s="13"/>
      <c r="AJ317" s="28"/>
      <c r="AK317" s="13"/>
      <c r="AL317" s="28"/>
      <c r="AM317" s="13"/>
      <c r="AN317" s="28"/>
      <c r="AO317" s="13"/>
      <c r="AP317" s="28"/>
      <c r="AQ317" s="13"/>
      <c r="AR317" s="28"/>
      <c r="AS317" s="19">
        <f>SUM(H317,J317,L317,N317,P317,R317,T317,V317,X317,Z317,AB317,AD317,AF317,AH317,AJ317,AL317,AN317)</f>
        <v>0</v>
      </c>
      <c r="AT317" s="29" t="str">
        <f>IF(C317="","",DATE(YEAR(C317),MONTH(C317),1))</f>
        <v/>
      </c>
      <c r="AU317" s="28" t="str">
        <f>IF(AT317="","",TEXT(AT317,"mmmm yyyy"))</f>
        <v/>
      </c>
      <c r="AV317" s="29" t="str">
        <f>IF(C317="","",C317-WEEKDAY(C317,2)+1)</f>
        <v/>
      </c>
      <c r="AW317" s="29" t="str">
        <f>IF(AV317="","",AV317+6)</f>
        <v/>
      </c>
      <c r="AX317" s="28" t="str">
        <f>IF(AV317="","",TEXT(AV317,"dd/mm/yyyy")&amp;" - "&amp;TEXT(AW317,"dd/mm/yyyy"))</f>
        <v/>
      </c>
      <c r="AY317" s="28" t="str">
        <f>IF(B317="","",COUNTIFS($B$5:B317,B317,$AT$5:AT317,AT317))</f>
        <v/>
      </c>
      <c r="AZ317" s="28" t="str">
        <f>IF(B317="","",COUNTIFS($B$5:B317,B317,$AV$5:AV317,AV317))</f>
        <v/>
      </c>
      <c r="BA317" s="28" t="str">
        <f>IF(B317="","",TEXT(AY317,"00")&amp;"|"&amp;B317&amp;"|"&amp;TEXT(AT317,"yyyymmdd"))</f>
        <v/>
      </c>
      <c r="BB317" s="28" t="str">
        <f>IF(B317="","",TEXT(AZ317,"00")&amp;"|"&amp;B317&amp;"|"&amp;TEXT(AV317,"yyyymmdd"))</f>
        <v/>
      </c>
      <c r="BC317" s="28">
        <f>IF(OR(AQ317="YES",AQ317="Yes",AQ317="Y",AQ317=1),1,0)</f>
        <v>0</v>
      </c>
    </row>
    <row r="318" spans="1:55" ht="15" customHeight="1">
      <c r="A318" s="27"/>
      <c r="B318" s="28"/>
      <c r="C318" s="29"/>
      <c r="D318" s="30"/>
      <c r="E318" s="30"/>
      <c r="F318" s="28"/>
      <c r="G318" s="28"/>
      <c r="H318" s="28"/>
      <c r="I318" s="13"/>
      <c r="J318" s="28"/>
      <c r="K318" s="13"/>
      <c r="L318" s="28"/>
      <c r="M318" s="13"/>
      <c r="N318" s="28"/>
      <c r="O318" s="13"/>
      <c r="P318" s="28"/>
      <c r="Q318" s="20"/>
      <c r="R318" s="28"/>
      <c r="S318" s="20"/>
      <c r="T318" s="28"/>
      <c r="U318" s="13"/>
      <c r="V318" s="28"/>
      <c r="W318" s="13"/>
      <c r="X318" s="28"/>
      <c r="Y318" s="13"/>
      <c r="Z318" s="28"/>
      <c r="AA318" s="13"/>
      <c r="AB318" s="28"/>
      <c r="AC318" s="13"/>
      <c r="AD318" s="28"/>
      <c r="AE318" s="13"/>
      <c r="AF318" s="28"/>
      <c r="AG318" s="13"/>
      <c r="AH318" s="28"/>
      <c r="AI318" s="13"/>
      <c r="AJ318" s="28"/>
      <c r="AK318" s="13"/>
      <c r="AL318" s="28"/>
      <c r="AM318" s="13"/>
      <c r="AN318" s="28"/>
      <c r="AO318" s="13"/>
      <c r="AP318" s="28"/>
      <c r="AQ318" s="13"/>
      <c r="AR318" s="28"/>
      <c r="AS318" s="19">
        <f>SUM(H318,J318,L318,N318,P318,R318,T318,V318,X318,Z318,AB318,AD318,AF318,AH318,AJ318,AL318,AN318)</f>
        <v>0</v>
      </c>
      <c r="AT318" s="29" t="str">
        <f>IF(C318="","",DATE(YEAR(C318),MONTH(C318),1))</f>
        <v/>
      </c>
      <c r="AU318" s="28" t="str">
        <f>IF(AT318="","",TEXT(AT318,"mmmm yyyy"))</f>
        <v/>
      </c>
      <c r="AV318" s="29" t="str">
        <f>IF(C318="","",C318-WEEKDAY(C318,2)+1)</f>
        <v/>
      </c>
      <c r="AW318" s="29" t="str">
        <f>IF(AV318="","",AV318+6)</f>
        <v/>
      </c>
      <c r="AX318" s="28" t="str">
        <f>IF(AV318="","",TEXT(AV318,"dd/mm/yyyy")&amp;" - "&amp;TEXT(AW318,"dd/mm/yyyy"))</f>
        <v/>
      </c>
      <c r="AY318" s="28" t="str">
        <f>IF(B318="","",COUNTIFS($B$5:B318,B318,$AT$5:AT318,AT318))</f>
        <v/>
      </c>
      <c r="AZ318" s="28" t="str">
        <f>IF(B318="","",COUNTIFS($B$5:B318,B318,$AV$5:AV318,AV318))</f>
        <v/>
      </c>
      <c r="BA318" s="28" t="str">
        <f>IF(B318="","",TEXT(AY318,"00")&amp;"|"&amp;B318&amp;"|"&amp;TEXT(AT318,"yyyymmdd"))</f>
        <v/>
      </c>
      <c r="BB318" s="28" t="str">
        <f>IF(B318="","",TEXT(AZ318,"00")&amp;"|"&amp;B318&amp;"|"&amp;TEXT(AV318,"yyyymmdd"))</f>
        <v/>
      </c>
      <c r="BC318" s="28">
        <f>IF(OR(AQ318="YES",AQ318="Yes",AQ318="Y",AQ318=1),1,0)</f>
        <v>0</v>
      </c>
    </row>
    <row r="319" spans="1:55" ht="15" customHeight="1">
      <c r="A319" s="27"/>
      <c r="B319" s="28"/>
      <c r="C319" s="29"/>
      <c r="D319" s="30"/>
      <c r="E319" s="30"/>
      <c r="F319" s="28"/>
      <c r="G319" s="28"/>
      <c r="H319" s="28"/>
      <c r="I319" s="13"/>
      <c r="J319" s="28"/>
      <c r="K319" s="13"/>
      <c r="L319" s="28"/>
      <c r="M319" s="13"/>
      <c r="N319" s="28"/>
      <c r="O319" s="13"/>
      <c r="P319" s="28"/>
      <c r="Q319" s="20"/>
      <c r="R319" s="28"/>
      <c r="S319" s="20"/>
      <c r="T319" s="28"/>
      <c r="U319" s="13"/>
      <c r="V319" s="28"/>
      <c r="W319" s="13"/>
      <c r="X319" s="28"/>
      <c r="Y319" s="13"/>
      <c r="Z319" s="28"/>
      <c r="AA319" s="13"/>
      <c r="AB319" s="28"/>
      <c r="AC319" s="13"/>
      <c r="AD319" s="28"/>
      <c r="AE319" s="13"/>
      <c r="AF319" s="28"/>
      <c r="AG319" s="13"/>
      <c r="AH319" s="28"/>
      <c r="AI319" s="13"/>
      <c r="AJ319" s="28"/>
      <c r="AK319" s="13"/>
      <c r="AL319" s="28"/>
      <c r="AM319" s="13"/>
      <c r="AN319" s="28"/>
      <c r="AO319" s="13"/>
      <c r="AP319" s="28"/>
      <c r="AQ319" s="13"/>
      <c r="AR319" s="28"/>
      <c r="AS319" s="19">
        <f>SUM(H319,J319,L319,N319,P319,R319,T319,V319,X319,Z319,AB319,AD319,AF319,AH319,AJ319,AL319,AN319)</f>
        <v>0</v>
      </c>
      <c r="AT319" s="29" t="str">
        <f>IF(C319="","",DATE(YEAR(C319),MONTH(C319),1))</f>
        <v/>
      </c>
      <c r="AU319" s="28" t="str">
        <f>IF(AT319="","",TEXT(AT319,"mmmm yyyy"))</f>
        <v/>
      </c>
      <c r="AV319" s="29" t="str">
        <f>IF(C319="","",C319-WEEKDAY(C319,2)+1)</f>
        <v/>
      </c>
      <c r="AW319" s="29" t="str">
        <f>IF(AV319="","",AV319+6)</f>
        <v/>
      </c>
      <c r="AX319" s="28" t="str">
        <f>IF(AV319="","",TEXT(AV319,"dd/mm/yyyy")&amp;" - "&amp;TEXT(AW319,"dd/mm/yyyy"))</f>
        <v/>
      </c>
      <c r="AY319" s="28" t="str">
        <f>IF(B319="","",COUNTIFS($B$5:B319,B319,$AT$5:AT319,AT319))</f>
        <v/>
      </c>
      <c r="AZ319" s="28" t="str">
        <f>IF(B319="","",COUNTIFS($B$5:B319,B319,$AV$5:AV319,AV319))</f>
        <v/>
      </c>
      <c r="BA319" s="28" t="str">
        <f>IF(B319="","",TEXT(AY319,"00")&amp;"|"&amp;B319&amp;"|"&amp;TEXT(AT319,"yyyymmdd"))</f>
        <v/>
      </c>
      <c r="BB319" s="28" t="str">
        <f>IF(B319="","",TEXT(AZ319,"00")&amp;"|"&amp;B319&amp;"|"&amp;TEXT(AV319,"yyyymmdd"))</f>
        <v/>
      </c>
      <c r="BC319" s="28">
        <f>IF(OR(AQ319="YES",AQ319="Yes",AQ319="Y",AQ319=1),1,0)</f>
        <v>0</v>
      </c>
    </row>
    <row r="320" spans="1:55" ht="15" customHeight="1">
      <c r="A320" s="27"/>
      <c r="B320" s="28"/>
      <c r="C320" s="29"/>
      <c r="D320" s="30"/>
      <c r="E320" s="30"/>
      <c r="F320" s="28"/>
      <c r="G320" s="28"/>
      <c r="H320" s="28"/>
      <c r="I320" s="13"/>
      <c r="J320" s="28"/>
      <c r="K320" s="13"/>
      <c r="L320" s="28"/>
      <c r="M320" s="13"/>
      <c r="N320" s="28"/>
      <c r="O320" s="13"/>
      <c r="P320" s="28"/>
      <c r="Q320" s="20"/>
      <c r="R320" s="28"/>
      <c r="S320" s="20"/>
      <c r="T320" s="28"/>
      <c r="U320" s="13"/>
      <c r="V320" s="28"/>
      <c r="W320" s="13"/>
      <c r="X320" s="28"/>
      <c r="Y320" s="13"/>
      <c r="Z320" s="28"/>
      <c r="AA320" s="13"/>
      <c r="AB320" s="28"/>
      <c r="AC320" s="13"/>
      <c r="AD320" s="28"/>
      <c r="AE320" s="13"/>
      <c r="AF320" s="28"/>
      <c r="AG320" s="13"/>
      <c r="AH320" s="28"/>
      <c r="AI320" s="13"/>
      <c r="AJ320" s="28"/>
      <c r="AK320" s="13"/>
      <c r="AL320" s="28"/>
      <c r="AM320" s="13"/>
      <c r="AN320" s="28"/>
      <c r="AO320" s="13"/>
      <c r="AP320" s="28"/>
      <c r="AQ320" s="13"/>
      <c r="AR320" s="28"/>
      <c r="AS320" s="19">
        <f>SUM(H320,J320,L320,N320,P320,R320,T320,V320,X320,Z320,AB320,AD320,AF320,AH320,AJ320,AL320,AN320)</f>
        <v>0</v>
      </c>
      <c r="AT320" s="29" t="str">
        <f>IF(C320="","",DATE(YEAR(C320),MONTH(C320),1))</f>
        <v/>
      </c>
      <c r="AU320" s="28" t="str">
        <f>IF(AT320="","",TEXT(AT320,"mmmm yyyy"))</f>
        <v/>
      </c>
      <c r="AV320" s="29" t="str">
        <f>IF(C320="","",C320-WEEKDAY(C320,2)+1)</f>
        <v/>
      </c>
      <c r="AW320" s="29" t="str">
        <f>IF(AV320="","",AV320+6)</f>
        <v/>
      </c>
      <c r="AX320" s="28" t="str">
        <f>IF(AV320="","",TEXT(AV320,"dd/mm/yyyy")&amp;" - "&amp;TEXT(AW320,"dd/mm/yyyy"))</f>
        <v/>
      </c>
      <c r="AY320" s="28" t="str">
        <f>IF(B320="","",COUNTIFS($B$5:B320,B320,$AT$5:AT320,AT320))</f>
        <v/>
      </c>
      <c r="AZ320" s="28" t="str">
        <f>IF(B320="","",COUNTIFS($B$5:B320,B320,$AV$5:AV320,AV320))</f>
        <v/>
      </c>
      <c r="BA320" s="28" t="str">
        <f>IF(B320="","",TEXT(AY320,"00")&amp;"|"&amp;B320&amp;"|"&amp;TEXT(AT320,"yyyymmdd"))</f>
        <v/>
      </c>
      <c r="BB320" s="28" t="str">
        <f>IF(B320="","",TEXT(AZ320,"00")&amp;"|"&amp;B320&amp;"|"&amp;TEXT(AV320,"yyyymmdd"))</f>
        <v/>
      </c>
      <c r="BC320" s="28">
        <f>IF(OR(AQ320="YES",AQ320="Yes",AQ320="Y",AQ320=1),1,0)</f>
        <v>0</v>
      </c>
    </row>
    <row r="321" spans="1:55" ht="15" customHeight="1">
      <c r="A321" s="27"/>
      <c r="B321" s="28"/>
      <c r="C321" s="29"/>
      <c r="D321" s="30"/>
      <c r="E321" s="30"/>
      <c r="F321" s="28"/>
      <c r="G321" s="28"/>
      <c r="H321" s="28"/>
      <c r="I321" s="13"/>
      <c r="J321" s="28"/>
      <c r="K321" s="13"/>
      <c r="L321" s="28"/>
      <c r="M321" s="13"/>
      <c r="N321" s="28"/>
      <c r="O321" s="13"/>
      <c r="P321" s="28"/>
      <c r="Q321" s="20"/>
      <c r="R321" s="28"/>
      <c r="S321" s="20"/>
      <c r="T321" s="28"/>
      <c r="U321" s="13"/>
      <c r="V321" s="28"/>
      <c r="W321" s="13"/>
      <c r="X321" s="28"/>
      <c r="Y321" s="13"/>
      <c r="Z321" s="28"/>
      <c r="AA321" s="13"/>
      <c r="AB321" s="28"/>
      <c r="AC321" s="13"/>
      <c r="AD321" s="28"/>
      <c r="AE321" s="13"/>
      <c r="AF321" s="28"/>
      <c r="AG321" s="13"/>
      <c r="AH321" s="28"/>
      <c r="AI321" s="13"/>
      <c r="AJ321" s="28"/>
      <c r="AK321" s="13"/>
      <c r="AL321" s="28"/>
      <c r="AM321" s="13"/>
      <c r="AN321" s="28"/>
      <c r="AO321" s="13"/>
      <c r="AP321" s="28"/>
      <c r="AQ321" s="13"/>
      <c r="AR321" s="28"/>
      <c r="AS321" s="19">
        <f>SUM(H321,J321,L321,N321,P321,R321,T321,V321,X321,Z321,AB321,AD321,AF321,AH321,AJ321,AL321,AN321)</f>
        <v>0</v>
      </c>
      <c r="AT321" s="29" t="str">
        <f>IF(C321="","",DATE(YEAR(C321),MONTH(C321),1))</f>
        <v/>
      </c>
      <c r="AU321" s="28" t="str">
        <f>IF(AT321="","",TEXT(AT321,"mmmm yyyy"))</f>
        <v/>
      </c>
      <c r="AV321" s="29" t="str">
        <f>IF(C321="","",C321-WEEKDAY(C321,2)+1)</f>
        <v/>
      </c>
      <c r="AW321" s="29" t="str">
        <f>IF(AV321="","",AV321+6)</f>
        <v/>
      </c>
      <c r="AX321" s="28" t="str">
        <f>IF(AV321="","",TEXT(AV321,"dd/mm/yyyy")&amp;" - "&amp;TEXT(AW321,"dd/mm/yyyy"))</f>
        <v/>
      </c>
      <c r="AY321" s="28" t="str">
        <f>IF(B321="","",COUNTIFS($B$5:B321,B321,$AT$5:AT321,AT321))</f>
        <v/>
      </c>
      <c r="AZ321" s="28" t="str">
        <f>IF(B321="","",COUNTIFS($B$5:B321,B321,$AV$5:AV321,AV321))</f>
        <v/>
      </c>
      <c r="BA321" s="28" t="str">
        <f>IF(B321="","",TEXT(AY321,"00")&amp;"|"&amp;B321&amp;"|"&amp;TEXT(AT321,"yyyymmdd"))</f>
        <v/>
      </c>
      <c r="BB321" s="28" t="str">
        <f>IF(B321="","",TEXT(AZ321,"00")&amp;"|"&amp;B321&amp;"|"&amp;TEXT(AV321,"yyyymmdd"))</f>
        <v/>
      </c>
      <c r="BC321" s="28">
        <f>IF(OR(AQ321="YES",AQ321="Yes",AQ321="Y",AQ321=1),1,0)</f>
        <v>0</v>
      </c>
    </row>
    <row r="322" spans="1:55" ht="15" customHeight="1">
      <c r="A322" s="27"/>
      <c r="B322" s="28"/>
      <c r="C322" s="29"/>
      <c r="D322" s="30"/>
      <c r="E322" s="30"/>
      <c r="F322" s="28"/>
      <c r="G322" s="28"/>
      <c r="H322" s="28"/>
      <c r="I322" s="13"/>
      <c r="J322" s="28"/>
      <c r="K322" s="13"/>
      <c r="L322" s="28"/>
      <c r="M322" s="13"/>
      <c r="N322" s="28"/>
      <c r="O322" s="13"/>
      <c r="P322" s="28"/>
      <c r="Q322" s="20"/>
      <c r="R322" s="28"/>
      <c r="S322" s="20"/>
      <c r="T322" s="28"/>
      <c r="U322" s="13"/>
      <c r="V322" s="28"/>
      <c r="W322" s="13"/>
      <c r="X322" s="28"/>
      <c r="Y322" s="13"/>
      <c r="Z322" s="28"/>
      <c r="AA322" s="13"/>
      <c r="AB322" s="28"/>
      <c r="AC322" s="13"/>
      <c r="AD322" s="28"/>
      <c r="AE322" s="13"/>
      <c r="AF322" s="28"/>
      <c r="AG322" s="13"/>
      <c r="AH322" s="28"/>
      <c r="AI322" s="13"/>
      <c r="AJ322" s="28"/>
      <c r="AK322" s="13"/>
      <c r="AL322" s="28"/>
      <c r="AM322" s="13"/>
      <c r="AN322" s="28"/>
      <c r="AO322" s="13"/>
      <c r="AP322" s="28"/>
      <c r="AQ322" s="13"/>
      <c r="AR322" s="28"/>
      <c r="AS322" s="19">
        <f>SUM(H322,J322,L322,N322,P322,R322,T322,V322,X322,Z322,AB322,AD322,AF322,AH322,AJ322,AL322,AN322)</f>
        <v>0</v>
      </c>
      <c r="AT322" s="29" t="str">
        <f>IF(C322="","",DATE(YEAR(C322),MONTH(C322),1))</f>
        <v/>
      </c>
      <c r="AU322" s="28" t="str">
        <f>IF(AT322="","",TEXT(AT322,"mmmm yyyy"))</f>
        <v/>
      </c>
      <c r="AV322" s="29" t="str">
        <f>IF(C322="","",C322-WEEKDAY(C322,2)+1)</f>
        <v/>
      </c>
      <c r="AW322" s="29" t="str">
        <f>IF(AV322="","",AV322+6)</f>
        <v/>
      </c>
      <c r="AX322" s="28" t="str">
        <f>IF(AV322="","",TEXT(AV322,"dd/mm/yyyy")&amp;" - "&amp;TEXT(AW322,"dd/mm/yyyy"))</f>
        <v/>
      </c>
      <c r="AY322" s="28" t="str">
        <f>IF(B322="","",COUNTIFS($B$5:B322,B322,$AT$5:AT322,AT322))</f>
        <v/>
      </c>
      <c r="AZ322" s="28" t="str">
        <f>IF(B322="","",COUNTIFS($B$5:B322,B322,$AV$5:AV322,AV322))</f>
        <v/>
      </c>
      <c r="BA322" s="28" t="str">
        <f>IF(B322="","",TEXT(AY322,"00")&amp;"|"&amp;B322&amp;"|"&amp;TEXT(AT322,"yyyymmdd"))</f>
        <v/>
      </c>
      <c r="BB322" s="28" t="str">
        <f>IF(B322="","",TEXT(AZ322,"00")&amp;"|"&amp;B322&amp;"|"&amp;TEXT(AV322,"yyyymmdd"))</f>
        <v/>
      </c>
      <c r="BC322" s="28">
        <f>IF(OR(AQ322="YES",AQ322="Yes",AQ322="Y",AQ322=1),1,0)</f>
        <v>0</v>
      </c>
    </row>
    <row r="323" spans="1:55" ht="15" customHeight="1">
      <c r="A323" s="27"/>
      <c r="B323" s="28"/>
      <c r="C323" s="29"/>
      <c r="D323" s="30"/>
      <c r="E323" s="30"/>
      <c r="F323" s="28"/>
      <c r="G323" s="28"/>
      <c r="H323" s="28"/>
      <c r="I323" s="13"/>
      <c r="J323" s="28"/>
      <c r="K323" s="13"/>
      <c r="L323" s="28"/>
      <c r="M323" s="13"/>
      <c r="N323" s="28"/>
      <c r="O323" s="13"/>
      <c r="P323" s="28"/>
      <c r="Q323" s="20"/>
      <c r="R323" s="28"/>
      <c r="S323" s="20"/>
      <c r="T323" s="28"/>
      <c r="U323" s="13"/>
      <c r="V323" s="28"/>
      <c r="W323" s="13"/>
      <c r="X323" s="28"/>
      <c r="Y323" s="13"/>
      <c r="Z323" s="28"/>
      <c r="AA323" s="13"/>
      <c r="AB323" s="28"/>
      <c r="AC323" s="13"/>
      <c r="AD323" s="28"/>
      <c r="AE323" s="13"/>
      <c r="AF323" s="28"/>
      <c r="AG323" s="13"/>
      <c r="AH323" s="28"/>
      <c r="AI323" s="13"/>
      <c r="AJ323" s="28"/>
      <c r="AK323" s="13"/>
      <c r="AL323" s="28"/>
      <c r="AM323" s="13"/>
      <c r="AN323" s="28"/>
      <c r="AO323" s="13"/>
      <c r="AP323" s="28"/>
      <c r="AQ323" s="13"/>
      <c r="AR323" s="28"/>
      <c r="AS323" s="19">
        <f>SUM(H323,J323,L323,N323,P323,R323,T323,V323,X323,Z323,AB323,AD323,AF323,AH323,AJ323,AL323,AN323)</f>
        <v>0</v>
      </c>
      <c r="AT323" s="29" t="str">
        <f>IF(C323="","",DATE(YEAR(C323),MONTH(C323),1))</f>
        <v/>
      </c>
      <c r="AU323" s="28" t="str">
        <f>IF(AT323="","",TEXT(AT323,"mmmm yyyy"))</f>
        <v/>
      </c>
      <c r="AV323" s="29" t="str">
        <f>IF(C323="","",C323-WEEKDAY(C323,2)+1)</f>
        <v/>
      </c>
      <c r="AW323" s="29" t="str">
        <f>IF(AV323="","",AV323+6)</f>
        <v/>
      </c>
      <c r="AX323" s="28" t="str">
        <f>IF(AV323="","",TEXT(AV323,"dd/mm/yyyy")&amp;" - "&amp;TEXT(AW323,"dd/mm/yyyy"))</f>
        <v/>
      </c>
      <c r="AY323" s="28" t="str">
        <f>IF(B323="","",COUNTIFS($B$5:B323,B323,$AT$5:AT323,AT323))</f>
        <v/>
      </c>
      <c r="AZ323" s="28" t="str">
        <f>IF(B323="","",COUNTIFS($B$5:B323,B323,$AV$5:AV323,AV323))</f>
        <v/>
      </c>
      <c r="BA323" s="28" t="str">
        <f>IF(B323="","",TEXT(AY323,"00")&amp;"|"&amp;B323&amp;"|"&amp;TEXT(AT323,"yyyymmdd"))</f>
        <v/>
      </c>
      <c r="BB323" s="28" t="str">
        <f>IF(B323="","",TEXT(AZ323,"00")&amp;"|"&amp;B323&amp;"|"&amp;TEXT(AV323,"yyyymmdd"))</f>
        <v/>
      </c>
      <c r="BC323" s="28">
        <f>IF(OR(AQ323="YES",AQ323="Yes",AQ323="Y",AQ323=1),1,0)</f>
        <v>0</v>
      </c>
    </row>
    <row r="324" spans="1:55" ht="15" customHeight="1">
      <c r="A324" s="27"/>
      <c r="B324" s="28"/>
      <c r="C324" s="29"/>
      <c r="D324" s="30"/>
      <c r="E324" s="30"/>
      <c r="F324" s="28"/>
      <c r="G324" s="28"/>
      <c r="H324" s="28"/>
      <c r="I324" s="13"/>
      <c r="J324" s="28"/>
      <c r="K324" s="13"/>
      <c r="L324" s="28"/>
      <c r="M324" s="13"/>
      <c r="N324" s="28"/>
      <c r="O324" s="13"/>
      <c r="P324" s="28"/>
      <c r="Q324" s="20"/>
      <c r="R324" s="28"/>
      <c r="S324" s="20"/>
      <c r="T324" s="28"/>
      <c r="U324" s="13"/>
      <c r="V324" s="28"/>
      <c r="W324" s="13"/>
      <c r="X324" s="28"/>
      <c r="Y324" s="13"/>
      <c r="Z324" s="28"/>
      <c r="AA324" s="13"/>
      <c r="AB324" s="28"/>
      <c r="AC324" s="13"/>
      <c r="AD324" s="28"/>
      <c r="AE324" s="13"/>
      <c r="AF324" s="28"/>
      <c r="AG324" s="13"/>
      <c r="AH324" s="28"/>
      <c r="AI324" s="13"/>
      <c r="AJ324" s="28"/>
      <c r="AK324" s="13"/>
      <c r="AL324" s="28"/>
      <c r="AM324" s="13"/>
      <c r="AN324" s="28"/>
      <c r="AO324" s="13"/>
      <c r="AP324" s="28"/>
      <c r="AQ324" s="13"/>
      <c r="AR324" s="28"/>
      <c r="AS324" s="19">
        <f>SUM(H324,J324,L324,N324,P324,R324,T324,V324,X324,Z324,AB324,AD324,AF324,AH324,AJ324,AL324,AN324)</f>
        <v>0</v>
      </c>
      <c r="AT324" s="29" t="str">
        <f>IF(C324="","",DATE(YEAR(C324),MONTH(C324),1))</f>
        <v/>
      </c>
      <c r="AU324" s="28" t="str">
        <f>IF(AT324="","",TEXT(AT324,"mmmm yyyy"))</f>
        <v/>
      </c>
      <c r="AV324" s="29" t="str">
        <f>IF(C324="","",C324-WEEKDAY(C324,2)+1)</f>
        <v/>
      </c>
      <c r="AW324" s="29" t="str">
        <f>IF(AV324="","",AV324+6)</f>
        <v/>
      </c>
      <c r="AX324" s="28" t="str">
        <f>IF(AV324="","",TEXT(AV324,"dd/mm/yyyy")&amp;" - "&amp;TEXT(AW324,"dd/mm/yyyy"))</f>
        <v/>
      </c>
      <c r="AY324" s="28" t="str">
        <f>IF(B324="","",COUNTIFS($B$5:B324,B324,$AT$5:AT324,AT324))</f>
        <v/>
      </c>
      <c r="AZ324" s="28" t="str">
        <f>IF(B324="","",COUNTIFS($B$5:B324,B324,$AV$5:AV324,AV324))</f>
        <v/>
      </c>
      <c r="BA324" s="28" t="str">
        <f>IF(B324="","",TEXT(AY324,"00")&amp;"|"&amp;B324&amp;"|"&amp;TEXT(AT324,"yyyymmdd"))</f>
        <v/>
      </c>
      <c r="BB324" s="28" t="str">
        <f>IF(B324="","",TEXT(AZ324,"00")&amp;"|"&amp;B324&amp;"|"&amp;TEXT(AV324,"yyyymmdd"))</f>
        <v/>
      </c>
      <c r="BC324" s="28">
        <f>IF(OR(AQ324="YES",AQ324="Yes",AQ324="Y",AQ324=1),1,0)</f>
        <v>0</v>
      </c>
    </row>
    <row r="325" spans="1:55" ht="15" customHeight="1">
      <c r="A325" s="27"/>
      <c r="B325" s="28"/>
      <c r="C325" s="29"/>
      <c r="D325" s="30"/>
      <c r="E325" s="30"/>
      <c r="F325" s="28"/>
      <c r="G325" s="28"/>
      <c r="H325" s="28"/>
      <c r="I325" s="13"/>
      <c r="J325" s="28"/>
      <c r="K325" s="13"/>
      <c r="L325" s="28"/>
      <c r="M325" s="13"/>
      <c r="N325" s="28"/>
      <c r="O325" s="13"/>
      <c r="P325" s="28"/>
      <c r="Q325" s="20"/>
      <c r="R325" s="28"/>
      <c r="S325" s="20"/>
      <c r="T325" s="28"/>
      <c r="U325" s="13"/>
      <c r="V325" s="28"/>
      <c r="W325" s="13"/>
      <c r="X325" s="28"/>
      <c r="Y325" s="13"/>
      <c r="Z325" s="28"/>
      <c r="AA325" s="13"/>
      <c r="AB325" s="28"/>
      <c r="AC325" s="13"/>
      <c r="AD325" s="28"/>
      <c r="AE325" s="13"/>
      <c r="AF325" s="28"/>
      <c r="AG325" s="13"/>
      <c r="AH325" s="28"/>
      <c r="AI325" s="13"/>
      <c r="AJ325" s="28"/>
      <c r="AK325" s="13"/>
      <c r="AL325" s="28"/>
      <c r="AM325" s="13"/>
      <c r="AN325" s="28"/>
      <c r="AO325" s="13"/>
      <c r="AP325" s="28"/>
      <c r="AQ325" s="13"/>
      <c r="AR325" s="28"/>
      <c r="AS325" s="19">
        <f>SUM(H325,J325,L325,N325,P325,R325,T325,V325,X325,Z325,AB325,AD325,AF325,AH325,AJ325,AL325,AN325)</f>
        <v>0</v>
      </c>
      <c r="AT325" s="29" t="str">
        <f>IF(C325="","",DATE(YEAR(C325),MONTH(C325),1))</f>
        <v/>
      </c>
      <c r="AU325" s="28" t="str">
        <f>IF(AT325="","",TEXT(AT325,"mmmm yyyy"))</f>
        <v/>
      </c>
      <c r="AV325" s="29" t="str">
        <f>IF(C325="","",C325-WEEKDAY(C325,2)+1)</f>
        <v/>
      </c>
      <c r="AW325" s="29" t="str">
        <f>IF(AV325="","",AV325+6)</f>
        <v/>
      </c>
      <c r="AX325" s="28" t="str">
        <f>IF(AV325="","",TEXT(AV325,"dd/mm/yyyy")&amp;" - "&amp;TEXT(AW325,"dd/mm/yyyy"))</f>
        <v/>
      </c>
      <c r="AY325" s="28" t="str">
        <f>IF(B325="","",COUNTIFS($B$5:B325,B325,$AT$5:AT325,AT325))</f>
        <v/>
      </c>
      <c r="AZ325" s="28" t="str">
        <f>IF(B325="","",COUNTIFS($B$5:B325,B325,$AV$5:AV325,AV325))</f>
        <v/>
      </c>
      <c r="BA325" s="28" t="str">
        <f>IF(B325="","",TEXT(AY325,"00")&amp;"|"&amp;B325&amp;"|"&amp;TEXT(AT325,"yyyymmdd"))</f>
        <v/>
      </c>
      <c r="BB325" s="28" t="str">
        <f>IF(B325="","",TEXT(AZ325,"00")&amp;"|"&amp;B325&amp;"|"&amp;TEXT(AV325,"yyyymmdd"))</f>
        <v/>
      </c>
      <c r="BC325" s="28">
        <f>IF(OR(AQ325="YES",AQ325="Yes",AQ325="Y",AQ325=1),1,0)</f>
        <v>0</v>
      </c>
    </row>
    <row r="326" spans="1:55" ht="15" customHeight="1">
      <c r="A326" s="27"/>
      <c r="B326" s="28"/>
      <c r="C326" s="29"/>
      <c r="D326" s="30"/>
      <c r="E326" s="30"/>
      <c r="F326" s="28"/>
      <c r="G326" s="28"/>
      <c r="H326" s="28"/>
      <c r="I326" s="13"/>
      <c r="J326" s="28"/>
      <c r="K326" s="13"/>
      <c r="L326" s="28"/>
      <c r="M326" s="13"/>
      <c r="N326" s="28"/>
      <c r="O326" s="13"/>
      <c r="P326" s="28"/>
      <c r="Q326" s="20"/>
      <c r="R326" s="28"/>
      <c r="S326" s="20"/>
      <c r="T326" s="28"/>
      <c r="U326" s="13"/>
      <c r="V326" s="28"/>
      <c r="W326" s="13"/>
      <c r="X326" s="28"/>
      <c r="Y326" s="13"/>
      <c r="Z326" s="28"/>
      <c r="AA326" s="13"/>
      <c r="AB326" s="28"/>
      <c r="AC326" s="13"/>
      <c r="AD326" s="28"/>
      <c r="AE326" s="13"/>
      <c r="AF326" s="28"/>
      <c r="AG326" s="13"/>
      <c r="AH326" s="28"/>
      <c r="AI326" s="13"/>
      <c r="AJ326" s="28"/>
      <c r="AK326" s="13"/>
      <c r="AL326" s="28"/>
      <c r="AM326" s="13"/>
      <c r="AN326" s="28"/>
      <c r="AO326" s="13"/>
      <c r="AP326" s="28"/>
      <c r="AQ326" s="13"/>
      <c r="AR326" s="28"/>
      <c r="AS326" s="19">
        <f>SUM(H326,J326,L326,N326,P326,R326,T326,V326,X326,Z326,AB326,AD326,AF326,AH326,AJ326,AL326,AN326)</f>
        <v>0</v>
      </c>
      <c r="AT326" s="29" t="str">
        <f>IF(C326="","",DATE(YEAR(C326),MONTH(C326),1))</f>
        <v/>
      </c>
      <c r="AU326" s="28" t="str">
        <f>IF(AT326="","",TEXT(AT326,"mmmm yyyy"))</f>
        <v/>
      </c>
      <c r="AV326" s="29" t="str">
        <f>IF(C326="","",C326-WEEKDAY(C326,2)+1)</f>
        <v/>
      </c>
      <c r="AW326" s="29" t="str">
        <f>IF(AV326="","",AV326+6)</f>
        <v/>
      </c>
      <c r="AX326" s="28" t="str">
        <f>IF(AV326="","",TEXT(AV326,"dd/mm/yyyy")&amp;" - "&amp;TEXT(AW326,"dd/mm/yyyy"))</f>
        <v/>
      </c>
      <c r="AY326" s="28" t="str">
        <f>IF(B326="","",COUNTIFS($B$5:B326,B326,$AT$5:AT326,AT326))</f>
        <v/>
      </c>
      <c r="AZ326" s="28" t="str">
        <f>IF(B326="","",COUNTIFS($B$5:B326,B326,$AV$5:AV326,AV326))</f>
        <v/>
      </c>
      <c r="BA326" s="28" t="str">
        <f>IF(B326="","",TEXT(AY326,"00")&amp;"|"&amp;B326&amp;"|"&amp;TEXT(AT326,"yyyymmdd"))</f>
        <v/>
      </c>
      <c r="BB326" s="28" t="str">
        <f>IF(B326="","",TEXT(AZ326,"00")&amp;"|"&amp;B326&amp;"|"&amp;TEXT(AV326,"yyyymmdd"))</f>
        <v/>
      </c>
      <c r="BC326" s="28">
        <f>IF(OR(AQ326="YES",AQ326="Yes",AQ326="Y",AQ326=1),1,0)</f>
        <v>0</v>
      </c>
    </row>
    <row r="327" spans="1:55" ht="15" customHeight="1">
      <c r="A327" s="27"/>
      <c r="B327" s="28"/>
      <c r="C327" s="29"/>
      <c r="D327" s="30"/>
      <c r="E327" s="30"/>
      <c r="F327" s="28"/>
      <c r="G327" s="28"/>
      <c r="H327" s="28"/>
      <c r="I327" s="13"/>
      <c r="J327" s="28"/>
      <c r="K327" s="13"/>
      <c r="L327" s="28"/>
      <c r="M327" s="13"/>
      <c r="N327" s="28"/>
      <c r="O327" s="13"/>
      <c r="P327" s="28"/>
      <c r="Q327" s="20"/>
      <c r="R327" s="28"/>
      <c r="S327" s="20"/>
      <c r="T327" s="28"/>
      <c r="U327" s="13"/>
      <c r="V327" s="28"/>
      <c r="W327" s="13"/>
      <c r="X327" s="28"/>
      <c r="Y327" s="13"/>
      <c r="Z327" s="28"/>
      <c r="AA327" s="13"/>
      <c r="AB327" s="28"/>
      <c r="AC327" s="13"/>
      <c r="AD327" s="28"/>
      <c r="AE327" s="13"/>
      <c r="AF327" s="28"/>
      <c r="AG327" s="13"/>
      <c r="AH327" s="28"/>
      <c r="AI327" s="13"/>
      <c r="AJ327" s="28"/>
      <c r="AK327" s="13"/>
      <c r="AL327" s="28"/>
      <c r="AM327" s="13"/>
      <c r="AN327" s="28"/>
      <c r="AO327" s="13"/>
      <c r="AP327" s="28"/>
      <c r="AQ327" s="13"/>
      <c r="AR327" s="28"/>
      <c r="AS327" s="19">
        <f>SUM(H327,J327,L327,N327,P327,R327,T327,V327,X327,Z327,AB327,AD327,AF327,AH327,AJ327,AL327,AN327)</f>
        <v>0</v>
      </c>
      <c r="AT327" s="29" t="str">
        <f>IF(C327="","",DATE(YEAR(C327),MONTH(C327),1))</f>
        <v/>
      </c>
      <c r="AU327" s="28" t="str">
        <f>IF(AT327="","",TEXT(AT327,"mmmm yyyy"))</f>
        <v/>
      </c>
      <c r="AV327" s="29" t="str">
        <f>IF(C327="","",C327-WEEKDAY(C327,2)+1)</f>
        <v/>
      </c>
      <c r="AW327" s="29" t="str">
        <f>IF(AV327="","",AV327+6)</f>
        <v/>
      </c>
      <c r="AX327" s="28" t="str">
        <f>IF(AV327="","",TEXT(AV327,"dd/mm/yyyy")&amp;" - "&amp;TEXT(AW327,"dd/mm/yyyy"))</f>
        <v/>
      </c>
      <c r="AY327" s="28" t="str">
        <f>IF(B327="","",COUNTIFS($B$5:B327,B327,$AT$5:AT327,AT327))</f>
        <v/>
      </c>
      <c r="AZ327" s="28" t="str">
        <f>IF(B327="","",COUNTIFS($B$5:B327,B327,$AV$5:AV327,AV327))</f>
        <v/>
      </c>
      <c r="BA327" s="28" t="str">
        <f>IF(B327="","",TEXT(AY327,"00")&amp;"|"&amp;B327&amp;"|"&amp;TEXT(AT327,"yyyymmdd"))</f>
        <v/>
      </c>
      <c r="BB327" s="28" t="str">
        <f>IF(B327="","",TEXT(AZ327,"00")&amp;"|"&amp;B327&amp;"|"&amp;TEXT(AV327,"yyyymmdd"))</f>
        <v/>
      </c>
      <c r="BC327" s="28">
        <f>IF(OR(AQ327="YES",AQ327="Yes",AQ327="Y",AQ327=1),1,0)</f>
        <v>0</v>
      </c>
    </row>
    <row r="328" spans="1:55" ht="15" customHeight="1">
      <c r="A328" s="27"/>
      <c r="B328" s="28"/>
      <c r="C328" s="29"/>
      <c r="D328" s="30"/>
      <c r="E328" s="30"/>
      <c r="F328" s="28"/>
      <c r="G328" s="28"/>
      <c r="H328" s="28"/>
      <c r="I328" s="13"/>
      <c r="J328" s="28"/>
      <c r="K328" s="13"/>
      <c r="L328" s="28"/>
      <c r="M328" s="13"/>
      <c r="N328" s="28"/>
      <c r="O328" s="13"/>
      <c r="P328" s="28"/>
      <c r="Q328" s="20"/>
      <c r="R328" s="28"/>
      <c r="S328" s="20"/>
      <c r="T328" s="28"/>
      <c r="U328" s="13"/>
      <c r="V328" s="28"/>
      <c r="W328" s="13"/>
      <c r="X328" s="28"/>
      <c r="Y328" s="13"/>
      <c r="Z328" s="28"/>
      <c r="AA328" s="13"/>
      <c r="AB328" s="28"/>
      <c r="AC328" s="13"/>
      <c r="AD328" s="28"/>
      <c r="AE328" s="13"/>
      <c r="AF328" s="28"/>
      <c r="AG328" s="13"/>
      <c r="AH328" s="28"/>
      <c r="AI328" s="13"/>
      <c r="AJ328" s="28"/>
      <c r="AK328" s="13"/>
      <c r="AL328" s="28"/>
      <c r="AM328" s="13"/>
      <c r="AN328" s="28"/>
      <c r="AO328" s="13"/>
      <c r="AP328" s="28"/>
      <c r="AQ328" s="13"/>
      <c r="AR328" s="28"/>
      <c r="AS328" s="19">
        <f>SUM(H328,J328,L328,N328,P328,R328,T328,V328,X328,Z328,AB328,AD328,AF328,AH328,AJ328,AL328,AN328)</f>
        <v>0</v>
      </c>
      <c r="AT328" s="29" t="str">
        <f>IF(C328="","",DATE(YEAR(C328),MONTH(C328),1))</f>
        <v/>
      </c>
      <c r="AU328" s="28" t="str">
        <f>IF(AT328="","",TEXT(AT328,"mmmm yyyy"))</f>
        <v/>
      </c>
      <c r="AV328" s="29" t="str">
        <f>IF(C328="","",C328-WEEKDAY(C328,2)+1)</f>
        <v/>
      </c>
      <c r="AW328" s="29" t="str">
        <f>IF(AV328="","",AV328+6)</f>
        <v/>
      </c>
      <c r="AX328" s="28" t="str">
        <f>IF(AV328="","",TEXT(AV328,"dd/mm/yyyy")&amp;" - "&amp;TEXT(AW328,"dd/mm/yyyy"))</f>
        <v/>
      </c>
      <c r="AY328" s="28" t="str">
        <f>IF(B328="","",COUNTIFS($B$5:B328,B328,$AT$5:AT328,AT328))</f>
        <v/>
      </c>
      <c r="AZ328" s="28" t="str">
        <f>IF(B328="","",COUNTIFS($B$5:B328,B328,$AV$5:AV328,AV328))</f>
        <v/>
      </c>
      <c r="BA328" s="28" t="str">
        <f>IF(B328="","",TEXT(AY328,"00")&amp;"|"&amp;B328&amp;"|"&amp;TEXT(AT328,"yyyymmdd"))</f>
        <v/>
      </c>
      <c r="BB328" s="28" t="str">
        <f>IF(B328="","",TEXT(AZ328,"00")&amp;"|"&amp;B328&amp;"|"&amp;TEXT(AV328,"yyyymmdd"))</f>
        <v/>
      </c>
      <c r="BC328" s="28">
        <f>IF(OR(AQ328="YES",AQ328="Yes",AQ328="Y",AQ328=1),1,0)</f>
        <v>0</v>
      </c>
    </row>
    <row r="329" spans="1:55" ht="15" customHeight="1">
      <c r="A329" s="27"/>
      <c r="B329" s="28"/>
      <c r="C329" s="29"/>
      <c r="D329" s="30"/>
      <c r="E329" s="30"/>
      <c r="F329" s="28"/>
      <c r="G329" s="28"/>
      <c r="H329" s="28"/>
      <c r="I329" s="13"/>
      <c r="J329" s="28"/>
      <c r="K329" s="13"/>
      <c r="L329" s="28"/>
      <c r="M329" s="13"/>
      <c r="N329" s="28"/>
      <c r="O329" s="13"/>
      <c r="P329" s="28"/>
      <c r="Q329" s="20"/>
      <c r="R329" s="28"/>
      <c r="S329" s="20"/>
      <c r="T329" s="28"/>
      <c r="U329" s="13"/>
      <c r="V329" s="28"/>
      <c r="W329" s="13"/>
      <c r="X329" s="28"/>
      <c r="Y329" s="13"/>
      <c r="Z329" s="28"/>
      <c r="AA329" s="13"/>
      <c r="AB329" s="28"/>
      <c r="AC329" s="13"/>
      <c r="AD329" s="28"/>
      <c r="AE329" s="13"/>
      <c r="AF329" s="28"/>
      <c r="AG329" s="13"/>
      <c r="AH329" s="28"/>
      <c r="AI329" s="13"/>
      <c r="AJ329" s="28"/>
      <c r="AK329" s="13"/>
      <c r="AL329" s="28"/>
      <c r="AM329" s="13"/>
      <c r="AN329" s="28"/>
      <c r="AO329" s="13"/>
      <c r="AP329" s="28"/>
      <c r="AQ329" s="13"/>
      <c r="AR329" s="28"/>
      <c r="AS329" s="19">
        <f>SUM(H329,J329,L329,N329,P329,R329,T329,V329,X329,Z329,AB329,AD329,AF329,AH329,AJ329,AL329,AN329)</f>
        <v>0</v>
      </c>
      <c r="AT329" s="29" t="str">
        <f>IF(C329="","",DATE(YEAR(C329),MONTH(C329),1))</f>
        <v/>
      </c>
      <c r="AU329" s="28" t="str">
        <f>IF(AT329="","",TEXT(AT329,"mmmm yyyy"))</f>
        <v/>
      </c>
      <c r="AV329" s="29" t="str">
        <f>IF(C329="","",C329-WEEKDAY(C329,2)+1)</f>
        <v/>
      </c>
      <c r="AW329" s="29" t="str">
        <f>IF(AV329="","",AV329+6)</f>
        <v/>
      </c>
      <c r="AX329" s="28" t="str">
        <f>IF(AV329="","",TEXT(AV329,"dd/mm/yyyy")&amp;" - "&amp;TEXT(AW329,"dd/mm/yyyy"))</f>
        <v/>
      </c>
      <c r="AY329" s="28" t="str">
        <f>IF(B329="","",COUNTIFS($B$5:B329,B329,$AT$5:AT329,AT329))</f>
        <v/>
      </c>
      <c r="AZ329" s="28" t="str">
        <f>IF(B329="","",COUNTIFS($B$5:B329,B329,$AV$5:AV329,AV329))</f>
        <v/>
      </c>
      <c r="BA329" s="28" t="str">
        <f>IF(B329="","",TEXT(AY329,"00")&amp;"|"&amp;B329&amp;"|"&amp;TEXT(AT329,"yyyymmdd"))</f>
        <v/>
      </c>
      <c r="BB329" s="28" t="str">
        <f>IF(B329="","",TEXT(AZ329,"00")&amp;"|"&amp;B329&amp;"|"&amp;TEXT(AV329,"yyyymmdd"))</f>
        <v/>
      </c>
      <c r="BC329" s="28">
        <f>IF(OR(AQ329="YES",AQ329="Yes",AQ329="Y",AQ329=1),1,0)</f>
        <v>0</v>
      </c>
    </row>
    <row r="330" spans="1:55" ht="15" customHeight="1">
      <c r="A330" s="27"/>
      <c r="B330" s="28"/>
      <c r="C330" s="29"/>
      <c r="D330" s="30"/>
      <c r="E330" s="30"/>
      <c r="F330" s="28"/>
      <c r="G330" s="28"/>
      <c r="H330" s="28"/>
      <c r="I330" s="13"/>
      <c r="J330" s="28"/>
      <c r="K330" s="13"/>
      <c r="L330" s="28"/>
      <c r="M330" s="13"/>
      <c r="N330" s="28"/>
      <c r="O330" s="13"/>
      <c r="P330" s="28"/>
      <c r="Q330" s="20"/>
      <c r="R330" s="28"/>
      <c r="S330" s="20"/>
      <c r="T330" s="28"/>
      <c r="U330" s="13"/>
      <c r="V330" s="28"/>
      <c r="W330" s="13"/>
      <c r="X330" s="28"/>
      <c r="Y330" s="13"/>
      <c r="Z330" s="28"/>
      <c r="AA330" s="13"/>
      <c r="AB330" s="28"/>
      <c r="AC330" s="13"/>
      <c r="AD330" s="28"/>
      <c r="AE330" s="13"/>
      <c r="AF330" s="28"/>
      <c r="AG330" s="13"/>
      <c r="AH330" s="28"/>
      <c r="AI330" s="13"/>
      <c r="AJ330" s="28"/>
      <c r="AK330" s="13"/>
      <c r="AL330" s="28"/>
      <c r="AM330" s="13"/>
      <c r="AN330" s="28"/>
      <c r="AO330" s="13"/>
      <c r="AP330" s="28"/>
      <c r="AQ330" s="13"/>
      <c r="AR330" s="28"/>
      <c r="AS330" s="19">
        <f>SUM(H330,J330,L330,N330,P330,R330,T330,V330,X330,Z330,AB330,AD330,AF330,AH330,AJ330,AL330,AN330)</f>
        <v>0</v>
      </c>
      <c r="AT330" s="29" t="str">
        <f>IF(C330="","",DATE(YEAR(C330),MONTH(C330),1))</f>
        <v/>
      </c>
      <c r="AU330" s="28" t="str">
        <f>IF(AT330="","",TEXT(AT330,"mmmm yyyy"))</f>
        <v/>
      </c>
      <c r="AV330" s="29" t="str">
        <f>IF(C330="","",C330-WEEKDAY(C330,2)+1)</f>
        <v/>
      </c>
      <c r="AW330" s="29" t="str">
        <f>IF(AV330="","",AV330+6)</f>
        <v/>
      </c>
      <c r="AX330" s="28" t="str">
        <f>IF(AV330="","",TEXT(AV330,"dd/mm/yyyy")&amp;" - "&amp;TEXT(AW330,"dd/mm/yyyy"))</f>
        <v/>
      </c>
      <c r="AY330" s="28" t="str">
        <f>IF(B330="","",COUNTIFS($B$5:B330,B330,$AT$5:AT330,AT330))</f>
        <v/>
      </c>
      <c r="AZ330" s="28" t="str">
        <f>IF(B330="","",COUNTIFS($B$5:B330,B330,$AV$5:AV330,AV330))</f>
        <v/>
      </c>
      <c r="BA330" s="28" t="str">
        <f>IF(B330="","",TEXT(AY330,"00")&amp;"|"&amp;B330&amp;"|"&amp;TEXT(AT330,"yyyymmdd"))</f>
        <v/>
      </c>
      <c r="BB330" s="28" t="str">
        <f>IF(B330="","",TEXT(AZ330,"00")&amp;"|"&amp;B330&amp;"|"&amp;TEXT(AV330,"yyyymmdd"))</f>
        <v/>
      </c>
      <c r="BC330" s="28">
        <f>IF(OR(AQ330="YES",AQ330="Yes",AQ330="Y",AQ330=1),1,0)</f>
        <v>0</v>
      </c>
    </row>
    <row r="331" spans="1:55" ht="15" customHeight="1">
      <c r="A331" s="27"/>
      <c r="B331" s="28"/>
      <c r="C331" s="29"/>
      <c r="D331" s="30"/>
      <c r="E331" s="30"/>
      <c r="F331" s="28"/>
      <c r="G331" s="28"/>
      <c r="H331" s="28"/>
      <c r="I331" s="13"/>
      <c r="J331" s="28"/>
      <c r="K331" s="13"/>
      <c r="L331" s="28"/>
      <c r="M331" s="13"/>
      <c r="N331" s="28"/>
      <c r="O331" s="13"/>
      <c r="P331" s="28"/>
      <c r="Q331" s="20"/>
      <c r="R331" s="28"/>
      <c r="S331" s="20"/>
      <c r="T331" s="28"/>
      <c r="U331" s="13"/>
      <c r="V331" s="28"/>
      <c r="W331" s="13"/>
      <c r="X331" s="28"/>
      <c r="Y331" s="13"/>
      <c r="Z331" s="28"/>
      <c r="AA331" s="13"/>
      <c r="AB331" s="28"/>
      <c r="AC331" s="13"/>
      <c r="AD331" s="28"/>
      <c r="AE331" s="13"/>
      <c r="AF331" s="28"/>
      <c r="AG331" s="13"/>
      <c r="AH331" s="28"/>
      <c r="AI331" s="13"/>
      <c r="AJ331" s="28"/>
      <c r="AK331" s="13"/>
      <c r="AL331" s="28"/>
      <c r="AM331" s="13"/>
      <c r="AN331" s="28"/>
      <c r="AO331" s="13"/>
      <c r="AP331" s="28"/>
      <c r="AQ331" s="13"/>
      <c r="AR331" s="28"/>
      <c r="AS331" s="19">
        <f>SUM(H331,J331,L331,N331,P331,R331,T331,V331,X331,Z331,AB331,AD331,AF331,AH331,AJ331,AL331,AN331)</f>
        <v>0</v>
      </c>
      <c r="AT331" s="29" t="str">
        <f>IF(C331="","",DATE(YEAR(C331),MONTH(C331),1))</f>
        <v/>
      </c>
      <c r="AU331" s="28" t="str">
        <f>IF(AT331="","",TEXT(AT331,"mmmm yyyy"))</f>
        <v/>
      </c>
      <c r="AV331" s="29" t="str">
        <f>IF(C331="","",C331-WEEKDAY(C331,2)+1)</f>
        <v/>
      </c>
      <c r="AW331" s="29" t="str">
        <f>IF(AV331="","",AV331+6)</f>
        <v/>
      </c>
      <c r="AX331" s="28" t="str">
        <f>IF(AV331="","",TEXT(AV331,"dd/mm/yyyy")&amp;" - "&amp;TEXT(AW331,"dd/mm/yyyy"))</f>
        <v/>
      </c>
      <c r="AY331" s="28" t="str">
        <f>IF(B331="","",COUNTIFS($B$5:B331,B331,$AT$5:AT331,AT331))</f>
        <v/>
      </c>
      <c r="AZ331" s="28" t="str">
        <f>IF(B331="","",COUNTIFS($B$5:B331,B331,$AV$5:AV331,AV331))</f>
        <v/>
      </c>
      <c r="BA331" s="28" t="str">
        <f>IF(B331="","",TEXT(AY331,"00")&amp;"|"&amp;B331&amp;"|"&amp;TEXT(AT331,"yyyymmdd"))</f>
        <v/>
      </c>
      <c r="BB331" s="28" t="str">
        <f>IF(B331="","",TEXT(AZ331,"00")&amp;"|"&amp;B331&amp;"|"&amp;TEXT(AV331,"yyyymmdd"))</f>
        <v/>
      </c>
      <c r="BC331" s="28">
        <f>IF(OR(AQ331="YES",AQ331="Yes",AQ331="Y",AQ331=1),1,0)</f>
        <v>0</v>
      </c>
    </row>
    <row r="332" spans="1:55" ht="15" customHeight="1">
      <c r="A332" s="27"/>
      <c r="B332" s="28"/>
      <c r="C332" s="29"/>
      <c r="D332" s="30"/>
      <c r="E332" s="30"/>
      <c r="F332" s="28"/>
      <c r="G332" s="28"/>
      <c r="H332" s="28"/>
      <c r="I332" s="13"/>
      <c r="J332" s="28"/>
      <c r="K332" s="13"/>
      <c r="L332" s="28"/>
      <c r="M332" s="13"/>
      <c r="N332" s="28"/>
      <c r="O332" s="13"/>
      <c r="P332" s="28"/>
      <c r="Q332" s="20"/>
      <c r="R332" s="28"/>
      <c r="S332" s="20"/>
      <c r="T332" s="28"/>
      <c r="U332" s="13"/>
      <c r="V332" s="28"/>
      <c r="W332" s="13"/>
      <c r="X332" s="28"/>
      <c r="Y332" s="13"/>
      <c r="Z332" s="28"/>
      <c r="AA332" s="13"/>
      <c r="AB332" s="28"/>
      <c r="AC332" s="13"/>
      <c r="AD332" s="28"/>
      <c r="AE332" s="13"/>
      <c r="AF332" s="28"/>
      <c r="AG332" s="13"/>
      <c r="AH332" s="28"/>
      <c r="AI332" s="13"/>
      <c r="AJ332" s="28"/>
      <c r="AK332" s="13"/>
      <c r="AL332" s="28"/>
      <c r="AM332" s="13"/>
      <c r="AN332" s="28"/>
      <c r="AO332" s="13"/>
      <c r="AP332" s="28"/>
      <c r="AQ332" s="13"/>
      <c r="AR332" s="28"/>
      <c r="AS332" s="19">
        <f>SUM(H332,J332,L332,N332,P332,R332,T332,V332,X332,Z332,AB332,AD332,AF332,AH332,AJ332,AL332,AN332)</f>
        <v>0</v>
      </c>
      <c r="AT332" s="29" t="str">
        <f>IF(C332="","",DATE(YEAR(C332),MONTH(C332),1))</f>
        <v/>
      </c>
      <c r="AU332" s="28" t="str">
        <f>IF(AT332="","",TEXT(AT332,"mmmm yyyy"))</f>
        <v/>
      </c>
      <c r="AV332" s="29" t="str">
        <f>IF(C332="","",C332-WEEKDAY(C332,2)+1)</f>
        <v/>
      </c>
      <c r="AW332" s="29" t="str">
        <f>IF(AV332="","",AV332+6)</f>
        <v/>
      </c>
      <c r="AX332" s="28" t="str">
        <f>IF(AV332="","",TEXT(AV332,"dd/mm/yyyy")&amp;" - "&amp;TEXT(AW332,"dd/mm/yyyy"))</f>
        <v/>
      </c>
      <c r="AY332" s="28" t="str">
        <f>IF(B332="","",COUNTIFS($B$5:B332,B332,$AT$5:AT332,AT332))</f>
        <v/>
      </c>
      <c r="AZ332" s="28" t="str">
        <f>IF(B332="","",COUNTIFS($B$5:B332,B332,$AV$5:AV332,AV332))</f>
        <v/>
      </c>
      <c r="BA332" s="28" t="str">
        <f>IF(B332="","",TEXT(AY332,"00")&amp;"|"&amp;B332&amp;"|"&amp;TEXT(AT332,"yyyymmdd"))</f>
        <v/>
      </c>
      <c r="BB332" s="28" t="str">
        <f>IF(B332="","",TEXT(AZ332,"00")&amp;"|"&amp;B332&amp;"|"&amp;TEXT(AV332,"yyyymmdd"))</f>
        <v/>
      </c>
      <c r="BC332" s="28">
        <f>IF(OR(AQ332="YES",AQ332="Yes",AQ332="Y",AQ332=1),1,0)</f>
        <v>0</v>
      </c>
    </row>
    <row r="333" spans="1:55" ht="15" customHeight="1">
      <c r="A333" s="27"/>
      <c r="B333" s="28"/>
      <c r="C333" s="29"/>
      <c r="D333" s="30"/>
      <c r="E333" s="30"/>
      <c r="F333" s="28"/>
      <c r="G333" s="28"/>
      <c r="H333" s="28"/>
      <c r="I333" s="13"/>
      <c r="J333" s="28"/>
      <c r="K333" s="13"/>
      <c r="L333" s="28"/>
      <c r="M333" s="13"/>
      <c r="N333" s="28"/>
      <c r="O333" s="13"/>
      <c r="P333" s="28"/>
      <c r="Q333" s="20"/>
      <c r="R333" s="28"/>
      <c r="S333" s="20"/>
      <c r="T333" s="28"/>
      <c r="U333" s="13"/>
      <c r="V333" s="28"/>
      <c r="W333" s="13"/>
      <c r="X333" s="28"/>
      <c r="Y333" s="13"/>
      <c r="Z333" s="28"/>
      <c r="AA333" s="13"/>
      <c r="AB333" s="28"/>
      <c r="AC333" s="13"/>
      <c r="AD333" s="28"/>
      <c r="AE333" s="13"/>
      <c r="AF333" s="28"/>
      <c r="AG333" s="13"/>
      <c r="AH333" s="28"/>
      <c r="AI333" s="13"/>
      <c r="AJ333" s="28"/>
      <c r="AK333" s="13"/>
      <c r="AL333" s="28"/>
      <c r="AM333" s="13"/>
      <c r="AN333" s="28"/>
      <c r="AO333" s="13"/>
      <c r="AP333" s="28"/>
      <c r="AQ333" s="13"/>
      <c r="AR333" s="28"/>
      <c r="AS333" s="19">
        <f>SUM(H333,J333,L333,N333,P333,R333,T333,V333,X333,Z333,AB333,AD333,AF333,AH333,AJ333,AL333,AN333)</f>
        <v>0</v>
      </c>
      <c r="AT333" s="29" t="str">
        <f>IF(C333="","",DATE(YEAR(C333),MONTH(C333),1))</f>
        <v/>
      </c>
      <c r="AU333" s="28" t="str">
        <f>IF(AT333="","",TEXT(AT333,"mmmm yyyy"))</f>
        <v/>
      </c>
      <c r="AV333" s="29" t="str">
        <f>IF(C333="","",C333-WEEKDAY(C333,2)+1)</f>
        <v/>
      </c>
      <c r="AW333" s="29" t="str">
        <f>IF(AV333="","",AV333+6)</f>
        <v/>
      </c>
      <c r="AX333" s="28" t="str">
        <f>IF(AV333="","",TEXT(AV333,"dd/mm/yyyy")&amp;" - "&amp;TEXT(AW333,"dd/mm/yyyy"))</f>
        <v/>
      </c>
      <c r="AY333" s="28" t="str">
        <f>IF(B333="","",COUNTIFS($B$5:B333,B333,$AT$5:AT333,AT333))</f>
        <v/>
      </c>
      <c r="AZ333" s="28" t="str">
        <f>IF(B333="","",COUNTIFS($B$5:B333,B333,$AV$5:AV333,AV333))</f>
        <v/>
      </c>
      <c r="BA333" s="28" t="str">
        <f>IF(B333="","",TEXT(AY333,"00")&amp;"|"&amp;B333&amp;"|"&amp;TEXT(AT333,"yyyymmdd"))</f>
        <v/>
      </c>
      <c r="BB333" s="28" t="str">
        <f>IF(B333="","",TEXT(AZ333,"00")&amp;"|"&amp;B333&amp;"|"&amp;TEXT(AV333,"yyyymmdd"))</f>
        <v/>
      </c>
      <c r="BC333" s="28">
        <f>IF(OR(AQ333="YES",AQ333="Yes",AQ333="Y",AQ333=1),1,0)</f>
        <v>0</v>
      </c>
    </row>
    <row r="334" spans="1:55" ht="15" customHeight="1">
      <c r="A334" s="27"/>
      <c r="B334" s="28"/>
      <c r="C334" s="29"/>
      <c r="D334" s="30"/>
      <c r="E334" s="30"/>
      <c r="F334" s="28"/>
      <c r="G334" s="28"/>
      <c r="H334" s="28"/>
      <c r="I334" s="13"/>
      <c r="J334" s="28"/>
      <c r="K334" s="13"/>
      <c r="L334" s="28"/>
      <c r="M334" s="13"/>
      <c r="N334" s="28"/>
      <c r="O334" s="13"/>
      <c r="P334" s="28"/>
      <c r="Q334" s="20"/>
      <c r="R334" s="28"/>
      <c r="S334" s="20"/>
      <c r="T334" s="28"/>
      <c r="U334" s="13"/>
      <c r="V334" s="28"/>
      <c r="W334" s="13"/>
      <c r="X334" s="28"/>
      <c r="Y334" s="13"/>
      <c r="Z334" s="28"/>
      <c r="AA334" s="13"/>
      <c r="AB334" s="28"/>
      <c r="AC334" s="13"/>
      <c r="AD334" s="28"/>
      <c r="AE334" s="13"/>
      <c r="AF334" s="28"/>
      <c r="AG334" s="13"/>
      <c r="AH334" s="28"/>
      <c r="AI334" s="13"/>
      <c r="AJ334" s="28"/>
      <c r="AK334" s="13"/>
      <c r="AL334" s="28"/>
      <c r="AM334" s="13"/>
      <c r="AN334" s="28"/>
      <c r="AO334" s="13"/>
      <c r="AP334" s="28"/>
      <c r="AQ334" s="13"/>
      <c r="AR334" s="28"/>
      <c r="AS334" s="19">
        <f>SUM(H334,J334,L334,N334,P334,R334,T334,V334,X334,Z334,AB334,AD334,AF334,AH334,AJ334,AL334,AN334)</f>
        <v>0</v>
      </c>
      <c r="AT334" s="29" t="str">
        <f>IF(C334="","",DATE(YEAR(C334),MONTH(C334),1))</f>
        <v/>
      </c>
      <c r="AU334" s="28" t="str">
        <f>IF(AT334="","",TEXT(AT334,"mmmm yyyy"))</f>
        <v/>
      </c>
      <c r="AV334" s="29" t="str">
        <f>IF(C334="","",C334-WEEKDAY(C334,2)+1)</f>
        <v/>
      </c>
      <c r="AW334" s="29" t="str">
        <f>IF(AV334="","",AV334+6)</f>
        <v/>
      </c>
      <c r="AX334" s="28" t="str">
        <f>IF(AV334="","",TEXT(AV334,"dd/mm/yyyy")&amp;" - "&amp;TEXT(AW334,"dd/mm/yyyy"))</f>
        <v/>
      </c>
      <c r="AY334" s="28" t="str">
        <f>IF(B334="","",COUNTIFS($B$5:B334,B334,$AT$5:AT334,AT334))</f>
        <v/>
      </c>
      <c r="AZ334" s="28" t="str">
        <f>IF(B334="","",COUNTIFS($B$5:B334,B334,$AV$5:AV334,AV334))</f>
        <v/>
      </c>
      <c r="BA334" s="28" t="str">
        <f>IF(B334="","",TEXT(AY334,"00")&amp;"|"&amp;B334&amp;"|"&amp;TEXT(AT334,"yyyymmdd"))</f>
        <v/>
      </c>
      <c r="BB334" s="28" t="str">
        <f>IF(B334="","",TEXT(AZ334,"00")&amp;"|"&amp;B334&amp;"|"&amp;TEXT(AV334,"yyyymmdd"))</f>
        <v/>
      </c>
      <c r="BC334" s="28">
        <f>IF(OR(AQ334="YES",AQ334="Yes",AQ334="Y",AQ334=1),1,0)</f>
        <v>0</v>
      </c>
    </row>
    <row r="335" spans="1:55" ht="15" customHeight="1">
      <c r="A335" s="27"/>
      <c r="B335" s="28"/>
      <c r="C335" s="29"/>
      <c r="D335" s="30"/>
      <c r="E335" s="30"/>
      <c r="F335" s="28"/>
      <c r="G335" s="28"/>
      <c r="H335" s="28"/>
      <c r="I335" s="13"/>
      <c r="J335" s="28"/>
      <c r="K335" s="13"/>
      <c r="L335" s="28"/>
      <c r="M335" s="13"/>
      <c r="N335" s="28"/>
      <c r="O335" s="13"/>
      <c r="P335" s="28"/>
      <c r="Q335" s="20"/>
      <c r="R335" s="28"/>
      <c r="S335" s="20"/>
      <c r="T335" s="28"/>
      <c r="U335" s="13"/>
      <c r="V335" s="28"/>
      <c r="W335" s="13"/>
      <c r="X335" s="28"/>
      <c r="Y335" s="13"/>
      <c r="Z335" s="28"/>
      <c r="AA335" s="13"/>
      <c r="AB335" s="28"/>
      <c r="AC335" s="13"/>
      <c r="AD335" s="28"/>
      <c r="AE335" s="13"/>
      <c r="AF335" s="28"/>
      <c r="AG335" s="13"/>
      <c r="AH335" s="28"/>
      <c r="AI335" s="13"/>
      <c r="AJ335" s="28"/>
      <c r="AK335" s="13"/>
      <c r="AL335" s="28"/>
      <c r="AM335" s="13"/>
      <c r="AN335" s="28"/>
      <c r="AO335" s="13"/>
      <c r="AP335" s="28"/>
      <c r="AQ335" s="13"/>
      <c r="AR335" s="28"/>
      <c r="AS335" s="19">
        <f>SUM(H335,J335,L335,N335,P335,R335,T335,V335,X335,Z335,AB335,AD335,AF335,AH335,AJ335,AL335,AN335)</f>
        <v>0</v>
      </c>
      <c r="AT335" s="29" t="str">
        <f>IF(C335="","",DATE(YEAR(C335),MONTH(C335),1))</f>
        <v/>
      </c>
      <c r="AU335" s="28" t="str">
        <f>IF(AT335="","",TEXT(AT335,"mmmm yyyy"))</f>
        <v/>
      </c>
      <c r="AV335" s="29" t="str">
        <f>IF(C335="","",C335-WEEKDAY(C335,2)+1)</f>
        <v/>
      </c>
      <c r="AW335" s="29" t="str">
        <f>IF(AV335="","",AV335+6)</f>
        <v/>
      </c>
      <c r="AX335" s="28" t="str">
        <f>IF(AV335="","",TEXT(AV335,"dd/mm/yyyy")&amp;" - "&amp;TEXT(AW335,"dd/mm/yyyy"))</f>
        <v/>
      </c>
      <c r="AY335" s="28" t="str">
        <f>IF(B335="","",COUNTIFS($B$5:B335,B335,$AT$5:AT335,AT335))</f>
        <v/>
      </c>
      <c r="AZ335" s="28" t="str">
        <f>IF(B335="","",COUNTIFS($B$5:B335,B335,$AV$5:AV335,AV335))</f>
        <v/>
      </c>
      <c r="BA335" s="28" t="str">
        <f>IF(B335="","",TEXT(AY335,"00")&amp;"|"&amp;B335&amp;"|"&amp;TEXT(AT335,"yyyymmdd"))</f>
        <v/>
      </c>
      <c r="BB335" s="28" t="str">
        <f>IF(B335="","",TEXT(AZ335,"00")&amp;"|"&amp;B335&amp;"|"&amp;TEXT(AV335,"yyyymmdd"))</f>
        <v/>
      </c>
      <c r="BC335" s="28">
        <f>IF(OR(AQ335="YES",AQ335="Yes",AQ335="Y",AQ335=1),1,0)</f>
        <v>0</v>
      </c>
    </row>
    <row r="336" spans="1:55" ht="15" customHeight="1">
      <c r="A336" s="27"/>
      <c r="B336" s="28"/>
      <c r="C336" s="29"/>
      <c r="D336" s="30"/>
      <c r="E336" s="30"/>
      <c r="F336" s="28"/>
      <c r="G336" s="28"/>
      <c r="H336" s="28"/>
      <c r="I336" s="13"/>
      <c r="J336" s="28"/>
      <c r="K336" s="13"/>
      <c r="L336" s="28"/>
      <c r="M336" s="13"/>
      <c r="N336" s="28"/>
      <c r="O336" s="13"/>
      <c r="P336" s="28"/>
      <c r="Q336" s="20"/>
      <c r="R336" s="28"/>
      <c r="S336" s="20"/>
      <c r="T336" s="28"/>
      <c r="U336" s="13"/>
      <c r="V336" s="28"/>
      <c r="W336" s="13"/>
      <c r="X336" s="28"/>
      <c r="Y336" s="13"/>
      <c r="Z336" s="28"/>
      <c r="AA336" s="13"/>
      <c r="AB336" s="28"/>
      <c r="AC336" s="13"/>
      <c r="AD336" s="28"/>
      <c r="AE336" s="13"/>
      <c r="AF336" s="28"/>
      <c r="AG336" s="13"/>
      <c r="AH336" s="28"/>
      <c r="AI336" s="13"/>
      <c r="AJ336" s="28"/>
      <c r="AK336" s="13"/>
      <c r="AL336" s="28"/>
      <c r="AM336" s="13"/>
      <c r="AN336" s="28"/>
      <c r="AO336" s="13"/>
      <c r="AP336" s="28"/>
      <c r="AQ336" s="13"/>
      <c r="AR336" s="28"/>
      <c r="AS336" s="19">
        <f>SUM(H336,J336,L336,N336,P336,R336,T336,V336,X336,Z336,AB336,AD336,AF336,AH336,AJ336,AL336,AN336)</f>
        <v>0</v>
      </c>
      <c r="AT336" s="29" t="str">
        <f>IF(C336="","",DATE(YEAR(C336),MONTH(C336),1))</f>
        <v/>
      </c>
      <c r="AU336" s="28" t="str">
        <f>IF(AT336="","",TEXT(AT336,"mmmm yyyy"))</f>
        <v/>
      </c>
      <c r="AV336" s="29" t="str">
        <f>IF(C336="","",C336-WEEKDAY(C336,2)+1)</f>
        <v/>
      </c>
      <c r="AW336" s="29" t="str">
        <f>IF(AV336="","",AV336+6)</f>
        <v/>
      </c>
      <c r="AX336" s="28" t="str">
        <f>IF(AV336="","",TEXT(AV336,"dd/mm/yyyy")&amp;" - "&amp;TEXT(AW336,"dd/mm/yyyy"))</f>
        <v/>
      </c>
      <c r="AY336" s="28" t="str">
        <f>IF(B336="","",COUNTIFS($B$5:B336,B336,$AT$5:AT336,AT336))</f>
        <v/>
      </c>
      <c r="AZ336" s="28" t="str">
        <f>IF(B336="","",COUNTIFS($B$5:B336,B336,$AV$5:AV336,AV336))</f>
        <v/>
      </c>
      <c r="BA336" s="28" t="str">
        <f>IF(B336="","",TEXT(AY336,"00")&amp;"|"&amp;B336&amp;"|"&amp;TEXT(AT336,"yyyymmdd"))</f>
        <v/>
      </c>
      <c r="BB336" s="28" t="str">
        <f>IF(B336="","",TEXT(AZ336,"00")&amp;"|"&amp;B336&amp;"|"&amp;TEXT(AV336,"yyyymmdd"))</f>
        <v/>
      </c>
      <c r="BC336" s="28">
        <f>IF(OR(AQ336="YES",AQ336="Yes",AQ336="Y",AQ336=1),1,0)</f>
        <v>0</v>
      </c>
    </row>
    <row r="337" spans="1:55" ht="15" customHeight="1">
      <c r="A337" s="27"/>
      <c r="B337" s="28"/>
      <c r="C337" s="29"/>
      <c r="D337" s="30"/>
      <c r="E337" s="30"/>
      <c r="F337" s="28"/>
      <c r="G337" s="28"/>
      <c r="H337" s="28"/>
      <c r="I337" s="13"/>
      <c r="J337" s="28"/>
      <c r="K337" s="13"/>
      <c r="L337" s="28"/>
      <c r="M337" s="13"/>
      <c r="N337" s="28"/>
      <c r="O337" s="13"/>
      <c r="P337" s="28"/>
      <c r="Q337" s="20"/>
      <c r="R337" s="28"/>
      <c r="S337" s="20"/>
      <c r="T337" s="28"/>
      <c r="U337" s="13"/>
      <c r="V337" s="28"/>
      <c r="W337" s="13"/>
      <c r="X337" s="28"/>
      <c r="Y337" s="13"/>
      <c r="Z337" s="28"/>
      <c r="AA337" s="13"/>
      <c r="AB337" s="28"/>
      <c r="AC337" s="13"/>
      <c r="AD337" s="28"/>
      <c r="AE337" s="13"/>
      <c r="AF337" s="28"/>
      <c r="AG337" s="13"/>
      <c r="AH337" s="28"/>
      <c r="AI337" s="13"/>
      <c r="AJ337" s="28"/>
      <c r="AK337" s="13"/>
      <c r="AL337" s="28"/>
      <c r="AM337" s="13"/>
      <c r="AN337" s="28"/>
      <c r="AO337" s="13"/>
      <c r="AP337" s="28"/>
      <c r="AQ337" s="13"/>
      <c r="AR337" s="28"/>
      <c r="AS337" s="19">
        <f>SUM(H337,J337,L337,N337,P337,R337,T337,V337,X337,Z337,AB337,AD337,AF337,AH337,AJ337,AL337,AN337)</f>
        <v>0</v>
      </c>
      <c r="AT337" s="29" t="str">
        <f>IF(C337="","",DATE(YEAR(C337),MONTH(C337),1))</f>
        <v/>
      </c>
      <c r="AU337" s="28" t="str">
        <f>IF(AT337="","",TEXT(AT337,"mmmm yyyy"))</f>
        <v/>
      </c>
      <c r="AV337" s="29" t="str">
        <f>IF(C337="","",C337-WEEKDAY(C337,2)+1)</f>
        <v/>
      </c>
      <c r="AW337" s="29" t="str">
        <f>IF(AV337="","",AV337+6)</f>
        <v/>
      </c>
      <c r="AX337" s="28" t="str">
        <f>IF(AV337="","",TEXT(AV337,"dd/mm/yyyy")&amp;" - "&amp;TEXT(AW337,"dd/mm/yyyy"))</f>
        <v/>
      </c>
      <c r="AY337" s="28" t="str">
        <f>IF(B337="","",COUNTIFS($B$5:B337,B337,$AT$5:AT337,AT337))</f>
        <v/>
      </c>
      <c r="AZ337" s="28" t="str">
        <f>IF(B337="","",COUNTIFS($B$5:B337,B337,$AV$5:AV337,AV337))</f>
        <v/>
      </c>
      <c r="BA337" s="28" t="str">
        <f>IF(B337="","",TEXT(AY337,"00")&amp;"|"&amp;B337&amp;"|"&amp;TEXT(AT337,"yyyymmdd"))</f>
        <v/>
      </c>
      <c r="BB337" s="28" t="str">
        <f>IF(B337="","",TEXT(AZ337,"00")&amp;"|"&amp;B337&amp;"|"&amp;TEXT(AV337,"yyyymmdd"))</f>
        <v/>
      </c>
      <c r="BC337" s="28">
        <f>IF(OR(AQ337="YES",AQ337="Yes",AQ337="Y",AQ337=1),1,0)</f>
        <v>0</v>
      </c>
    </row>
    <row r="338" spans="1:55" ht="15" customHeight="1">
      <c r="A338" s="27"/>
      <c r="B338" s="28"/>
      <c r="C338" s="29"/>
      <c r="D338" s="30"/>
      <c r="E338" s="30"/>
      <c r="F338" s="28"/>
      <c r="G338" s="28"/>
      <c r="H338" s="28"/>
      <c r="I338" s="13"/>
      <c r="J338" s="28"/>
      <c r="K338" s="13"/>
      <c r="L338" s="28"/>
      <c r="M338" s="13"/>
      <c r="N338" s="28"/>
      <c r="O338" s="13"/>
      <c r="P338" s="28"/>
      <c r="Q338" s="20"/>
      <c r="R338" s="28"/>
      <c r="S338" s="20"/>
      <c r="T338" s="28"/>
      <c r="U338" s="13"/>
      <c r="V338" s="28"/>
      <c r="W338" s="13"/>
      <c r="X338" s="28"/>
      <c r="Y338" s="13"/>
      <c r="Z338" s="28"/>
      <c r="AA338" s="13"/>
      <c r="AB338" s="28"/>
      <c r="AC338" s="13"/>
      <c r="AD338" s="28"/>
      <c r="AE338" s="13"/>
      <c r="AF338" s="28"/>
      <c r="AG338" s="13"/>
      <c r="AH338" s="28"/>
      <c r="AI338" s="13"/>
      <c r="AJ338" s="28"/>
      <c r="AK338" s="13"/>
      <c r="AL338" s="28"/>
      <c r="AM338" s="13"/>
      <c r="AN338" s="28"/>
      <c r="AO338" s="13"/>
      <c r="AP338" s="28"/>
      <c r="AQ338" s="13"/>
      <c r="AR338" s="28"/>
      <c r="AS338" s="19">
        <f>SUM(H338,J338,L338,N338,P338,R338,T338,V338,X338,Z338,AB338,AD338,AF338,AH338,AJ338,AL338,AN338)</f>
        <v>0</v>
      </c>
      <c r="AT338" s="29" t="str">
        <f>IF(C338="","",DATE(YEAR(C338),MONTH(C338),1))</f>
        <v/>
      </c>
      <c r="AU338" s="28" t="str">
        <f>IF(AT338="","",TEXT(AT338,"mmmm yyyy"))</f>
        <v/>
      </c>
      <c r="AV338" s="29" t="str">
        <f>IF(C338="","",C338-WEEKDAY(C338,2)+1)</f>
        <v/>
      </c>
      <c r="AW338" s="29" t="str">
        <f>IF(AV338="","",AV338+6)</f>
        <v/>
      </c>
      <c r="AX338" s="28" t="str">
        <f>IF(AV338="","",TEXT(AV338,"dd/mm/yyyy")&amp;" - "&amp;TEXT(AW338,"dd/mm/yyyy"))</f>
        <v/>
      </c>
      <c r="AY338" s="28" t="str">
        <f>IF(B338="","",COUNTIFS($B$5:B338,B338,$AT$5:AT338,AT338))</f>
        <v/>
      </c>
      <c r="AZ338" s="28" t="str">
        <f>IF(B338="","",COUNTIFS($B$5:B338,B338,$AV$5:AV338,AV338))</f>
        <v/>
      </c>
      <c r="BA338" s="28" t="str">
        <f>IF(B338="","",TEXT(AY338,"00")&amp;"|"&amp;B338&amp;"|"&amp;TEXT(AT338,"yyyymmdd"))</f>
        <v/>
      </c>
      <c r="BB338" s="28" t="str">
        <f>IF(B338="","",TEXT(AZ338,"00")&amp;"|"&amp;B338&amp;"|"&amp;TEXT(AV338,"yyyymmdd"))</f>
        <v/>
      </c>
      <c r="BC338" s="28">
        <f>IF(OR(AQ338="YES",AQ338="Yes",AQ338="Y",AQ338=1),1,0)</f>
        <v>0</v>
      </c>
    </row>
    <row r="339" spans="1:55" ht="15" customHeight="1">
      <c r="A339" s="27"/>
      <c r="B339" s="28"/>
      <c r="C339" s="29"/>
      <c r="D339" s="30"/>
      <c r="E339" s="30"/>
      <c r="F339" s="28"/>
      <c r="G339" s="28"/>
      <c r="H339" s="28"/>
      <c r="I339" s="13"/>
      <c r="J339" s="28"/>
      <c r="K339" s="13"/>
      <c r="L339" s="28"/>
      <c r="M339" s="13"/>
      <c r="N339" s="28"/>
      <c r="O339" s="13"/>
      <c r="P339" s="28"/>
      <c r="Q339" s="20"/>
      <c r="R339" s="28"/>
      <c r="S339" s="20"/>
      <c r="T339" s="28"/>
      <c r="U339" s="13"/>
      <c r="V339" s="28"/>
      <c r="W339" s="13"/>
      <c r="X339" s="28"/>
      <c r="Y339" s="13"/>
      <c r="Z339" s="28"/>
      <c r="AA339" s="13"/>
      <c r="AB339" s="28"/>
      <c r="AC339" s="13"/>
      <c r="AD339" s="28"/>
      <c r="AE339" s="13"/>
      <c r="AF339" s="28"/>
      <c r="AG339" s="13"/>
      <c r="AH339" s="28"/>
      <c r="AI339" s="13"/>
      <c r="AJ339" s="28"/>
      <c r="AK339" s="13"/>
      <c r="AL339" s="28"/>
      <c r="AM339" s="13"/>
      <c r="AN339" s="28"/>
      <c r="AO339" s="13"/>
      <c r="AP339" s="28"/>
      <c r="AQ339" s="13"/>
      <c r="AR339" s="28"/>
      <c r="AS339" s="19">
        <f>SUM(H339,J339,L339,N339,P339,R339,T339,V339,X339,Z339,AB339,AD339,AF339,AH339,AJ339,AL339,AN339)</f>
        <v>0</v>
      </c>
      <c r="AT339" s="29" t="str">
        <f>IF(C339="","",DATE(YEAR(C339),MONTH(C339),1))</f>
        <v/>
      </c>
      <c r="AU339" s="28" t="str">
        <f>IF(AT339="","",TEXT(AT339,"mmmm yyyy"))</f>
        <v/>
      </c>
      <c r="AV339" s="29" t="str">
        <f>IF(C339="","",C339-WEEKDAY(C339,2)+1)</f>
        <v/>
      </c>
      <c r="AW339" s="29" t="str">
        <f>IF(AV339="","",AV339+6)</f>
        <v/>
      </c>
      <c r="AX339" s="28" t="str">
        <f>IF(AV339="","",TEXT(AV339,"dd/mm/yyyy")&amp;" - "&amp;TEXT(AW339,"dd/mm/yyyy"))</f>
        <v/>
      </c>
      <c r="AY339" s="28" t="str">
        <f>IF(B339="","",COUNTIFS($B$5:B339,B339,$AT$5:AT339,AT339))</f>
        <v/>
      </c>
      <c r="AZ339" s="28" t="str">
        <f>IF(B339="","",COUNTIFS($B$5:B339,B339,$AV$5:AV339,AV339))</f>
        <v/>
      </c>
      <c r="BA339" s="28" t="str">
        <f>IF(B339="","",TEXT(AY339,"00")&amp;"|"&amp;B339&amp;"|"&amp;TEXT(AT339,"yyyymmdd"))</f>
        <v/>
      </c>
      <c r="BB339" s="28" t="str">
        <f>IF(B339="","",TEXT(AZ339,"00")&amp;"|"&amp;B339&amp;"|"&amp;TEXT(AV339,"yyyymmdd"))</f>
        <v/>
      </c>
      <c r="BC339" s="28">
        <f>IF(OR(AQ339="YES",AQ339="Yes",AQ339="Y",AQ339=1),1,0)</f>
        <v>0</v>
      </c>
    </row>
    <row r="340" spans="1:55" ht="15" customHeight="1">
      <c r="A340" s="27"/>
      <c r="B340" s="28"/>
      <c r="C340" s="29"/>
      <c r="D340" s="30"/>
      <c r="E340" s="30"/>
      <c r="F340" s="28"/>
      <c r="G340" s="28"/>
      <c r="H340" s="28"/>
      <c r="I340" s="13"/>
      <c r="J340" s="28"/>
      <c r="K340" s="13"/>
      <c r="L340" s="28"/>
      <c r="M340" s="13"/>
      <c r="N340" s="28"/>
      <c r="O340" s="13"/>
      <c r="P340" s="28"/>
      <c r="Q340" s="20"/>
      <c r="R340" s="28"/>
      <c r="S340" s="20"/>
      <c r="T340" s="28"/>
      <c r="U340" s="13"/>
      <c r="V340" s="28"/>
      <c r="W340" s="13"/>
      <c r="X340" s="28"/>
      <c r="Y340" s="13"/>
      <c r="Z340" s="28"/>
      <c r="AA340" s="13"/>
      <c r="AB340" s="28"/>
      <c r="AC340" s="13"/>
      <c r="AD340" s="28"/>
      <c r="AE340" s="13"/>
      <c r="AF340" s="28"/>
      <c r="AG340" s="13"/>
      <c r="AH340" s="28"/>
      <c r="AI340" s="13"/>
      <c r="AJ340" s="28"/>
      <c r="AK340" s="13"/>
      <c r="AL340" s="28"/>
      <c r="AM340" s="13"/>
      <c r="AN340" s="28"/>
      <c r="AO340" s="13"/>
      <c r="AP340" s="28"/>
      <c r="AQ340" s="13"/>
      <c r="AR340" s="28"/>
      <c r="AS340" s="19">
        <f>SUM(H340,J340,L340,N340,P340,R340,T340,V340,X340,Z340,AB340,AD340,AF340,AH340,AJ340,AL340,AN340)</f>
        <v>0</v>
      </c>
      <c r="AT340" s="29" t="str">
        <f>IF(C340="","",DATE(YEAR(C340),MONTH(C340),1))</f>
        <v/>
      </c>
      <c r="AU340" s="28" t="str">
        <f>IF(AT340="","",TEXT(AT340,"mmmm yyyy"))</f>
        <v/>
      </c>
      <c r="AV340" s="29" t="str">
        <f>IF(C340="","",C340-WEEKDAY(C340,2)+1)</f>
        <v/>
      </c>
      <c r="AW340" s="29" t="str">
        <f>IF(AV340="","",AV340+6)</f>
        <v/>
      </c>
      <c r="AX340" s="28" t="str">
        <f>IF(AV340="","",TEXT(AV340,"dd/mm/yyyy")&amp;" - "&amp;TEXT(AW340,"dd/mm/yyyy"))</f>
        <v/>
      </c>
      <c r="AY340" s="28" t="str">
        <f>IF(B340="","",COUNTIFS($B$5:B340,B340,$AT$5:AT340,AT340))</f>
        <v/>
      </c>
      <c r="AZ340" s="28" t="str">
        <f>IF(B340="","",COUNTIFS($B$5:B340,B340,$AV$5:AV340,AV340))</f>
        <v/>
      </c>
      <c r="BA340" s="28" t="str">
        <f>IF(B340="","",TEXT(AY340,"00")&amp;"|"&amp;B340&amp;"|"&amp;TEXT(AT340,"yyyymmdd"))</f>
        <v/>
      </c>
      <c r="BB340" s="28" t="str">
        <f>IF(B340="","",TEXT(AZ340,"00")&amp;"|"&amp;B340&amp;"|"&amp;TEXT(AV340,"yyyymmdd"))</f>
        <v/>
      </c>
      <c r="BC340" s="28">
        <f>IF(OR(AQ340="YES",AQ340="Yes",AQ340="Y",AQ340=1),1,0)</f>
        <v>0</v>
      </c>
    </row>
    <row r="341" spans="1:55" ht="15" customHeight="1">
      <c r="A341" s="27"/>
      <c r="B341" s="28"/>
      <c r="C341" s="29"/>
      <c r="D341" s="30"/>
      <c r="E341" s="30"/>
      <c r="F341" s="28"/>
      <c r="G341" s="28"/>
      <c r="H341" s="28"/>
      <c r="I341" s="13"/>
      <c r="J341" s="28"/>
      <c r="K341" s="13"/>
      <c r="L341" s="28"/>
      <c r="M341" s="13"/>
      <c r="N341" s="28"/>
      <c r="O341" s="13"/>
      <c r="P341" s="28"/>
      <c r="Q341" s="20"/>
      <c r="R341" s="28"/>
      <c r="S341" s="20"/>
      <c r="T341" s="28"/>
      <c r="U341" s="13"/>
      <c r="V341" s="28"/>
      <c r="W341" s="13"/>
      <c r="X341" s="28"/>
      <c r="Y341" s="13"/>
      <c r="Z341" s="28"/>
      <c r="AA341" s="13"/>
      <c r="AB341" s="28"/>
      <c r="AC341" s="13"/>
      <c r="AD341" s="28"/>
      <c r="AE341" s="13"/>
      <c r="AF341" s="28"/>
      <c r="AG341" s="13"/>
      <c r="AH341" s="28"/>
      <c r="AI341" s="13"/>
      <c r="AJ341" s="28"/>
      <c r="AK341" s="13"/>
      <c r="AL341" s="28"/>
      <c r="AM341" s="13"/>
      <c r="AN341" s="28"/>
      <c r="AO341" s="13"/>
      <c r="AP341" s="28"/>
      <c r="AQ341" s="13"/>
      <c r="AR341" s="28"/>
      <c r="AS341" s="19">
        <f>SUM(H341,J341,L341,N341,P341,R341,T341,V341,X341,Z341,AB341,AD341,AF341,AH341,AJ341,AL341,AN341)</f>
        <v>0</v>
      </c>
      <c r="AT341" s="29" t="str">
        <f>IF(C341="","",DATE(YEAR(C341),MONTH(C341),1))</f>
        <v/>
      </c>
      <c r="AU341" s="28" t="str">
        <f>IF(AT341="","",TEXT(AT341,"mmmm yyyy"))</f>
        <v/>
      </c>
      <c r="AV341" s="29" t="str">
        <f>IF(C341="","",C341-WEEKDAY(C341,2)+1)</f>
        <v/>
      </c>
      <c r="AW341" s="29" t="str">
        <f>IF(AV341="","",AV341+6)</f>
        <v/>
      </c>
      <c r="AX341" s="28" t="str">
        <f>IF(AV341="","",TEXT(AV341,"dd/mm/yyyy")&amp;" - "&amp;TEXT(AW341,"dd/mm/yyyy"))</f>
        <v/>
      </c>
      <c r="AY341" s="28" t="str">
        <f>IF(B341="","",COUNTIFS($B$5:B341,B341,$AT$5:AT341,AT341))</f>
        <v/>
      </c>
      <c r="AZ341" s="28" t="str">
        <f>IF(B341="","",COUNTIFS($B$5:B341,B341,$AV$5:AV341,AV341))</f>
        <v/>
      </c>
      <c r="BA341" s="28" t="str">
        <f>IF(B341="","",TEXT(AY341,"00")&amp;"|"&amp;B341&amp;"|"&amp;TEXT(AT341,"yyyymmdd"))</f>
        <v/>
      </c>
      <c r="BB341" s="28" t="str">
        <f>IF(B341="","",TEXT(AZ341,"00")&amp;"|"&amp;B341&amp;"|"&amp;TEXT(AV341,"yyyymmdd"))</f>
        <v/>
      </c>
      <c r="BC341" s="28">
        <f>IF(OR(AQ341="YES",AQ341="Yes",AQ341="Y",AQ341=1),1,0)</f>
        <v>0</v>
      </c>
    </row>
    <row r="342" spans="1:55" ht="15" customHeight="1">
      <c r="A342" s="27"/>
      <c r="B342" s="28"/>
      <c r="C342" s="29"/>
      <c r="D342" s="30"/>
      <c r="E342" s="30"/>
      <c r="F342" s="28"/>
      <c r="G342" s="28"/>
      <c r="H342" s="28"/>
      <c r="I342" s="13"/>
      <c r="J342" s="28"/>
      <c r="K342" s="13"/>
      <c r="L342" s="28"/>
      <c r="M342" s="13"/>
      <c r="N342" s="28"/>
      <c r="O342" s="13"/>
      <c r="P342" s="28"/>
      <c r="Q342" s="20"/>
      <c r="R342" s="28"/>
      <c r="S342" s="20"/>
      <c r="T342" s="28"/>
      <c r="U342" s="13"/>
      <c r="V342" s="28"/>
      <c r="W342" s="13"/>
      <c r="X342" s="28"/>
      <c r="Y342" s="13"/>
      <c r="Z342" s="28"/>
      <c r="AA342" s="13"/>
      <c r="AB342" s="28"/>
      <c r="AC342" s="13"/>
      <c r="AD342" s="28"/>
      <c r="AE342" s="13"/>
      <c r="AF342" s="28"/>
      <c r="AG342" s="13"/>
      <c r="AH342" s="28"/>
      <c r="AI342" s="13"/>
      <c r="AJ342" s="28"/>
      <c r="AK342" s="13"/>
      <c r="AL342" s="28"/>
      <c r="AM342" s="13"/>
      <c r="AN342" s="28"/>
      <c r="AO342" s="13"/>
      <c r="AP342" s="28"/>
      <c r="AQ342" s="13"/>
      <c r="AR342" s="28"/>
      <c r="AS342" s="19">
        <f>SUM(H342,J342,L342,N342,P342,R342,T342,V342,X342,Z342,AB342,AD342,AF342,AH342,AJ342,AL342,AN342)</f>
        <v>0</v>
      </c>
      <c r="AT342" s="29" t="str">
        <f>IF(C342="","",DATE(YEAR(C342),MONTH(C342),1))</f>
        <v/>
      </c>
      <c r="AU342" s="28" t="str">
        <f>IF(AT342="","",TEXT(AT342,"mmmm yyyy"))</f>
        <v/>
      </c>
      <c r="AV342" s="29" t="str">
        <f>IF(C342="","",C342-WEEKDAY(C342,2)+1)</f>
        <v/>
      </c>
      <c r="AW342" s="29" t="str">
        <f>IF(AV342="","",AV342+6)</f>
        <v/>
      </c>
      <c r="AX342" s="28" t="str">
        <f>IF(AV342="","",TEXT(AV342,"dd/mm/yyyy")&amp;" - "&amp;TEXT(AW342,"dd/mm/yyyy"))</f>
        <v/>
      </c>
      <c r="AY342" s="28" t="str">
        <f>IF(B342="","",COUNTIFS($B$5:B342,B342,$AT$5:AT342,AT342))</f>
        <v/>
      </c>
      <c r="AZ342" s="28" t="str">
        <f>IF(B342="","",COUNTIFS($B$5:B342,B342,$AV$5:AV342,AV342))</f>
        <v/>
      </c>
      <c r="BA342" s="28" t="str">
        <f>IF(B342="","",TEXT(AY342,"00")&amp;"|"&amp;B342&amp;"|"&amp;TEXT(AT342,"yyyymmdd"))</f>
        <v/>
      </c>
      <c r="BB342" s="28" t="str">
        <f>IF(B342="","",TEXT(AZ342,"00")&amp;"|"&amp;B342&amp;"|"&amp;TEXT(AV342,"yyyymmdd"))</f>
        <v/>
      </c>
      <c r="BC342" s="28">
        <f>IF(OR(AQ342="YES",AQ342="Yes",AQ342="Y",AQ342=1),1,0)</f>
        <v>0</v>
      </c>
    </row>
    <row r="343" spans="1:55" ht="15" customHeight="1">
      <c r="A343" s="27"/>
      <c r="B343" s="28"/>
      <c r="C343" s="29"/>
      <c r="D343" s="30"/>
      <c r="E343" s="30"/>
      <c r="F343" s="28"/>
      <c r="G343" s="28"/>
      <c r="H343" s="28"/>
      <c r="I343" s="13"/>
      <c r="J343" s="28"/>
      <c r="K343" s="13"/>
      <c r="L343" s="28"/>
      <c r="M343" s="13"/>
      <c r="N343" s="28"/>
      <c r="O343" s="13"/>
      <c r="P343" s="28"/>
      <c r="Q343" s="20"/>
      <c r="R343" s="28"/>
      <c r="S343" s="20"/>
      <c r="T343" s="28"/>
      <c r="U343" s="13"/>
      <c r="V343" s="28"/>
      <c r="W343" s="13"/>
      <c r="X343" s="28"/>
      <c r="Y343" s="13"/>
      <c r="Z343" s="28"/>
      <c r="AA343" s="13"/>
      <c r="AB343" s="28"/>
      <c r="AC343" s="13"/>
      <c r="AD343" s="28"/>
      <c r="AE343" s="13"/>
      <c r="AF343" s="28"/>
      <c r="AG343" s="13"/>
      <c r="AH343" s="28"/>
      <c r="AI343" s="13"/>
      <c r="AJ343" s="28"/>
      <c r="AK343" s="13"/>
      <c r="AL343" s="28"/>
      <c r="AM343" s="13"/>
      <c r="AN343" s="28"/>
      <c r="AO343" s="13"/>
      <c r="AP343" s="28"/>
      <c r="AQ343" s="13"/>
      <c r="AR343" s="28"/>
      <c r="AS343" s="19">
        <f>SUM(H343,J343,L343,N343,P343,R343,T343,V343,X343,Z343,AB343,AD343,AF343,AH343,AJ343,AL343,AN343)</f>
        <v>0</v>
      </c>
      <c r="AT343" s="29" t="str">
        <f>IF(C343="","",DATE(YEAR(C343),MONTH(C343),1))</f>
        <v/>
      </c>
      <c r="AU343" s="28" t="str">
        <f>IF(AT343="","",TEXT(AT343,"mmmm yyyy"))</f>
        <v/>
      </c>
      <c r="AV343" s="29" t="str">
        <f>IF(C343="","",C343-WEEKDAY(C343,2)+1)</f>
        <v/>
      </c>
      <c r="AW343" s="29" t="str">
        <f>IF(AV343="","",AV343+6)</f>
        <v/>
      </c>
      <c r="AX343" s="28" t="str">
        <f>IF(AV343="","",TEXT(AV343,"dd/mm/yyyy")&amp;" - "&amp;TEXT(AW343,"dd/mm/yyyy"))</f>
        <v/>
      </c>
      <c r="AY343" s="28" t="str">
        <f>IF(B343="","",COUNTIFS($B$5:B343,B343,$AT$5:AT343,AT343))</f>
        <v/>
      </c>
      <c r="AZ343" s="28" t="str">
        <f>IF(B343="","",COUNTIFS($B$5:B343,B343,$AV$5:AV343,AV343))</f>
        <v/>
      </c>
      <c r="BA343" s="28" t="str">
        <f>IF(B343="","",TEXT(AY343,"00")&amp;"|"&amp;B343&amp;"|"&amp;TEXT(AT343,"yyyymmdd"))</f>
        <v/>
      </c>
      <c r="BB343" s="28" t="str">
        <f>IF(B343="","",TEXT(AZ343,"00")&amp;"|"&amp;B343&amp;"|"&amp;TEXT(AV343,"yyyymmdd"))</f>
        <v/>
      </c>
      <c r="BC343" s="28">
        <f>IF(OR(AQ343="YES",AQ343="Yes",AQ343="Y",AQ343=1),1,0)</f>
        <v>0</v>
      </c>
    </row>
    <row r="344" spans="1:55" ht="15" customHeight="1">
      <c r="A344" s="27"/>
      <c r="B344" s="28"/>
      <c r="C344" s="29"/>
      <c r="D344" s="30"/>
      <c r="E344" s="30"/>
      <c r="F344" s="28"/>
      <c r="G344" s="28"/>
      <c r="H344" s="28"/>
      <c r="I344" s="13"/>
      <c r="J344" s="28"/>
      <c r="K344" s="13"/>
      <c r="L344" s="28"/>
      <c r="M344" s="13"/>
      <c r="N344" s="28"/>
      <c r="O344" s="13"/>
      <c r="P344" s="28"/>
      <c r="Q344" s="20"/>
      <c r="R344" s="28"/>
      <c r="S344" s="20"/>
      <c r="T344" s="28"/>
      <c r="U344" s="13"/>
      <c r="V344" s="28"/>
      <c r="W344" s="13"/>
      <c r="X344" s="28"/>
      <c r="Y344" s="13"/>
      <c r="Z344" s="28"/>
      <c r="AA344" s="13"/>
      <c r="AB344" s="28"/>
      <c r="AC344" s="13"/>
      <c r="AD344" s="28"/>
      <c r="AE344" s="13"/>
      <c r="AF344" s="28"/>
      <c r="AG344" s="13"/>
      <c r="AH344" s="28"/>
      <c r="AI344" s="13"/>
      <c r="AJ344" s="28"/>
      <c r="AK344" s="13"/>
      <c r="AL344" s="28"/>
      <c r="AM344" s="13"/>
      <c r="AN344" s="28"/>
      <c r="AO344" s="13"/>
      <c r="AP344" s="28"/>
      <c r="AQ344" s="13"/>
      <c r="AR344" s="28"/>
      <c r="AS344" s="19">
        <f>SUM(H344,J344,L344,N344,P344,R344,T344,V344,X344,Z344,AB344,AD344,AF344,AH344,AJ344,AL344,AN344)</f>
        <v>0</v>
      </c>
      <c r="AT344" s="29" t="str">
        <f>IF(C344="","",DATE(YEAR(C344),MONTH(C344),1))</f>
        <v/>
      </c>
      <c r="AU344" s="28" t="str">
        <f>IF(AT344="","",TEXT(AT344,"mmmm yyyy"))</f>
        <v/>
      </c>
      <c r="AV344" s="29" t="str">
        <f>IF(C344="","",C344-WEEKDAY(C344,2)+1)</f>
        <v/>
      </c>
      <c r="AW344" s="29" t="str">
        <f>IF(AV344="","",AV344+6)</f>
        <v/>
      </c>
      <c r="AX344" s="28" t="str">
        <f>IF(AV344="","",TEXT(AV344,"dd/mm/yyyy")&amp;" - "&amp;TEXT(AW344,"dd/mm/yyyy"))</f>
        <v/>
      </c>
      <c r="AY344" s="28" t="str">
        <f>IF(B344="","",COUNTIFS($B$5:B344,B344,$AT$5:AT344,AT344))</f>
        <v/>
      </c>
      <c r="AZ344" s="28" t="str">
        <f>IF(B344="","",COUNTIFS($B$5:B344,B344,$AV$5:AV344,AV344))</f>
        <v/>
      </c>
      <c r="BA344" s="28" t="str">
        <f>IF(B344="","",TEXT(AY344,"00")&amp;"|"&amp;B344&amp;"|"&amp;TEXT(AT344,"yyyymmdd"))</f>
        <v/>
      </c>
      <c r="BB344" s="28" t="str">
        <f>IF(B344="","",TEXT(AZ344,"00")&amp;"|"&amp;B344&amp;"|"&amp;TEXT(AV344,"yyyymmdd"))</f>
        <v/>
      </c>
      <c r="BC344" s="28">
        <f>IF(OR(AQ344="YES",AQ344="Yes",AQ344="Y",AQ344=1),1,0)</f>
        <v>0</v>
      </c>
    </row>
    <row r="345" spans="1:55" ht="15" customHeight="1">
      <c r="A345" s="27"/>
      <c r="B345" s="28"/>
      <c r="C345" s="29"/>
      <c r="D345" s="30"/>
      <c r="E345" s="30"/>
      <c r="F345" s="28"/>
      <c r="G345" s="28"/>
      <c r="H345" s="28"/>
      <c r="I345" s="13"/>
      <c r="J345" s="28"/>
      <c r="K345" s="13"/>
      <c r="L345" s="28"/>
      <c r="M345" s="13"/>
      <c r="N345" s="28"/>
      <c r="O345" s="13"/>
      <c r="P345" s="28"/>
      <c r="Q345" s="20"/>
      <c r="R345" s="28"/>
      <c r="S345" s="20"/>
      <c r="T345" s="28"/>
      <c r="U345" s="13"/>
      <c r="V345" s="28"/>
      <c r="W345" s="13"/>
      <c r="X345" s="28"/>
      <c r="Y345" s="13"/>
      <c r="Z345" s="28"/>
      <c r="AA345" s="13"/>
      <c r="AB345" s="28"/>
      <c r="AC345" s="13"/>
      <c r="AD345" s="28"/>
      <c r="AE345" s="13"/>
      <c r="AF345" s="28"/>
      <c r="AG345" s="13"/>
      <c r="AH345" s="28"/>
      <c r="AI345" s="13"/>
      <c r="AJ345" s="28"/>
      <c r="AK345" s="13"/>
      <c r="AL345" s="28"/>
      <c r="AM345" s="13"/>
      <c r="AN345" s="28"/>
      <c r="AO345" s="13"/>
      <c r="AP345" s="28"/>
      <c r="AQ345" s="13"/>
      <c r="AR345" s="28"/>
      <c r="AS345" s="19">
        <f>SUM(H345,J345,L345,N345,P345,R345,T345,V345,X345,Z345,AB345,AD345,AF345,AH345,AJ345,AL345,AN345)</f>
        <v>0</v>
      </c>
      <c r="AT345" s="29" t="str">
        <f>IF(C345="","",DATE(YEAR(C345),MONTH(C345),1))</f>
        <v/>
      </c>
      <c r="AU345" s="28" t="str">
        <f>IF(AT345="","",TEXT(AT345,"mmmm yyyy"))</f>
        <v/>
      </c>
      <c r="AV345" s="29" t="str">
        <f>IF(C345="","",C345-WEEKDAY(C345,2)+1)</f>
        <v/>
      </c>
      <c r="AW345" s="29" t="str">
        <f>IF(AV345="","",AV345+6)</f>
        <v/>
      </c>
      <c r="AX345" s="28" t="str">
        <f>IF(AV345="","",TEXT(AV345,"dd/mm/yyyy")&amp;" - "&amp;TEXT(AW345,"dd/mm/yyyy"))</f>
        <v/>
      </c>
      <c r="AY345" s="28" t="str">
        <f>IF(B345="","",COUNTIFS($B$5:B345,B345,$AT$5:AT345,AT345))</f>
        <v/>
      </c>
      <c r="AZ345" s="28" t="str">
        <f>IF(B345="","",COUNTIFS($B$5:B345,B345,$AV$5:AV345,AV345))</f>
        <v/>
      </c>
      <c r="BA345" s="28" t="str">
        <f>IF(B345="","",TEXT(AY345,"00")&amp;"|"&amp;B345&amp;"|"&amp;TEXT(AT345,"yyyymmdd"))</f>
        <v/>
      </c>
      <c r="BB345" s="28" t="str">
        <f>IF(B345="","",TEXT(AZ345,"00")&amp;"|"&amp;B345&amp;"|"&amp;TEXT(AV345,"yyyymmdd"))</f>
        <v/>
      </c>
      <c r="BC345" s="28">
        <f>IF(OR(AQ345="YES",AQ345="Yes",AQ345="Y",AQ345=1),1,0)</f>
        <v>0</v>
      </c>
    </row>
    <row r="346" spans="1:55" ht="15" customHeight="1">
      <c r="A346" s="27"/>
      <c r="B346" s="28"/>
      <c r="C346" s="29"/>
      <c r="D346" s="30"/>
      <c r="E346" s="30"/>
      <c r="F346" s="28"/>
      <c r="G346" s="28"/>
      <c r="H346" s="28"/>
      <c r="I346" s="13"/>
      <c r="J346" s="28"/>
      <c r="K346" s="13"/>
      <c r="L346" s="28"/>
      <c r="M346" s="13"/>
      <c r="N346" s="28"/>
      <c r="O346" s="13"/>
      <c r="P346" s="28"/>
      <c r="Q346" s="20"/>
      <c r="R346" s="28"/>
      <c r="S346" s="20"/>
      <c r="T346" s="28"/>
      <c r="U346" s="13"/>
      <c r="V346" s="28"/>
      <c r="W346" s="13"/>
      <c r="X346" s="28"/>
      <c r="Y346" s="13"/>
      <c r="Z346" s="28"/>
      <c r="AA346" s="13"/>
      <c r="AB346" s="28"/>
      <c r="AC346" s="13"/>
      <c r="AD346" s="28"/>
      <c r="AE346" s="13"/>
      <c r="AF346" s="28"/>
      <c r="AG346" s="13"/>
      <c r="AH346" s="28"/>
      <c r="AI346" s="13"/>
      <c r="AJ346" s="28"/>
      <c r="AK346" s="13"/>
      <c r="AL346" s="28"/>
      <c r="AM346" s="13"/>
      <c r="AN346" s="28"/>
      <c r="AO346" s="13"/>
      <c r="AP346" s="28"/>
      <c r="AQ346" s="13"/>
      <c r="AR346" s="28"/>
      <c r="AS346" s="19">
        <f>SUM(H346,J346,L346,N346,P346,R346,T346,V346,X346,Z346,AB346,AD346,AF346,AH346,AJ346,AL346,AN346)</f>
        <v>0</v>
      </c>
      <c r="AT346" s="29" t="str">
        <f>IF(C346="","",DATE(YEAR(C346),MONTH(C346),1))</f>
        <v/>
      </c>
      <c r="AU346" s="28" t="str">
        <f>IF(AT346="","",TEXT(AT346,"mmmm yyyy"))</f>
        <v/>
      </c>
      <c r="AV346" s="29" t="str">
        <f>IF(C346="","",C346-WEEKDAY(C346,2)+1)</f>
        <v/>
      </c>
      <c r="AW346" s="29" t="str">
        <f>IF(AV346="","",AV346+6)</f>
        <v/>
      </c>
      <c r="AX346" s="28" t="str">
        <f>IF(AV346="","",TEXT(AV346,"dd/mm/yyyy")&amp;" - "&amp;TEXT(AW346,"dd/mm/yyyy"))</f>
        <v/>
      </c>
      <c r="AY346" s="28" t="str">
        <f>IF(B346="","",COUNTIFS($B$5:B346,B346,$AT$5:AT346,AT346))</f>
        <v/>
      </c>
      <c r="AZ346" s="28" t="str">
        <f>IF(B346="","",COUNTIFS($B$5:B346,B346,$AV$5:AV346,AV346))</f>
        <v/>
      </c>
      <c r="BA346" s="28" t="str">
        <f>IF(B346="","",TEXT(AY346,"00")&amp;"|"&amp;B346&amp;"|"&amp;TEXT(AT346,"yyyymmdd"))</f>
        <v/>
      </c>
      <c r="BB346" s="28" t="str">
        <f>IF(B346="","",TEXT(AZ346,"00")&amp;"|"&amp;B346&amp;"|"&amp;TEXT(AV346,"yyyymmdd"))</f>
        <v/>
      </c>
      <c r="BC346" s="28">
        <f>IF(OR(AQ346="YES",AQ346="Yes",AQ346="Y",AQ346=1),1,0)</f>
        <v>0</v>
      </c>
    </row>
    <row r="347" spans="1:55" ht="15" customHeight="1">
      <c r="A347" s="27"/>
      <c r="B347" s="28"/>
      <c r="C347" s="29"/>
      <c r="D347" s="30"/>
      <c r="E347" s="30"/>
      <c r="F347" s="28"/>
      <c r="G347" s="28"/>
      <c r="H347" s="28"/>
      <c r="I347" s="13"/>
      <c r="J347" s="28"/>
      <c r="K347" s="13"/>
      <c r="L347" s="28"/>
      <c r="M347" s="13"/>
      <c r="N347" s="28"/>
      <c r="O347" s="13"/>
      <c r="P347" s="28"/>
      <c r="Q347" s="20"/>
      <c r="R347" s="28"/>
      <c r="S347" s="20"/>
      <c r="T347" s="28"/>
      <c r="U347" s="13"/>
      <c r="V347" s="28"/>
      <c r="W347" s="13"/>
      <c r="X347" s="28"/>
      <c r="Y347" s="13"/>
      <c r="Z347" s="28"/>
      <c r="AA347" s="13"/>
      <c r="AB347" s="28"/>
      <c r="AC347" s="13"/>
      <c r="AD347" s="28"/>
      <c r="AE347" s="13"/>
      <c r="AF347" s="28"/>
      <c r="AG347" s="13"/>
      <c r="AH347" s="28"/>
      <c r="AI347" s="13"/>
      <c r="AJ347" s="28"/>
      <c r="AK347" s="13"/>
      <c r="AL347" s="28"/>
      <c r="AM347" s="13"/>
      <c r="AN347" s="28"/>
      <c r="AO347" s="13"/>
      <c r="AP347" s="28"/>
      <c r="AQ347" s="13"/>
      <c r="AR347" s="28"/>
      <c r="AS347" s="19">
        <f>SUM(H347,J347,L347,N347,P347,R347,T347,V347,X347,Z347,AB347,AD347,AF347,AH347,AJ347,AL347,AN347)</f>
        <v>0</v>
      </c>
      <c r="AT347" s="29" t="str">
        <f>IF(C347="","",DATE(YEAR(C347),MONTH(C347),1))</f>
        <v/>
      </c>
      <c r="AU347" s="28" t="str">
        <f>IF(AT347="","",TEXT(AT347,"mmmm yyyy"))</f>
        <v/>
      </c>
      <c r="AV347" s="29" t="str">
        <f>IF(C347="","",C347-WEEKDAY(C347,2)+1)</f>
        <v/>
      </c>
      <c r="AW347" s="29" t="str">
        <f>IF(AV347="","",AV347+6)</f>
        <v/>
      </c>
      <c r="AX347" s="28" t="str">
        <f>IF(AV347="","",TEXT(AV347,"dd/mm/yyyy")&amp;" - "&amp;TEXT(AW347,"dd/mm/yyyy"))</f>
        <v/>
      </c>
      <c r="AY347" s="28" t="str">
        <f>IF(B347="","",COUNTIFS($B$5:B347,B347,$AT$5:AT347,AT347))</f>
        <v/>
      </c>
      <c r="AZ347" s="28" t="str">
        <f>IF(B347="","",COUNTIFS($B$5:B347,B347,$AV$5:AV347,AV347))</f>
        <v/>
      </c>
      <c r="BA347" s="28" t="str">
        <f>IF(B347="","",TEXT(AY347,"00")&amp;"|"&amp;B347&amp;"|"&amp;TEXT(AT347,"yyyymmdd"))</f>
        <v/>
      </c>
      <c r="BB347" s="28" t="str">
        <f>IF(B347="","",TEXT(AZ347,"00")&amp;"|"&amp;B347&amp;"|"&amp;TEXT(AV347,"yyyymmdd"))</f>
        <v/>
      </c>
      <c r="BC347" s="28">
        <f>IF(OR(AQ347="YES",AQ347="Yes",AQ347="Y",AQ347=1),1,0)</f>
        <v>0</v>
      </c>
    </row>
    <row r="348" spans="1:55" ht="15" customHeight="1">
      <c r="A348" s="27"/>
      <c r="B348" s="28"/>
      <c r="C348" s="29"/>
      <c r="D348" s="30"/>
      <c r="E348" s="30"/>
      <c r="F348" s="28"/>
      <c r="G348" s="28"/>
      <c r="H348" s="28"/>
      <c r="I348" s="13"/>
      <c r="J348" s="28"/>
      <c r="K348" s="13"/>
      <c r="L348" s="28"/>
      <c r="M348" s="13"/>
      <c r="N348" s="28"/>
      <c r="O348" s="13"/>
      <c r="P348" s="28"/>
      <c r="Q348" s="20"/>
      <c r="R348" s="28"/>
      <c r="S348" s="20"/>
      <c r="T348" s="28"/>
      <c r="U348" s="13"/>
      <c r="V348" s="28"/>
      <c r="W348" s="13"/>
      <c r="X348" s="28"/>
      <c r="Y348" s="13"/>
      <c r="Z348" s="28"/>
      <c r="AA348" s="13"/>
      <c r="AB348" s="28"/>
      <c r="AC348" s="13"/>
      <c r="AD348" s="28"/>
      <c r="AE348" s="13"/>
      <c r="AF348" s="28"/>
      <c r="AG348" s="13"/>
      <c r="AH348" s="28"/>
      <c r="AI348" s="13"/>
      <c r="AJ348" s="28"/>
      <c r="AK348" s="13"/>
      <c r="AL348" s="28"/>
      <c r="AM348" s="13"/>
      <c r="AN348" s="28"/>
      <c r="AO348" s="13"/>
      <c r="AP348" s="28"/>
      <c r="AQ348" s="13"/>
      <c r="AR348" s="28"/>
      <c r="AS348" s="19">
        <f>SUM(H348,J348,L348,N348,P348,R348,T348,V348,X348,Z348,AB348,AD348,AF348,AH348,AJ348,AL348,AN348)</f>
        <v>0</v>
      </c>
      <c r="AT348" s="29" t="str">
        <f>IF(C348="","",DATE(YEAR(C348),MONTH(C348),1))</f>
        <v/>
      </c>
      <c r="AU348" s="28" t="str">
        <f>IF(AT348="","",TEXT(AT348,"mmmm yyyy"))</f>
        <v/>
      </c>
      <c r="AV348" s="29" t="str">
        <f>IF(C348="","",C348-WEEKDAY(C348,2)+1)</f>
        <v/>
      </c>
      <c r="AW348" s="29" t="str">
        <f>IF(AV348="","",AV348+6)</f>
        <v/>
      </c>
      <c r="AX348" s="28" t="str">
        <f>IF(AV348="","",TEXT(AV348,"dd/mm/yyyy")&amp;" - "&amp;TEXT(AW348,"dd/mm/yyyy"))</f>
        <v/>
      </c>
      <c r="AY348" s="28" t="str">
        <f>IF(B348="","",COUNTIFS($B$5:B348,B348,$AT$5:AT348,AT348))</f>
        <v/>
      </c>
      <c r="AZ348" s="28" t="str">
        <f>IF(B348="","",COUNTIFS($B$5:B348,B348,$AV$5:AV348,AV348))</f>
        <v/>
      </c>
      <c r="BA348" s="28" t="str">
        <f>IF(B348="","",TEXT(AY348,"00")&amp;"|"&amp;B348&amp;"|"&amp;TEXT(AT348,"yyyymmdd"))</f>
        <v/>
      </c>
      <c r="BB348" s="28" t="str">
        <f>IF(B348="","",TEXT(AZ348,"00")&amp;"|"&amp;B348&amp;"|"&amp;TEXT(AV348,"yyyymmdd"))</f>
        <v/>
      </c>
      <c r="BC348" s="28">
        <f>IF(OR(AQ348="YES",AQ348="Yes",AQ348="Y",AQ348=1),1,0)</f>
        <v>0</v>
      </c>
    </row>
    <row r="349" spans="1:55" ht="15" customHeight="1">
      <c r="A349" s="27"/>
      <c r="B349" s="28"/>
      <c r="C349" s="29"/>
      <c r="D349" s="30"/>
      <c r="E349" s="30"/>
      <c r="F349" s="28"/>
      <c r="G349" s="28"/>
      <c r="H349" s="28"/>
      <c r="I349" s="13"/>
      <c r="J349" s="28"/>
      <c r="K349" s="13"/>
      <c r="L349" s="28"/>
      <c r="M349" s="13"/>
      <c r="N349" s="28"/>
      <c r="O349" s="13"/>
      <c r="P349" s="28"/>
      <c r="Q349" s="20"/>
      <c r="R349" s="28"/>
      <c r="S349" s="20"/>
      <c r="T349" s="28"/>
      <c r="U349" s="13"/>
      <c r="V349" s="28"/>
      <c r="W349" s="13"/>
      <c r="X349" s="28"/>
      <c r="Y349" s="13"/>
      <c r="Z349" s="28"/>
      <c r="AA349" s="13"/>
      <c r="AB349" s="28"/>
      <c r="AC349" s="13"/>
      <c r="AD349" s="28"/>
      <c r="AE349" s="13"/>
      <c r="AF349" s="28"/>
      <c r="AG349" s="13"/>
      <c r="AH349" s="28"/>
      <c r="AI349" s="13"/>
      <c r="AJ349" s="28"/>
      <c r="AK349" s="13"/>
      <c r="AL349" s="28"/>
      <c r="AM349" s="13"/>
      <c r="AN349" s="28"/>
      <c r="AO349" s="13"/>
      <c r="AP349" s="28"/>
      <c r="AQ349" s="13"/>
      <c r="AR349" s="28"/>
      <c r="AS349" s="19">
        <f>SUM(H349,J349,L349,N349,P349,R349,T349,V349,X349,Z349,AB349,AD349,AF349,AH349,AJ349,AL349,AN349)</f>
        <v>0</v>
      </c>
      <c r="AT349" s="29" t="str">
        <f>IF(C349="","",DATE(YEAR(C349),MONTH(C349),1))</f>
        <v/>
      </c>
      <c r="AU349" s="28" t="str">
        <f>IF(AT349="","",TEXT(AT349,"mmmm yyyy"))</f>
        <v/>
      </c>
      <c r="AV349" s="29" t="str">
        <f>IF(C349="","",C349-WEEKDAY(C349,2)+1)</f>
        <v/>
      </c>
      <c r="AW349" s="29" t="str">
        <f>IF(AV349="","",AV349+6)</f>
        <v/>
      </c>
      <c r="AX349" s="28" t="str">
        <f>IF(AV349="","",TEXT(AV349,"dd/mm/yyyy")&amp;" - "&amp;TEXT(AW349,"dd/mm/yyyy"))</f>
        <v/>
      </c>
      <c r="AY349" s="28" t="str">
        <f>IF(B349="","",COUNTIFS($B$5:B349,B349,$AT$5:AT349,AT349))</f>
        <v/>
      </c>
      <c r="AZ349" s="28" t="str">
        <f>IF(B349="","",COUNTIFS($B$5:B349,B349,$AV$5:AV349,AV349))</f>
        <v/>
      </c>
      <c r="BA349" s="28" t="str">
        <f>IF(B349="","",TEXT(AY349,"00")&amp;"|"&amp;B349&amp;"|"&amp;TEXT(AT349,"yyyymmdd"))</f>
        <v/>
      </c>
      <c r="BB349" s="28" t="str">
        <f>IF(B349="","",TEXT(AZ349,"00")&amp;"|"&amp;B349&amp;"|"&amp;TEXT(AV349,"yyyymmdd"))</f>
        <v/>
      </c>
      <c r="BC349" s="28">
        <f>IF(OR(AQ349="YES",AQ349="Yes",AQ349="Y",AQ349=1),1,0)</f>
        <v>0</v>
      </c>
    </row>
    <row r="350" spans="1:55" ht="15" customHeight="1">
      <c r="A350" s="27"/>
      <c r="B350" s="28"/>
      <c r="C350" s="29"/>
      <c r="D350" s="30"/>
      <c r="E350" s="30"/>
      <c r="F350" s="28"/>
      <c r="G350" s="28"/>
      <c r="H350" s="28"/>
      <c r="I350" s="13"/>
      <c r="J350" s="28"/>
      <c r="K350" s="13"/>
      <c r="L350" s="28"/>
      <c r="M350" s="13"/>
      <c r="N350" s="28"/>
      <c r="O350" s="13"/>
      <c r="P350" s="28"/>
      <c r="Q350" s="20"/>
      <c r="R350" s="28"/>
      <c r="S350" s="20"/>
      <c r="T350" s="28"/>
      <c r="U350" s="13"/>
      <c r="V350" s="28"/>
      <c r="W350" s="13"/>
      <c r="X350" s="28"/>
      <c r="Y350" s="13"/>
      <c r="Z350" s="28"/>
      <c r="AA350" s="13"/>
      <c r="AB350" s="28"/>
      <c r="AC350" s="13"/>
      <c r="AD350" s="28"/>
      <c r="AE350" s="13"/>
      <c r="AF350" s="28"/>
      <c r="AG350" s="13"/>
      <c r="AH350" s="28"/>
      <c r="AI350" s="13"/>
      <c r="AJ350" s="28"/>
      <c r="AK350" s="13"/>
      <c r="AL350" s="28"/>
      <c r="AM350" s="13"/>
      <c r="AN350" s="28"/>
      <c r="AO350" s="13"/>
      <c r="AP350" s="28"/>
      <c r="AQ350" s="13"/>
      <c r="AR350" s="28"/>
      <c r="AS350" s="19">
        <f>SUM(H350,J350,L350,N350,P350,R350,T350,V350,X350,Z350,AB350,AD350,AF350,AH350,AJ350,AL350,AN350)</f>
        <v>0</v>
      </c>
      <c r="AT350" s="29" t="str">
        <f>IF(C350="","",DATE(YEAR(C350),MONTH(C350),1))</f>
        <v/>
      </c>
      <c r="AU350" s="28" t="str">
        <f>IF(AT350="","",TEXT(AT350,"mmmm yyyy"))</f>
        <v/>
      </c>
      <c r="AV350" s="29" t="str">
        <f>IF(C350="","",C350-WEEKDAY(C350,2)+1)</f>
        <v/>
      </c>
      <c r="AW350" s="29" t="str">
        <f>IF(AV350="","",AV350+6)</f>
        <v/>
      </c>
      <c r="AX350" s="28" t="str">
        <f>IF(AV350="","",TEXT(AV350,"dd/mm/yyyy")&amp;" - "&amp;TEXT(AW350,"dd/mm/yyyy"))</f>
        <v/>
      </c>
      <c r="AY350" s="28" t="str">
        <f>IF(B350="","",COUNTIFS($B$5:B350,B350,$AT$5:AT350,AT350))</f>
        <v/>
      </c>
      <c r="AZ350" s="28" t="str">
        <f>IF(B350="","",COUNTIFS($B$5:B350,B350,$AV$5:AV350,AV350))</f>
        <v/>
      </c>
      <c r="BA350" s="28" t="str">
        <f>IF(B350="","",TEXT(AY350,"00")&amp;"|"&amp;B350&amp;"|"&amp;TEXT(AT350,"yyyymmdd"))</f>
        <v/>
      </c>
      <c r="BB350" s="28" t="str">
        <f>IF(B350="","",TEXT(AZ350,"00")&amp;"|"&amp;B350&amp;"|"&amp;TEXT(AV350,"yyyymmdd"))</f>
        <v/>
      </c>
      <c r="BC350" s="28">
        <f>IF(OR(AQ350="YES",AQ350="Yes",AQ350="Y",AQ350=1),1,0)</f>
        <v>0</v>
      </c>
    </row>
    <row r="351" spans="1:55" ht="15" customHeight="1">
      <c r="A351" s="27"/>
      <c r="B351" s="28"/>
      <c r="C351" s="29"/>
      <c r="D351" s="30"/>
      <c r="E351" s="30"/>
      <c r="F351" s="28"/>
      <c r="G351" s="28"/>
      <c r="H351" s="28"/>
      <c r="I351" s="13"/>
      <c r="J351" s="28"/>
      <c r="K351" s="13"/>
      <c r="L351" s="28"/>
      <c r="M351" s="13"/>
      <c r="N351" s="28"/>
      <c r="O351" s="13"/>
      <c r="P351" s="28"/>
      <c r="Q351" s="20"/>
      <c r="R351" s="28"/>
      <c r="S351" s="20"/>
      <c r="T351" s="28"/>
      <c r="U351" s="13"/>
      <c r="V351" s="28"/>
      <c r="W351" s="13"/>
      <c r="X351" s="28"/>
      <c r="Y351" s="13"/>
      <c r="Z351" s="28"/>
      <c r="AA351" s="13"/>
      <c r="AB351" s="28"/>
      <c r="AC351" s="13"/>
      <c r="AD351" s="28"/>
      <c r="AE351" s="13"/>
      <c r="AF351" s="28"/>
      <c r="AG351" s="13"/>
      <c r="AH351" s="28"/>
      <c r="AI351" s="13"/>
      <c r="AJ351" s="28"/>
      <c r="AK351" s="13"/>
      <c r="AL351" s="28"/>
      <c r="AM351" s="13"/>
      <c r="AN351" s="28"/>
      <c r="AO351" s="13"/>
      <c r="AP351" s="28"/>
      <c r="AQ351" s="13"/>
      <c r="AR351" s="28"/>
      <c r="AS351" s="19">
        <f>SUM(H351,J351,L351,N351,P351,R351,T351,V351,X351,Z351,AB351,AD351,AF351,AH351,AJ351,AL351,AN351)</f>
        <v>0</v>
      </c>
      <c r="AT351" s="29" t="str">
        <f>IF(C351="","",DATE(YEAR(C351),MONTH(C351),1))</f>
        <v/>
      </c>
      <c r="AU351" s="28" t="str">
        <f>IF(AT351="","",TEXT(AT351,"mmmm yyyy"))</f>
        <v/>
      </c>
      <c r="AV351" s="29" t="str">
        <f>IF(C351="","",C351-WEEKDAY(C351,2)+1)</f>
        <v/>
      </c>
      <c r="AW351" s="29" t="str">
        <f>IF(AV351="","",AV351+6)</f>
        <v/>
      </c>
      <c r="AX351" s="28" t="str">
        <f>IF(AV351="","",TEXT(AV351,"dd/mm/yyyy")&amp;" - "&amp;TEXT(AW351,"dd/mm/yyyy"))</f>
        <v/>
      </c>
      <c r="AY351" s="28" t="str">
        <f>IF(B351="","",COUNTIFS($B$5:B351,B351,$AT$5:AT351,AT351))</f>
        <v/>
      </c>
      <c r="AZ351" s="28" t="str">
        <f>IF(B351="","",COUNTIFS($B$5:B351,B351,$AV$5:AV351,AV351))</f>
        <v/>
      </c>
      <c r="BA351" s="28" t="str">
        <f>IF(B351="","",TEXT(AY351,"00")&amp;"|"&amp;B351&amp;"|"&amp;TEXT(AT351,"yyyymmdd"))</f>
        <v/>
      </c>
      <c r="BB351" s="28" t="str">
        <f>IF(B351="","",TEXT(AZ351,"00")&amp;"|"&amp;B351&amp;"|"&amp;TEXT(AV351,"yyyymmdd"))</f>
        <v/>
      </c>
      <c r="BC351" s="28">
        <f>IF(OR(AQ351="YES",AQ351="Yes",AQ351="Y",AQ351=1),1,0)</f>
        <v>0</v>
      </c>
    </row>
    <row r="352" spans="1:55" ht="15" customHeight="1">
      <c r="A352" s="27"/>
      <c r="B352" s="28"/>
      <c r="C352" s="29"/>
      <c r="D352" s="30"/>
      <c r="E352" s="30"/>
      <c r="F352" s="28"/>
      <c r="G352" s="28"/>
      <c r="H352" s="28"/>
      <c r="I352" s="13"/>
      <c r="J352" s="28"/>
      <c r="K352" s="13"/>
      <c r="L352" s="28"/>
      <c r="M352" s="13"/>
      <c r="N352" s="28"/>
      <c r="O352" s="13"/>
      <c r="P352" s="28"/>
      <c r="Q352" s="20"/>
      <c r="R352" s="28"/>
      <c r="S352" s="20"/>
      <c r="T352" s="28"/>
      <c r="U352" s="13"/>
      <c r="V352" s="28"/>
      <c r="W352" s="13"/>
      <c r="X352" s="28"/>
      <c r="Y352" s="13"/>
      <c r="Z352" s="28"/>
      <c r="AA352" s="13"/>
      <c r="AB352" s="28"/>
      <c r="AC352" s="13"/>
      <c r="AD352" s="28"/>
      <c r="AE352" s="13"/>
      <c r="AF352" s="28"/>
      <c r="AG352" s="13"/>
      <c r="AH352" s="28"/>
      <c r="AI352" s="13"/>
      <c r="AJ352" s="28"/>
      <c r="AK352" s="13"/>
      <c r="AL352" s="28"/>
      <c r="AM352" s="13"/>
      <c r="AN352" s="28"/>
      <c r="AO352" s="13"/>
      <c r="AP352" s="28"/>
      <c r="AQ352" s="13"/>
      <c r="AR352" s="28"/>
      <c r="AS352" s="19">
        <f>SUM(H352,J352,L352,N352,P352,R352,T352,V352,X352,Z352,AB352,AD352,AF352,AH352,AJ352,AL352,AN352)</f>
        <v>0</v>
      </c>
      <c r="AT352" s="29" t="str">
        <f>IF(C352="","",DATE(YEAR(C352),MONTH(C352),1))</f>
        <v/>
      </c>
      <c r="AU352" s="28" t="str">
        <f>IF(AT352="","",TEXT(AT352,"mmmm yyyy"))</f>
        <v/>
      </c>
      <c r="AV352" s="29" t="str">
        <f>IF(C352="","",C352-WEEKDAY(C352,2)+1)</f>
        <v/>
      </c>
      <c r="AW352" s="29" t="str">
        <f>IF(AV352="","",AV352+6)</f>
        <v/>
      </c>
      <c r="AX352" s="28" t="str">
        <f>IF(AV352="","",TEXT(AV352,"dd/mm/yyyy")&amp;" - "&amp;TEXT(AW352,"dd/mm/yyyy"))</f>
        <v/>
      </c>
      <c r="AY352" s="28" t="str">
        <f>IF(B352="","",COUNTIFS($B$5:B352,B352,$AT$5:AT352,AT352))</f>
        <v/>
      </c>
      <c r="AZ352" s="28" t="str">
        <f>IF(B352="","",COUNTIFS($B$5:B352,B352,$AV$5:AV352,AV352))</f>
        <v/>
      </c>
      <c r="BA352" s="28" t="str">
        <f>IF(B352="","",TEXT(AY352,"00")&amp;"|"&amp;B352&amp;"|"&amp;TEXT(AT352,"yyyymmdd"))</f>
        <v/>
      </c>
      <c r="BB352" s="28" t="str">
        <f>IF(B352="","",TEXT(AZ352,"00")&amp;"|"&amp;B352&amp;"|"&amp;TEXT(AV352,"yyyymmdd"))</f>
        <v/>
      </c>
      <c r="BC352" s="28">
        <f>IF(OR(AQ352="YES",AQ352="Yes",AQ352="Y",AQ352=1),1,0)</f>
        <v>0</v>
      </c>
    </row>
    <row r="353" spans="1:55" ht="15" customHeight="1">
      <c r="A353" s="27"/>
      <c r="B353" s="28"/>
      <c r="C353" s="29"/>
      <c r="D353" s="30"/>
      <c r="E353" s="30"/>
      <c r="F353" s="28"/>
      <c r="G353" s="28"/>
      <c r="H353" s="28"/>
      <c r="I353" s="13"/>
      <c r="J353" s="28"/>
      <c r="K353" s="13"/>
      <c r="L353" s="28"/>
      <c r="M353" s="13"/>
      <c r="N353" s="28"/>
      <c r="O353" s="13"/>
      <c r="P353" s="28"/>
      <c r="Q353" s="20"/>
      <c r="R353" s="28"/>
      <c r="S353" s="20"/>
      <c r="T353" s="28"/>
      <c r="U353" s="13"/>
      <c r="V353" s="28"/>
      <c r="W353" s="13"/>
      <c r="X353" s="28"/>
      <c r="Y353" s="13"/>
      <c r="Z353" s="28"/>
      <c r="AA353" s="13"/>
      <c r="AB353" s="28"/>
      <c r="AC353" s="13"/>
      <c r="AD353" s="28"/>
      <c r="AE353" s="13"/>
      <c r="AF353" s="28"/>
      <c r="AG353" s="13"/>
      <c r="AH353" s="28"/>
      <c r="AI353" s="13"/>
      <c r="AJ353" s="28"/>
      <c r="AK353" s="13"/>
      <c r="AL353" s="28"/>
      <c r="AM353" s="13"/>
      <c r="AN353" s="28"/>
      <c r="AO353" s="13"/>
      <c r="AP353" s="28"/>
      <c r="AQ353" s="13"/>
      <c r="AR353" s="28"/>
      <c r="AS353" s="19">
        <f>SUM(H353,J353,L353,N353,P353,R353,T353,V353,X353,Z353,AB353,AD353,AF353,AH353,AJ353,AL353,AN353)</f>
        <v>0</v>
      </c>
      <c r="AT353" s="29" t="str">
        <f>IF(C353="","",DATE(YEAR(C353),MONTH(C353),1))</f>
        <v/>
      </c>
      <c r="AU353" s="28" t="str">
        <f>IF(AT353="","",TEXT(AT353,"mmmm yyyy"))</f>
        <v/>
      </c>
      <c r="AV353" s="29" t="str">
        <f>IF(C353="","",C353-WEEKDAY(C353,2)+1)</f>
        <v/>
      </c>
      <c r="AW353" s="29" t="str">
        <f>IF(AV353="","",AV353+6)</f>
        <v/>
      </c>
      <c r="AX353" s="28" t="str">
        <f>IF(AV353="","",TEXT(AV353,"dd/mm/yyyy")&amp;" - "&amp;TEXT(AW353,"dd/mm/yyyy"))</f>
        <v/>
      </c>
      <c r="AY353" s="28" t="str">
        <f>IF(B353="","",COUNTIFS($B$5:B353,B353,$AT$5:AT353,AT353))</f>
        <v/>
      </c>
      <c r="AZ353" s="28" t="str">
        <f>IF(B353="","",COUNTIFS($B$5:B353,B353,$AV$5:AV353,AV353))</f>
        <v/>
      </c>
      <c r="BA353" s="28" t="str">
        <f>IF(B353="","",TEXT(AY353,"00")&amp;"|"&amp;B353&amp;"|"&amp;TEXT(AT353,"yyyymmdd"))</f>
        <v/>
      </c>
      <c r="BB353" s="28" t="str">
        <f>IF(B353="","",TEXT(AZ353,"00")&amp;"|"&amp;B353&amp;"|"&amp;TEXT(AV353,"yyyymmdd"))</f>
        <v/>
      </c>
      <c r="BC353" s="28">
        <f>IF(OR(AQ353="YES",AQ353="Yes",AQ353="Y",AQ353=1),1,0)</f>
        <v>0</v>
      </c>
    </row>
    <row r="354" spans="1:55" ht="15" customHeight="1">
      <c r="A354" s="27"/>
      <c r="B354" s="28"/>
      <c r="C354" s="29"/>
      <c r="D354" s="30"/>
      <c r="E354" s="30"/>
      <c r="F354" s="28"/>
      <c r="G354" s="28"/>
      <c r="H354" s="28"/>
      <c r="I354" s="13"/>
      <c r="J354" s="28"/>
      <c r="K354" s="13"/>
      <c r="L354" s="28"/>
      <c r="M354" s="13"/>
      <c r="N354" s="28"/>
      <c r="O354" s="13"/>
      <c r="P354" s="28"/>
      <c r="Q354" s="20"/>
      <c r="R354" s="28"/>
      <c r="S354" s="20"/>
      <c r="T354" s="28"/>
      <c r="U354" s="13"/>
      <c r="V354" s="28"/>
      <c r="W354" s="13"/>
      <c r="X354" s="28"/>
      <c r="Y354" s="13"/>
      <c r="Z354" s="28"/>
      <c r="AA354" s="13"/>
      <c r="AB354" s="28"/>
      <c r="AC354" s="13"/>
      <c r="AD354" s="28"/>
      <c r="AE354" s="13"/>
      <c r="AF354" s="28"/>
      <c r="AG354" s="13"/>
      <c r="AH354" s="28"/>
      <c r="AI354" s="13"/>
      <c r="AJ354" s="28"/>
      <c r="AK354" s="13"/>
      <c r="AL354" s="28"/>
      <c r="AM354" s="13"/>
      <c r="AN354" s="28"/>
      <c r="AO354" s="13"/>
      <c r="AP354" s="28"/>
      <c r="AQ354" s="13"/>
      <c r="AR354" s="28"/>
      <c r="AS354" s="19">
        <f>SUM(H354,J354,L354,N354,P354,R354,T354,V354,X354,Z354,AB354,AD354,AF354,AH354,AJ354,AL354,AN354)</f>
        <v>0</v>
      </c>
      <c r="AT354" s="29" t="str">
        <f>IF(C354="","",DATE(YEAR(C354),MONTH(C354),1))</f>
        <v/>
      </c>
      <c r="AU354" s="28" t="str">
        <f>IF(AT354="","",TEXT(AT354,"mmmm yyyy"))</f>
        <v/>
      </c>
      <c r="AV354" s="29" t="str">
        <f>IF(C354="","",C354-WEEKDAY(C354,2)+1)</f>
        <v/>
      </c>
      <c r="AW354" s="29" t="str">
        <f>IF(AV354="","",AV354+6)</f>
        <v/>
      </c>
      <c r="AX354" s="28" t="str">
        <f>IF(AV354="","",TEXT(AV354,"dd/mm/yyyy")&amp;" - "&amp;TEXT(AW354,"dd/mm/yyyy"))</f>
        <v/>
      </c>
      <c r="AY354" s="28" t="str">
        <f>IF(B354="","",COUNTIFS($B$5:B354,B354,$AT$5:AT354,AT354))</f>
        <v/>
      </c>
      <c r="AZ354" s="28" t="str">
        <f>IF(B354="","",COUNTIFS($B$5:B354,B354,$AV$5:AV354,AV354))</f>
        <v/>
      </c>
      <c r="BA354" s="28" t="str">
        <f>IF(B354="","",TEXT(AY354,"00")&amp;"|"&amp;B354&amp;"|"&amp;TEXT(AT354,"yyyymmdd"))</f>
        <v/>
      </c>
      <c r="BB354" s="28" t="str">
        <f>IF(B354="","",TEXT(AZ354,"00")&amp;"|"&amp;B354&amp;"|"&amp;TEXT(AV354,"yyyymmdd"))</f>
        <v/>
      </c>
      <c r="BC354" s="28">
        <f>IF(OR(AQ354="YES",AQ354="Yes",AQ354="Y",AQ354=1),1,0)</f>
        <v>0</v>
      </c>
    </row>
    <row r="355" spans="1:55" ht="15" customHeight="1">
      <c r="A355" s="27"/>
      <c r="B355" s="28"/>
      <c r="C355" s="29"/>
      <c r="D355" s="30"/>
      <c r="E355" s="30"/>
      <c r="F355" s="28"/>
      <c r="G355" s="28"/>
      <c r="H355" s="28"/>
      <c r="I355" s="13"/>
      <c r="J355" s="28"/>
      <c r="K355" s="13"/>
      <c r="L355" s="28"/>
      <c r="M355" s="13"/>
      <c r="N355" s="28"/>
      <c r="O355" s="13"/>
      <c r="P355" s="28"/>
      <c r="Q355" s="20"/>
      <c r="R355" s="28"/>
      <c r="S355" s="20"/>
      <c r="T355" s="28"/>
      <c r="U355" s="13"/>
      <c r="V355" s="28"/>
      <c r="W355" s="13"/>
      <c r="X355" s="28"/>
      <c r="Y355" s="13"/>
      <c r="Z355" s="28"/>
      <c r="AA355" s="13"/>
      <c r="AB355" s="28"/>
      <c r="AC355" s="13"/>
      <c r="AD355" s="28"/>
      <c r="AE355" s="13"/>
      <c r="AF355" s="28"/>
      <c r="AG355" s="13"/>
      <c r="AH355" s="28"/>
      <c r="AI355" s="13"/>
      <c r="AJ355" s="28"/>
      <c r="AK355" s="13"/>
      <c r="AL355" s="28"/>
      <c r="AM355" s="13"/>
      <c r="AN355" s="28"/>
      <c r="AO355" s="13"/>
      <c r="AP355" s="28"/>
      <c r="AQ355" s="13"/>
      <c r="AR355" s="28"/>
      <c r="AS355" s="19">
        <f>SUM(H355,J355,L355,N355,P355,R355,T355,V355,X355,Z355,AB355,AD355,AF355,AH355,AJ355,AL355,AN355)</f>
        <v>0</v>
      </c>
      <c r="AT355" s="29" t="str">
        <f>IF(C355="","",DATE(YEAR(C355),MONTH(C355),1))</f>
        <v/>
      </c>
      <c r="AU355" s="28" t="str">
        <f>IF(AT355="","",TEXT(AT355,"mmmm yyyy"))</f>
        <v/>
      </c>
      <c r="AV355" s="29" t="str">
        <f>IF(C355="","",C355-WEEKDAY(C355,2)+1)</f>
        <v/>
      </c>
      <c r="AW355" s="29" t="str">
        <f>IF(AV355="","",AV355+6)</f>
        <v/>
      </c>
      <c r="AX355" s="28" t="str">
        <f>IF(AV355="","",TEXT(AV355,"dd/mm/yyyy")&amp;" - "&amp;TEXT(AW355,"dd/mm/yyyy"))</f>
        <v/>
      </c>
      <c r="AY355" s="28" t="str">
        <f>IF(B355="","",COUNTIFS($B$5:B355,B355,$AT$5:AT355,AT355))</f>
        <v/>
      </c>
      <c r="AZ355" s="28" t="str">
        <f>IF(B355="","",COUNTIFS($B$5:B355,B355,$AV$5:AV355,AV355))</f>
        <v/>
      </c>
      <c r="BA355" s="28" t="str">
        <f>IF(B355="","",TEXT(AY355,"00")&amp;"|"&amp;B355&amp;"|"&amp;TEXT(AT355,"yyyymmdd"))</f>
        <v/>
      </c>
      <c r="BB355" s="28" t="str">
        <f>IF(B355="","",TEXT(AZ355,"00")&amp;"|"&amp;B355&amp;"|"&amp;TEXT(AV355,"yyyymmdd"))</f>
        <v/>
      </c>
      <c r="BC355" s="28">
        <f>IF(OR(AQ355="YES",AQ355="Yes",AQ355="Y",AQ355=1),1,0)</f>
        <v>0</v>
      </c>
    </row>
    <row r="356" spans="1:55" ht="15" customHeight="1">
      <c r="A356" s="27"/>
      <c r="B356" s="28"/>
      <c r="C356" s="29"/>
      <c r="D356" s="30"/>
      <c r="E356" s="30"/>
      <c r="F356" s="28"/>
      <c r="G356" s="28"/>
      <c r="H356" s="28"/>
      <c r="I356" s="13"/>
      <c r="J356" s="28"/>
      <c r="K356" s="13"/>
      <c r="L356" s="28"/>
      <c r="M356" s="13"/>
      <c r="N356" s="28"/>
      <c r="O356" s="13"/>
      <c r="P356" s="28"/>
      <c r="Q356" s="20"/>
      <c r="R356" s="28"/>
      <c r="S356" s="20"/>
      <c r="T356" s="28"/>
      <c r="U356" s="13"/>
      <c r="V356" s="28"/>
      <c r="W356" s="13"/>
      <c r="X356" s="28"/>
      <c r="Y356" s="13"/>
      <c r="Z356" s="28"/>
      <c r="AA356" s="13"/>
      <c r="AB356" s="28"/>
      <c r="AC356" s="13"/>
      <c r="AD356" s="28"/>
      <c r="AE356" s="13"/>
      <c r="AF356" s="28"/>
      <c r="AG356" s="13"/>
      <c r="AH356" s="28"/>
      <c r="AI356" s="13"/>
      <c r="AJ356" s="28"/>
      <c r="AK356" s="13"/>
      <c r="AL356" s="28"/>
      <c r="AM356" s="13"/>
      <c r="AN356" s="28"/>
      <c r="AO356" s="13"/>
      <c r="AP356" s="28"/>
      <c r="AQ356" s="13"/>
      <c r="AR356" s="28"/>
      <c r="AS356" s="19">
        <f>SUM(H356,J356,L356,N356,P356,R356,T356,V356,X356,Z356,AB356,AD356,AF356,AH356,AJ356,AL356,AN356)</f>
        <v>0</v>
      </c>
      <c r="AT356" s="29" t="str">
        <f>IF(C356="","",DATE(YEAR(C356),MONTH(C356),1))</f>
        <v/>
      </c>
      <c r="AU356" s="28" t="str">
        <f>IF(AT356="","",TEXT(AT356,"mmmm yyyy"))</f>
        <v/>
      </c>
      <c r="AV356" s="29" t="str">
        <f>IF(C356="","",C356-WEEKDAY(C356,2)+1)</f>
        <v/>
      </c>
      <c r="AW356" s="29" t="str">
        <f>IF(AV356="","",AV356+6)</f>
        <v/>
      </c>
      <c r="AX356" s="28" t="str">
        <f>IF(AV356="","",TEXT(AV356,"dd/mm/yyyy")&amp;" - "&amp;TEXT(AW356,"dd/mm/yyyy"))</f>
        <v/>
      </c>
      <c r="AY356" s="28" t="str">
        <f>IF(B356="","",COUNTIFS($B$5:B356,B356,$AT$5:AT356,AT356))</f>
        <v/>
      </c>
      <c r="AZ356" s="28" t="str">
        <f>IF(B356="","",COUNTIFS($B$5:B356,B356,$AV$5:AV356,AV356))</f>
        <v/>
      </c>
      <c r="BA356" s="28" t="str">
        <f>IF(B356="","",TEXT(AY356,"00")&amp;"|"&amp;B356&amp;"|"&amp;TEXT(AT356,"yyyymmdd"))</f>
        <v/>
      </c>
      <c r="BB356" s="28" t="str">
        <f>IF(B356="","",TEXT(AZ356,"00")&amp;"|"&amp;B356&amp;"|"&amp;TEXT(AV356,"yyyymmdd"))</f>
        <v/>
      </c>
      <c r="BC356" s="28">
        <f>IF(OR(AQ356="YES",AQ356="Yes",AQ356="Y",AQ356=1),1,0)</f>
        <v>0</v>
      </c>
    </row>
    <row r="357" spans="1:55" ht="15" customHeight="1">
      <c r="A357" s="27"/>
      <c r="B357" s="28"/>
      <c r="C357" s="29"/>
      <c r="D357" s="30"/>
      <c r="E357" s="30"/>
      <c r="F357" s="28"/>
      <c r="G357" s="28"/>
      <c r="H357" s="28"/>
      <c r="I357" s="13"/>
      <c r="J357" s="28"/>
      <c r="K357" s="13"/>
      <c r="L357" s="28"/>
      <c r="M357" s="13"/>
      <c r="N357" s="28"/>
      <c r="O357" s="13"/>
      <c r="P357" s="28"/>
      <c r="Q357" s="20"/>
      <c r="R357" s="28"/>
      <c r="S357" s="20"/>
      <c r="T357" s="28"/>
      <c r="U357" s="13"/>
      <c r="V357" s="28"/>
      <c r="W357" s="13"/>
      <c r="X357" s="28"/>
      <c r="Y357" s="13"/>
      <c r="Z357" s="28"/>
      <c r="AA357" s="13"/>
      <c r="AB357" s="28"/>
      <c r="AC357" s="13"/>
      <c r="AD357" s="28"/>
      <c r="AE357" s="13"/>
      <c r="AF357" s="28"/>
      <c r="AG357" s="13"/>
      <c r="AH357" s="28"/>
      <c r="AI357" s="13"/>
      <c r="AJ357" s="28"/>
      <c r="AK357" s="13"/>
      <c r="AL357" s="28"/>
      <c r="AM357" s="13"/>
      <c r="AN357" s="28"/>
      <c r="AO357" s="13"/>
      <c r="AP357" s="28"/>
      <c r="AQ357" s="13"/>
      <c r="AR357" s="28"/>
      <c r="AS357" s="19">
        <f>SUM(H357,J357,L357,N357,P357,R357,T357,V357,X357,Z357,AB357,AD357,AF357,AH357,AJ357,AL357,AN357)</f>
        <v>0</v>
      </c>
      <c r="AT357" s="29" t="str">
        <f>IF(C357="","",DATE(YEAR(C357),MONTH(C357),1))</f>
        <v/>
      </c>
      <c r="AU357" s="28" t="str">
        <f>IF(AT357="","",TEXT(AT357,"mmmm yyyy"))</f>
        <v/>
      </c>
      <c r="AV357" s="29" t="str">
        <f>IF(C357="","",C357-WEEKDAY(C357,2)+1)</f>
        <v/>
      </c>
      <c r="AW357" s="29" t="str">
        <f>IF(AV357="","",AV357+6)</f>
        <v/>
      </c>
      <c r="AX357" s="28" t="str">
        <f>IF(AV357="","",TEXT(AV357,"dd/mm/yyyy")&amp;" - "&amp;TEXT(AW357,"dd/mm/yyyy"))</f>
        <v/>
      </c>
      <c r="AY357" s="28" t="str">
        <f>IF(B357="","",COUNTIFS($B$5:B357,B357,$AT$5:AT357,AT357))</f>
        <v/>
      </c>
      <c r="AZ357" s="28" t="str">
        <f>IF(B357="","",COUNTIFS($B$5:B357,B357,$AV$5:AV357,AV357))</f>
        <v/>
      </c>
      <c r="BA357" s="28" t="str">
        <f>IF(B357="","",TEXT(AY357,"00")&amp;"|"&amp;B357&amp;"|"&amp;TEXT(AT357,"yyyymmdd"))</f>
        <v/>
      </c>
      <c r="BB357" s="28" t="str">
        <f>IF(B357="","",TEXT(AZ357,"00")&amp;"|"&amp;B357&amp;"|"&amp;TEXT(AV357,"yyyymmdd"))</f>
        <v/>
      </c>
      <c r="BC357" s="28">
        <f>IF(OR(AQ357="YES",AQ357="Yes",AQ357="Y",AQ357=1),1,0)</f>
        <v>0</v>
      </c>
    </row>
    <row r="358" spans="1:55" ht="15" customHeight="1">
      <c r="A358" s="27"/>
      <c r="B358" s="28"/>
      <c r="C358" s="29"/>
      <c r="D358" s="30"/>
      <c r="E358" s="30"/>
      <c r="F358" s="28"/>
      <c r="G358" s="28"/>
      <c r="H358" s="28"/>
      <c r="I358" s="13"/>
      <c r="J358" s="28"/>
      <c r="K358" s="13"/>
      <c r="L358" s="28"/>
      <c r="M358" s="13"/>
      <c r="N358" s="28"/>
      <c r="O358" s="13"/>
      <c r="P358" s="28"/>
      <c r="Q358" s="20"/>
      <c r="R358" s="28"/>
      <c r="S358" s="20"/>
      <c r="T358" s="28"/>
      <c r="U358" s="13"/>
      <c r="V358" s="28"/>
      <c r="W358" s="13"/>
      <c r="X358" s="28"/>
      <c r="Y358" s="13"/>
      <c r="Z358" s="28"/>
      <c r="AA358" s="13"/>
      <c r="AB358" s="28"/>
      <c r="AC358" s="13"/>
      <c r="AD358" s="28"/>
      <c r="AE358" s="13"/>
      <c r="AF358" s="28"/>
      <c r="AG358" s="13"/>
      <c r="AH358" s="28"/>
      <c r="AI358" s="13"/>
      <c r="AJ358" s="28"/>
      <c r="AK358" s="13"/>
      <c r="AL358" s="28"/>
      <c r="AM358" s="13"/>
      <c r="AN358" s="28"/>
      <c r="AO358" s="13"/>
      <c r="AP358" s="28"/>
      <c r="AQ358" s="13"/>
      <c r="AR358" s="28"/>
      <c r="AS358" s="19">
        <f>SUM(H358,J358,L358,N358,P358,R358,T358,V358,X358,Z358,AB358,AD358,AF358,AH358,AJ358,AL358,AN358)</f>
        <v>0</v>
      </c>
      <c r="AT358" s="29" t="str">
        <f>IF(C358="","",DATE(YEAR(C358),MONTH(C358),1))</f>
        <v/>
      </c>
      <c r="AU358" s="28" t="str">
        <f>IF(AT358="","",TEXT(AT358,"mmmm yyyy"))</f>
        <v/>
      </c>
      <c r="AV358" s="29" t="str">
        <f>IF(C358="","",C358-WEEKDAY(C358,2)+1)</f>
        <v/>
      </c>
      <c r="AW358" s="29" t="str">
        <f>IF(AV358="","",AV358+6)</f>
        <v/>
      </c>
      <c r="AX358" s="28" t="str">
        <f>IF(AV358="","",TEXT(AV358,"dd/mm/yyyy")&amp;" - "&amp;TEXT(AW358,"dd/mm/yyyy"))</f>
        <v/>
      </c>
      <c r="AY358" s="28" t="str">
        <f>IF(B358="","",COUNTIFS($B$5:B358,B358,$AT$5:AT358,AT358))</f>
        <v/>
      </c>
      <c r="AZ358" s="28" t="str">
        <f>IF(B358="","",COUNTIFS($B$5:B358,B358,$AV$5:AV358,AV358))</f>
        <v/>
      </c>
      <c r="BA358" s="28" t="str">
        <f>IF(B358="","",TEXT(AY358,"00")&amp;"|"&amp;B358&amp;"|"&amp;TEXT(AT358,"yyyymmdd"))</f>
        <v/>
      </c>
      <c r="BB358" s="28" t="str">
        <f>IF(B358="","",TEXT(AZ358,"00")&amp;"|"&amp;B358&amp;"|"&amp;TEXT(AV358,"yyyymmdd"))</f>
        <v/>
      </c>
      <c r="BC358" s="28">
        <f>IF(OR(AQ358="YES",AQ358="Yes",AQ358="Y",AQ358=1),1,0)</f>
        <v>0</v>
      </c>
    </row>
    <row r="359" spans="1:55" ht="15" customHeight="1">
      <c r="A359" s="27"/>
      <c r="B359" s="28"/>
      <c r="C359" s="29"/>
      <c r="D359" s="30"/>
      <c r="E359" s="30"/>
      <c r="F359" s="28"/>
      <c r="G359" s="28"/>
      <c r="H359" s="28"/>
      <c r="I359" s="13"/>
      <c r="J359" s="28"/>
      <c r="K359" s="13"/>
      <c r="L359" s="28"/>
      <c r="M359" s="13"/>
      <c r="N359" s="28"/>
      <c r="O359" s="13"/>
      <c r="P359" s="28"/>
      <c r="Q359" s="20"/>
      <c r="R359" s="28"/>
      <c r="S359" s="20"/>
      <c r="T359" s="28"/>
      <c r="U359" s="13"/>
      <c r="V359" s="28"/>
      <c r="W359" s="13"/>
      <c r="X359" s="28"/>
      <c r="Y359" s="13"/>
      <c r="Z359" s="28"/>
      <c r="AA359" s="13"/>
      <c r="AB359" s="28"/>
      <c r="AC359" s="13"/>
      <c r="AD359" s="28"/>
      <c r="AE359" s="13"/>
      <c r="AF359" s="28"/>
      <c r="AG359" s="13"/>
      <c r="AH359" s="28"/>
      <c r="AI359" s="13"/>
      <c r="AJ359" s="28"/>
      <c r="AK359" s="13"/>
      <c r="AL359" s="28"/>
      <c r="AM359" s="13"/>
      <c r="AN359" s="28"/>
      <c r="AO359" s="13"/>
      <c r="AP359" s="28"/>
      <c r="AQ359" s="13"/>
      <c r="AR359" s="28"/>
      <c r="AS359" s="19">
        <f>SUM(H359,J359,L359,N359,P359,R359,T359,V359,X359,Z359,AB359,AD359,AF359,AH359,AJ359,AL359,AN359)</f>
        <v>0</v>
      </c>
      <c r="AT359" s="29" t="str">
        <f>IF(C359="","",DATE(YEAR(C359),MONTH(C359),1))</f>
        <v/>
      </c>
      <c r="AU359" s="28" t="str">
        <f>IF(AT359="","",TEXT(AT359,"mmmm yyyy"))</f>
        <v/>
      </c>
      <c r="AV359" s="29" t="str">
        <f>IF(C359="","",C359-WEEKDAY(C359,2)+1)</f>
        <v/>
      </c>
      <c r="AW359" s="29" t="str">
        <f>IF(AV359="","",AV359+6)</f>
        <v/>
      </c>
      <c r="AX359" s="28" t="str">
        <f>IF(AV359="","",TEXT(AV359,"dd/mm/yyyy")&amp;" - "&amp;TEXT(AW359,"dd/mm/yyyy"))</f>
        <v/>
      </c>
      <c r="AY359" s="28" t="str">
        <f>IF(B359="","",COUNTIFS($B$5:B359,B359,$AT$5:AT359,AT359))</f>
        <v/>
      </c>
      <c r="AZ359" s="28" t="str">
        <f>IF(B359="","",COUNTIFS($B$5:B359,B359,$AV$5:AV359,AV359))</f>
        <v/>
      </c>
      <c r="BA359" s="28" t="str">
        <f>IF(B359="","",TEXT(AY359,"00")&amp;"|"&amp;B359&amp;"|"&amp;TEXT(AT359,"yyyymmdd"))</f>
        <v/>
      </c>
      <c r="BB359" s="28" t="str">
        <f>IF(B359="","",TEXT(AZ359,"00")&amp;"|"&amp;B359&amp;"|"&amp;TEXT(AV359,"yyyymmdd"))</f>
        <v/>
      </c>
      <c r="BC359" s="28">
        <f>IF(OR(AQ359="YES",AQ359="Yes",AQ359="Y",AQ359=1),1,0)</f>
        <v>0</v>
      </c>
    </row>
    <row r="360" spans="1:55" ht="15" customHeight="1">
      <c r="A360" s="27"/>
      <c r="B360" s="28"/>
      <c r="C360" s="29"/>
      <c r="D360" s="30"/>
      <c r="E360" s="30"/>
      <c r="F360" s="28"/>
      <c r="G360" s="28"/>
      <c r="H360" s="28"/>
      <c r="I360" s="13"/>
      <c r="J360" s="28"/>
      <c r="K360" s="13"/>
      <c r="L360" s="28"/>
      <c r="M360" s="13"/>
      <c r="N360" s="28"/>
      <c r="O360" s="13"/>
      <c r="P360" s="28"/>
      <c r="Q360" s="20"/>
      <c r="R360" s="28"/>
      <c r="S360" s="20"/>
      <c r="T360" s="28"/>
      <c r="U360" s="13"/>
      <c r="V360" s="28"/>
      <c r="W360" s="13"/>
      <c r="X360" s="28"/>
      <c r="Y360" s="13"/>
      <c r="Z360" s="28"/>
      <c r="AA360" s="13"/>
      <c r="AB360" s="28"/>
      <c r="AC360" s="13"/>
      <c r="AD360" s="28"/>
      <c r="AE360" s="13"/>
      <c r="AF360" s="28"/>
      <c r="AG360" s="13"/>
      <c r="AH360" s="28"/>
      <c r="AI360" s="13"/>
      <c r="AJ360" s="28"/>
      <c r="AK360" s="13"/>
      <c r="AL360" s="28"/>
      <c r="AM360" s="13"/>
      <c r="AN360" s="28"/>
      <c r="AO360" s="13"/>
      <c r="AP360" s="28"/>
      <c r="AQ360" s="13"/>
      <c r="AR360" s="28"/>
      <c r="AS360" s="19">
        <f>SUM(H360,J360,L360,N360,P360,R360,T360,V360,X360,Z360,AB360,AD360,AF360,AH360,AJ360,AL360,AN360)</f>
        <v>0</v>
      </c>
      <c r="AT360" s="29" t="str">
        <f>IF(C360="","",DATE(YEAR(C360),MONTH(C360),1))</f>
        <v/>
      </c>
      <c r="AU360" s="28" t="str">
        <f>IF(AT360="","",TEXT(AT360,"mmmm yyyy"))</f>
        <v/>
      </c>
      <c r="AV360" s="29" t="str">
        <f>IF(C360="","",C360-WEEKDAY(C360,2)+1)</f>
        <v/>
      </c>
      <c r="AW360" s="29" t="str">
        <f>IF(AV360="","",AV360+6)</f>
        <v/>
      </c>
      <c r="AX360" s="28" t="str">
        <f>IF(AV360="","",TEXT(AV360,"dd/mm/yyyy")&amp;" - "&amp;TEXT(AW360,"dd/mm/yyyy"))</f>
        <v/>
      </c>
      <c r="AY360" s="28" t="str">
        <f>IF(B360="","",COUNTIFS($B$5:B360,B360,$AT$5:AT360,AT360))</f>
        <v/>
      </c>
      <c r="AZ360" s="28" t="str">
        <f>IF(B360="","",COUNTIFS($B$5:B360,B360,$AV$5:AV360,AV360))</f>
        <v/>
      </c>
      <c r="BA360" s="28" t="str">
        <f>IF(B360="","",TEXT(AY360,"00")&amp;"|"&amp;B360&amp;"|"&amp;TEXT(AT360,"yyyymmdd"))</f>
        <v/>
      </c>
      <c r="BB360" s="28" t="str">
        <f>IF(B360="","",TEXT(AZ360,"00")&amp;"|"&amp;B360&amp;"|"&amp;TEXT(AV360,"yyyymmdd"))</f>
        <v/>
      </c>
      <c r="BC360" s="28">
        <f>IF(OR(AQ360="YES",AQ360="Yes",AQ360="Y",AQ360=1),1,0)</f>
        <v>0</v>
      </c>
    </row>
    <row r="361" spans="1:55" ht="15" customHeight="1">
      <c r="A361" s="27"/>
      <c r="B361" s="28"/>
      <c r="C361" s="29"/>
      <c r="D361" s="30"/>
      <c r="E361" s="30"/>
      <c r="F361" s="28"/>
      <c r="G361" s="28"/>
      <c r="H361" s="28"/>
      <c r="I361" s="13"/>
      <c r="J361" s="28"/>
      <c r="K361" s="13"/>
      <c r="L361" s="28"/>
      <c r="M361" s="13"/>
      <c r="N361" s="28"/>
      <c r="O361" s="13"/>
      <c r="P361" s="28"/>
      <c r="Q361" s="20"/>
      <c r="R361" s="28"/>
      <c r="S361" s="20"/>
      <c r="T361" s="28"/>
      <c r="U361" s="13"/>
      <c r="V361" s="28"/>
      <c r="W361" s="13"/>
      <c r="X361" s="28"/>
      <c r="Y361" s="13"/>
      <c r="Z361" s="28"/>
      <c r="AA361" s="13"/>
      <c r="AB361" s="28"/>
      <c r="AC361" s="13"/>
      <c r="AD361" s="28"/>
      <c r="AE361" s="13"/>
      <c r="AF361" s="28"/>
      <c r="AG361" s="13"/>
      <c r="AH361" s="28"/>
      <c r="AI361" s="13"/>
      <c r="AJ361" s="28"/>
      <c r="AK361" s="13"/>
      <c r="AL361" s="28"/>
      <c r="AM361" s="13"/>
      <c r="AN361" s="28"/>
      <c r="AO361" s="13"/>
      <c r="AP361" s="28"/>
      <c r="AQ361" s="13"/>
      <c r="AR361" s="28"/>
      <c r="AS361" s="19">
        <f>SUM(H361,J361,L361,N361,P361,R361,T361,V361,X361,Z361,AB361,AD361,AF361,AH361,AJ361,AL361,AN361)</f>
        <v>0</v>
      </c>
      <c r="AT361" s="29" t="str">
        <f>IF(C361="","",DATE(YEAR(C361),MONTH(C361),1))</f>
        <v/>
      </c>
      <c r="AU361" s="28" t="str">
        <f>IF(AT361="","",TEXT(AT361,"mmmm yyyy"))</f>
        <v/>
      </c>
      <c r="AV361" s="29" t="str">
        <f>IF(C361="","",C361-WEEKDAY(C361,2)+1)</f>
        <v/>
      </c>
      <c r="AW361" s="29" t="str">
        <f>IF(AV361="","",AV361+6)</f>
        <v/>
      </c>
      <c r="AX361" s="28" t="str">
        <f>IF(AV361="","",TEXT(AV361,"dd/mm/yyyy")&amp;" - "&amp;TEXT(AW361,"dd/mm/yyyy"))</f>
        <v/>
      </c>
      <c r="AY361" s="28" t="str">
        <f>IF(B361="","",COUNTIFS($B$5:B361,B361,$AT$5:AT361,AT361))</f>
        <v/>
      </c>
      <c r="AZ361" s="28" t="str">
        <f>IF(B361="","",COUNTIFS($B$5:B361,B361,$AV$5:AV361,AV361))</f>
        <v/>
      </c>
      <c r="BA361" s="28" t="str">
        <f>IF(B361="","",TEXT(AY361,"00")&amp;"|"&amp;B361&amp;"|"&amp;TEXT(AT361,"yyyymmdd"))</f>
        <v/>
      </c>
      <c r="BB361" s="28" t="str">
        <f>IF(B361="","",TEXT(AZ361,"00")&amp;"|"&amp;B361&amp;"|"&amp;TEXT(AV361,"yyyymmdd"))</f>
        <v/>
      </c>
      <c r="BC361" s="28">
        <f>IF(OR(AQ361="YES",AQ361="Yes",AQ361="Y",AQ361=1),1,0)</f>
        <v>0</v>
      </c>
    </row>
    <row r="362" spans="1:55" ht="15" customHeight="1">
      <c r="A362" s="27"/>
      <c r="B362" s="28"/>
      <c r="C362" s="29"/>
      <c r="D362" s="30"/>
      <c r="E362" s="30"/>
      <c r="F362" s="28"/>
      <c r="G362" s="28"/>
      <c r="H362" s="28"/>
      <c r="I362" s="13"/>
      <c r="J362" s="28"/>
      <c r="K362" s="13"/>
      <c r="L362" s="28"/>
      <c r="M362" s="13"/>
      <c r="N362" s="28"/>
      <c r="O362" s="13"/>
      <c r="P362" s="28"/>
      <c r="Q362" s="20"/>
      <c r="R362" s="28"/>
      <c r="S362" s="20"/>
      <c r="T362" s="28"/>
      <c r="U362" s="13"/>
      <c r="V362" s="28"/>
      <c r="W362" s="13"/>
      <c r="X362" s="28"/>
      <c r="Y362" s="13"/>
      <c r="Z362" s="28"/>
      <c r="AA362" s="13"/>
      <c r="AB362" s="28"/>
      <c r="AC362" s="13"/>
      <c r="AD362" s="28"/>
      <c r="AE362" s="13"/>
      <c r="AF362" s="28"/>
      <c r="AG362" s="13"/>
      <c r="AH362" s="28"/>
      <c r="AI362" s="13"/>
      <c r="AJ362" s="28"/>
      <c r="AK362" s="13"/>
      <c r="AL362" s="28"/>
      <c r="AM362" s="13"/>
      <c r="AN362" s="28"/>
      <c r="AO362" s="13"/>
      <c r="AP362" s="28"/>
      <c r="AQ362" s="13"/>
      <c r="AR362" s="28"/>
      <c r="AS362" s="19">
        <f>SUM(H362,J362,L362,N362,P362,R362,T362,V362,X362,Z362,AB362,AD362,AF362,AH362,AJ362,AL362,AN362)</f>
        <v>0</v>
      </c>
      <c r="AT362" s="29" t="str">
        <f>IF(C362="","",DATE(YEAR(C362),MONTH(C362),1))</f>
        <v/>
      </c>
      <c r="AU362" s="28" t="str">
        <f>IF(AT362="","",TEXT(AT362,"mmmm yyyy"))</f>
        <v/>
      </c>
      <c r="AV362" s="29" t="str">
        <f>IF(C362="","",C362-WEEKDAY(C362,2)+1)</f>
        <v/>
      </c>
      <c r="AW362" s="29" t="str">
        <f>IF(AV362="","",AV362+6)</f>
        <v/>
      </c>
      <c r="AX362" s="28" t="str">
        <f>IF(AV362="","",TEXT(AV362,"dd/mm/yyyy")&amp;" - "&amp;TEXT(AW362,"dd/mm/yyyy"))</f>
        <v/>
      </c>
      <c r="AY362" s="28" t="str">
        <f>IF(B362="","",COUNTIFS($B$5:B362,B362,$AT$5:AT362,AT362))</f>
        <v/>
      </c>
      <c r="AZ362" s="28" t="str">
        <f>IF(B362="","",COUNTIFS($B$5:B362,B362,$AV$5:AV362,AV362))</f>
        <v/>
      </c>
      <c r="BA362" s="28" t="str">
        <f>IF(B362="","",TEXT(AY362,"00")&amp;"|"&amp;B362&amp;"|"&amp;TEXT(AT362,"yyyymmdd"))</f>
        <v/>
      </c>
      <c r="BB362" s="28" t="str">
        <f>IF(B362="","",TEXT(AZ362,"00")&amp;"|"&amp;B362&amp;"|"&amp;TEXT(AV362,"yyyymmdd"))</f>
        <v/>
      </c>
      <c r="BC362" s="28">
        <f>IF(OR(AQ362="YES",AQ362="Yes",AQ362="Y",AQ362=1),1,0)</f>
        <v>0</v>
      </c>
    </row>
    <row r="363" spans="1:55" ht="15" customHeight="1">
      <c r="A363" s="27"/>
      <c r="B363" s="28"/>
      <c r="C363" s="29"/>
      <c r="D363" s="30"/>
      <c r="E363" s="30"/>
      <c r="F363" s="28"/>
      <c r="G363" s="28"/>
      <c r="H363" s="28"/>
      <c r="I363" s="13"/>
      <c r="J363" s="28"/>
      <c r="K363" s="13"/>
      <c r="L363" s="28"/>
      <c r="M363" s="13"/>
      <c r="N363" s="28"/>
      <c r="O363" s="13"/>
      <c r="P363" s="28"/>
      <c r="Q363" s="20"/>
      <c r="R363" s="28"/>
      <c r="S363" s="20"/>
      <c r="T363" s="28"/>
      <c r="U363" s="13"/>
      <c r="V363" s="28"/>
      <c r="W363" s="13"/>
      <c r="X363" s="28"/>
      <c r="Y363" s="13"/>
      <c r="Z363" s="28"/>
      <c r="AA363" s="13"/>
      <c r="AB363" s="28"/>
      <c r="AC363" s="13"/>
      <c r="AD363" s="28"/>
      <c r="AE363" s="13"/>
      <c r="AF363" s="28"/>
      <c r="AG363" s="13"/>
      <c r="AH363" s="28"/>
      <c r="AI363" s="13"/>
      <c r="AJ363" s="28"/>
      <c r="AK363" s="13"/>
      <c r="AL363" s="28"/>
      <c r="AM363" s="13"/>
      <c r="AN363" s="28"/>
      <c r="AO363" s="13"/>
      <c r="AP363" s="28"/>
      <c r="AQ363" s="13"/>
      <c r="AR363" s="28"/>
      <c r="AS363" s="19">
        <f>SUM(H363,J363,L363,N363,P363,R363,T363,V363,X363,Z363,AB363,AD363,AF363,AH363,AJ363,AL363,AN363)</f>
        <v>0</v>
      </c>
      <c r="AT363" s="29" t="str">
        <f>IF(C363="","",DATE(YEAR(C363),MONTH(C363),1))</f>
        <v/>
      </c>
      <c r="AU363" s="28" t="str">
        <f>IF(AT363="","",TEXT(AT363,"mmmm yyyy"))</f>
        <v/>
      </c>
      <c r="AV363" s="29" t="str">
        <f>IF(C363="","",C363-WEEKDAY(C363,2)+1)</f>
        <v/>
      </c>
      <c r="AW363" s="29" t="str">
        <f>IF(AV363="","",AV363+6)</f>
        <v/>
      </c>
      <c r="AX363" s="28" t="str">
        <f>IF(AV363="","",TEXT(AV363,"dd/mm/yyyy")&amp;" - "&amp;TEXT(AW363,"dd/mm/yyyy"))</f>
        <v/>
      </c>
      <c r="AY363" s="28" t="str">
        <f>IF(B363="","",COUNTIFS($B$5:B363,B363,$AT$5:AT363,AT363))</f>
        <v/>
      </c>
      <c r="AZ363" s="28" t="str">
        <f>IF(B363="","",COUNTIFS($B$5:B363,B363,$AV$5:AV363,AV363))</f>
        <v/>
      </c>
      <c r="BA363" s="28" t="str">
        <f>IF(B363="","",TEXT(AY363,"00")&amp;"|"&amp;B363&amp;"|"&amp;TEXT(AT363,"yyyymmdd"))</f>
        <v/>
      </c>
      <c r="BB363" s="28" t="str">
        <f>IF(B363="","",TEXT(AZ363,"00")&amp;"|"&amp;B363&amp;"|"&amp;TEXT(AV363,"yyyymmdd"))</f>
        <v/>
      </c>
      <c r="BC363" s="28">
        <f>IF(OR(AQ363="YES",AQ363="Yes",AQ363="Y",AQ363=1),1,0)</f>
        <v>0</v>
      </c>
    </row>
    <row r="364" spans="1:55" ht="15" customHeight="1">
      <c r="A364" s="27"/>
      <c r="B364" s="28"/>
      <c r="C364" s="29"/>
      <c r="D364" s="30"/>
      <c r="E364" s="30"/>
      <c r="F364" s="28"/>
      <c r="G364" s="28"/>
      <c r="H364" s="28"/>
      <c r="I364" s="13"/>
      <c r="J364" s="28"/>
      <c r="K364" s="13"/>
      <c r="L364" s="28"/>
      <c r="M364" s="13"/>
      <c r="N364" s="28"/>
      <c r="O364" s="13"/>
      <c r="P364" s="28"/>
      <c r="Q364" s="20"/>
      <c r="R364" s="28"/>
      <c r="S364" s="20"/>
      <c r="T364" s="28"/>
      <c r="U364" s="13"/>
      <c r="V364" s="28"/>
      <c r="W364" s="13"/>
      <c r="X364" s="28"/>
      <c r="Y364" s="13"/>
      <c r="Z364" s="28"/>
      <c r="AA364" s="13"/>
      <c r="AB364" s="28"/>
      <c r="AC364" s="13"/>
      <c r="AD364" s="28"/>
      <c r="AE364" s="13"/>
      <c r="AF364" s="28"/>
      <c r="AG364" s="13"/>
      <c r="AH364" s="28"/>
      <c r="AI364" s="13"/>
      <c r="AJ364" s="28"/>
      <c r="AK364" s="13"/>
      <c r="AL364" s="28"/>
      <c r="AM364" s="13"/>
      <c r="AN364" s="28"/>
      <c r="AO364" s="13"/>
      <c r="AP364" s="28"/>
      <c r="AQ364" s="13"/>
      <c r="AR364" s="28"/>
      <c r="AS364" s="19">
        <f>SUM(H364,J364,L364,N364,P364,R364,T364,V364,X364,Z364,AB364,AD364,AF364,AH364,AJ364,AL364,AN364)</f>
        <v>0</v>
      </c>
      <c r="AT364" s="29" t="str">
        <f>IF(C364="","",DATE(YEAR(C364),MONTH(C364),1))</f>
        <v/>
      </c>
      <c r="AU364" s="28" t="str">
        <f>IF(AT364="","",TEXT(AT364,"mmmm yyyy"))</f>
        <v/>
      </c>
      <c r="AV364" s="29" t="str">
        <f>IF(C364="","",C364-WEEKDAY(C364,2)+1)</f>
        <v/>
      </c>
      <c r="AW364" s="29" t="str">
        <f>IF(AV364="","",AV364+6)</f>
        <v/>
      </c>
      <c r="AX364" s="28" t="str">
        <f>IF(AV364="","",TEXT(AV364,"dd/mm/yyyy")&amp;" - "&amp;TEXT(AW364,"dd/mm/yyyy"))</f>
        <v/>
      </c>
      <c r="AY364" s="28" t="str">
        <f>IF(B364="","",COUNTIFS($B$5:B364,B364,$AT$5:AT364,AT364))</f>
        <v/>
      </c>
      <c r="AZ364" s="28" t="str">
        <f>IF(B364="","",COUNTIFS($B$5:B364,B364,$AV$5:AV364,AV364))</f>
        <v/>
      </c>
      <c r="BA364" s="28" t="str">
        <f>IF(B364="","",TEXT(AY364,"00")&amp;"|"&amp;B364&amp;"|"&amp;TEXT(AT364,"yyyymmdd"))</f>
        <v/>
      </c>
      <c r="BB364" s="28" t="str">
        <f>IF(B364="","",TEXT(AZ364,"00")&amp;"|"&amp;B364&amp;"|"&amp;TEXT(AV364,"yyyymmdd"))</f>
        <v/>
      </c>
      <c r="BC364" s="28">
        <f>IF(OR(AQ364="YES",AQ364="Yes",AQ364="Y",AQ364=1),1,0)</f>
        <v>0</v>
      </c>
    </row>
    <row r="365" spans="1:55" ht="15" customHeight="1">
      <c r="A365" s="27"/>
      <c r="B365" s="28"/>
      <c r="C365" s="29"/>
      <c r="D365" s="30"/>
      <c r="E365" s="30"/>
      <c r="F365" s="28"/>
      <c r="G365" s="28"/>
      <c r="H365" s="28"/>
      <c r="I365" s="13"/>
      <c r="J365" s="28"/>
      <c r="K365" s="13"/>
      <c r="L365" s="28"/>
      <c r="M365" s="13"/>
      <c r="N365" s="28"/>
      <c r="O365" s="13"/>
      <c r="P365" s="28"/>
      <c r="Q365" s="20"/>
      <c r="R365" s="28"/>
      <c r="S365" s="20"/>
      <c r="T365" s="28"/>
      <c r="U365" s="13"/>
      <c r="V365" s="28"/>
      <c r="W365" s="13"/>
      <c r="X365" s="28"/>
      <c r="Y365" s="13"/>
      <c r="Z365" s="28"/>
      <c r="AA365" s="13"/>
      <c r="AB365" s="28"/>
      <c r="AC365" s="13"/>
      <c r="AD365" s="28"/>
      <c r="AE365" s="13"/>
      <c r="AF365" s="28"/>
      <c r="AG365" s="13"/>
      <c r="AH365" s="28"/>
      <c r="AI365" s="13"/>
      <c r="AJ365" s="28"/>
      <c r="AK365" s="13"/>
      <c r="AL365" s="28"/>
      <c r="AM365" s="13"/>
      <c r="AN365" s="28"/>
      <c r="AO365" s="13"/>
      <c r="AP365" s="28"/>
      <c r="AQ365" s="13"/>
      <c r="AR365" s="28"/>
      <c r="AS365" s="19">
        <f>SUM(H365,J365,L365,N365,P365,R365,T365,V365,X365,Z365,AB365,AD365,AF365,AH365,AJ365,AL365,AN365)</f>
        <v>0</v>
      </c>
      <c r="AT365" s="29" t="str">
        <f>IF(C365="","",DATE(YEAR(C365),MONTH(C365),1))</f>
        <v/>
      </c>
      <c r="AU365" s="28" t="str">
        <f>IF(AT365="","",TEXT(AT365,"mmmm yyyy"))</f>
        <v/>
      </c>
      <c r="AV365" s="29" t="str">
        <f>IF(C365="","",C365-WEEKDAY(C365,2)+1)</f>
        <v/>
      </c>
      <c r="AW365" s="29" t="str">
        <f>IF(AV365="","",AV365+6)</f>
        <v/>
      </c>
      <c r="AX365" s="28" t="str">
        <f>IF(AV365="","",TEXT(AV365,"dd/mm/yyyy")&amp;" - "&amp;TEXT(AW365,"dd/mm/yyyy"))</f>
        <v/>
      </c>
      <c r="AY365" s="28" t="str">
        <f>IF(B365="","",COUNTIFS($B$5:B365,B365,$AT$5:AT365,AT365))</f>
        <v/>
      </c>
      <c r="AZ365" s="28" t="str">
        <f>IF(B365="","",COUNTIFS($B$5:B365,B365,$AV$5:AV365,AV365))</f>
        <v/>
      </c>
      <c r="BA365" s="28" t="str">
        <f>IF(B365="","",TEXT(AY365,"00")&amp;"|"&amp;B365&amp;"|"&amp;TEXT(AT365,"yyyymmdd"))</f>
        <v/>
      </c>
      <c r="BB365" s="28" t="str">
        <f>IF(B365="","",TEXT(AZ365,"00")&amp;"|"&amp;B365&amp;"|"&amp;TEXT(AV365,"yyyymmdd"))</f>
        <v/>
      </c>
      <c r="BC365" s="28">
        <f>IF(OR(AQ365="YES",AQ365="Yes",AQ365="Y",AQ365=1),1,0)</f>
        <v>0</v>
      </c>
    </row>
    <row r="366" spans="1:55" ht="15" customHeight="1">
      <c r="A366" s="27"/>
      <c r="B366" s="28"/>
      <c r="C366" s="29"/>
      <c r="D366" s="30"/>
      <c r="E366" s="30"/>
      <c r="F366" s="28"/>
      <c r="G366" s="28"/>
      <c r="H366" s="28"/>
      <c r="I366" s="13"/>
      <c r="J366" s="28"/>
      <c r="K366" s="13"/>
      <c r="L366" s="28"/>
      <c r="M366" s="13"/>
      <c r="N366" s="28"/>
      <c r="O366" s="13"/>
      <c r="P366" s="28"/>
      <c r="Q366" s="20"/>
      <c r="R366" s="28"/>
      <c r="S366" s="20"/>
      <c r="T366" s="28"/>
      <c r="U366" s="13"/>
      <c r="V366" s="28"/>
      <c r="W366" s="13"/>
      <c r="X366" s="28"/>
      <c r="Y366" s="13"/>
      <c r="Z366" s="28"/>
      <c r="AA366" s="13"/>
      <c r="AB366" s="28"/>
      <c r="AC366" s="13"/>
      <c r="AD366" s="28"/>
      <c r="AE366" s="13"/>
      <c r="AF366" s="28"/>
      <c r="AG366" s="13"/>
      <c r="AH366" s="28"/>
      <c r="AI366" s="13"/>
      <c r="AJ366" s="28"/>
      <c r="AK366" s="13"/>
      <c r="AL366" s="28"/>
      <c r="AM366" s="13"/>
      <c r="AN366" s="28"/>
      <c r="AO366" s="13"/>
      <c r="AP366" s="28"/>
      <c r="AQ366" s="13"/>
      <c r="AR366" s="28"/>
      <c r="AS366" s="19">
        <f>SUM(H366,J366,L366,N366,P366,R366,T366,V366,X366,Z366,AB366,AD366,AF366,AH366,AJ366,AL366,AN366)</f>
        <v>0</v>
      </c>
      <c r="AT366" s="29" t="str">
        <f>IF(C366="","",DATE(YEAR(C366),MONTH(C366),1))</f>
        <v/>
      </c>
      <c r="AU366" s="28" t="str">
        <f>IF(AT366="","",TEXT(AT366,"mmmm yyyy"))</f>
        <v/>
      </c>
      <c r="AV366" s="29" t="str">
        <f>IF(C366="","",C366-WEEKDAY(C366,2)+1)</f>
        <v/>
      </c>
      <c r="AW366" s="29" t="str">
        <f>IF(AV366="","",AV366+6)</f>
        <v/>
      </c>
      <c r="AX366" s="28" t="str">
        <f>IF(AV366="","",TEXT(AV366,"dd/mm/yyyy")&amp;" - "&amp;TEXT(AW366,"dd/mm/yyyy"))</f>
        <v/>
      </c>
      <c r="AY366" s="28" t="str">
        <f>IF(B366="","",COUNTIFS($B$5:B366,B366,$AT$5:AT366,AT366))</f>
        <v/>
      </c>
      <c r="AZ366" s="28" t="str">
        <f>IF(B366="","",COUNTIFS($B$5:B366,B366,$AV$5:AV366,AV366))</f>
        <v/>
      </c>
      <c r="BA366" s="28" t="str">
        <f>IF(B366="","",TEXT(AY366,"00")&amp;"|"&amp;B366&amp;"|"&amp;TEXT(AT366,"yyyymmdd"))</f>
        <v/>
      </c>
      <c r="BB366" s="28" t="str">
        <f>IF(B366="","",TEXT(AZ366,"00")&amp;"|"&amp;B366&amp;"|"&amp;TEXT(AV366,"yyyymmdd"))</f>
        <v/>
      </c>
      <c r="BC366" s="28">
        <f>IF(OR(AQ366="YES",AQ366="Yes",AQ366="Y",AQ366=1),1,0)</f>
        <v>0</v>
      </c>
    </row>
    <row r="367" spans="1:55" ht="15" customHeight="1">
      <c r="A367" s="27"/>
      <c r="B367" s="28"/>
      <c r="C367" s="29"/>
      <c r="D367" s="30"/>
      <c r="E367" s="30"/>
      <c r="F367" s="28"/>
      <c r="G367" s="28"/>
      <c r="H367" s="28"/>
      <c r="I367" s="13"/>
      <c r="J367" s="28"/>
      <c r="K367" s="13"/>
      <c r="L367" s="28"/>
      <c r="M367" s="13"/>
      <c r="N367" s="28"/>
      <c r="O367" s="13"/>
      <c r="P367" s="28"/>
      <c r="Q367" s="20"/>
      <c r="R367" s="28"/>
      <c r="S367" s="20"/>
      <c r="T367" s="28"/>
      <c r="U367" s="13"/>
      <c r="V367" s="28"/>
      <c r="W367" s="13"/>
      <c r="X367" s="28"/>
      <c r="Y367" s="13"/>
      <c r="Z367" s="28"/>
      <c r="AA367" s="13"/>
      <c r="AB367" s="28"/>
      <c r="AC367" s="13"/>
      <c r="AD367" s="28"/>
      <c r="AE367" s="13"/>
      <c r="AF367" s="28"/>
      <c r="AG367" s="13"/>
      <c r="AH367" s="28"/>
      <c r="AI367" s="13"/>
      <c r="AJ367" s="28"/>
      <c r="AK367" s="13"/>
      <c r="AL367" s="28"/>
      <c r="AM367" s="13"/>
      <c r="AN367" s="28"/>
      <c r="AO367" s="13"/>
      <c r="AP367" s="28"/>
      <c r="AQ367" s="13"/>
      <c r="AR367" s="28"/>
      <c r="AS367" s="19">
        <f>SUM(H367,J367,L367,N367,P367,R367,T367,V367,X367,Z367,AB367,AD367,AF367,AH367,AJ367,AL367,AN367)</f>
        <v>0</v>
      </c>
      <c r="AT367" s="29" t="str">
        <f>IF(C367="","",DATE(YEAR(C367),MONTH(C367),1))</f>
        <v/>
      </c>
      <c r="AU367" s="28" t="str">
        <f>IF(AT367="","",TEXT(AT367,"mmmm yyyy"))</f>
        <v/>
      </c>
      <c r="AV367" s="29" t="str">
        <f>IF(C367="","",C367-WEEKDAY(C367,2)+1)</f>
        <v/>
      </c>
      <c r="AW367" s="29" t="str">
        <f>IF(AV367="","",AV367+6)</f>
        <v/>
      </c>
      <c r="AX367" s="28" t="str">
        <f>IF(AV367="","",TEXT(AV367,"dd/mm/yyyy")&amp;" - "&amp;TEXT(AW367,"dd/mm/yyyy"))</f>
        <v/>
      </c>
      <c r="AY367" s="28" t="str">
        <f>IF(B367="","",COUNTIFS($B$5:B367,B367,$AT$5:AT367,AT367))</f>
        <v/>
      </c>
      <c r="AZ367" s="28" t="str">
        <f>IF(B367="","",COUNTIFS($B$5:B367,B367,$AV$5:AV367,AV367))</f>
        <v/>
      </c>
      <c r="BA367" s="28" t="str">
        <f>IF(B367="","",TEXT(AY367,"00")&amp;"|"&amp;B367&amp;"|"&amp;TEXT(AT367,"yyyymmdd"))</f>
        <v/>
      </c>
      <c r="BB367" s="28" t="str">
        <f>IF(B367="","",TEXT(AZ367,"00")&amp;"|"&amp;B367&amp;"|"&amp;TEXT(AV367,"yyyymmdd"))</f>
        <v/>
      </c>
      <c r="BC367" s="28">
        <f>IF(OR(AQ367="YES",AQ367="Yes",AQ367="Y",AQ367=1),1,0)</f>
        <v>0</v>
      </c>
    </row>
    <row r="368" spans="1:55" ht="15" customHeight="1">
      <c r="A368" s="27"/>
      <c r="B368" s="28"/>
      <c r="C368" s="29"/>
      <c r="D368" s="30"/>
      <c r="E368" s="30"/>
      <c r="F368" s="28"/>
      <c r="G368" s="28"/>
      <c r="H368" s="28"/>
      <c r="I368" s="13"/>
      <c r="J368" s="28"/>
      <c r="K368" s="13"/>
      <c r="L368" s="28"/>
      <c r="M368" s="13"/>
      <c r="N368" s="28"/>
      <c r="O368" s="13"/>
      <c r="P368" s="28"/>
      <c r="Q368" s="20"/>
      <c r="R368" s="28"/>
      <c r="S368" s="20"/>
      <c r="T368" s="28"/>
      <c r="U368" s="13"/>
      <c r="V368" s="28"/>
      <c r="W368" s="13"/>
      <c r="X368" s="28"/>
      <c r="Y368" s="13"/>
      <c r="Z368" s="28"/>
      <c r="AA368" s="13"/>
      <c r="AB368" s="28"/>
      <c r="AC368" s="13"/>
      <c r="AD368" s="28"/>
      <c r="AE368" s="13"/>
      <c r="AF368" s="28"/>
      <c r="AG368" s="13"/>
      <c r="AH368" s="28"/>
      <c r="AI368" s="13"/>
      <c r="AJ368" s="28"/>
      <c r="AK368" s="13"/>
      <c r="AL368" s="28"/>
      <c r="AM368" s="13"/>
      <c r="AN368" s="28"/>
      <c r="AO368" s="13"/>
      <c r="AP368" s="28"/>
      <c r="AQ368" s="13"/>
      <c r="AR368" s="28"/>
      <c r="AS368" s="19">
        <f>SUM(H368,J368,L368,N368,P368,R368,T368,V368,X368,Z368,AB368,AD368,AF368,AH368,AJ368,AL368,AN368)</f>
        <v>0</v>
      </c>
      <c r="AT368" s="29" t="str">
        <f>IF(C368="","",DATE(YEAR(C368),MONTH(C368),1))</f>
        <v/>
      </c>
      <c r="AU368" s="28" t="str">
        <f>IF(AT368="","",TEXT(AT368,"mmmm yyyy"))</f>
        <v/>
      </c>
      <c r="AV368" s="29" t="str">
        <f>IF(C368="","",C368-WEEKDAY(C368,2)+1)</f>
        <v/>
      </c>
      <c r="AW368" s="29" t="str">
        <f>IF(AV368="","",AV368+6)</f>
        <v/>
      </c>
      <c r="AX368" s="28" t="str">
        <f>IF(AV368="","",TEXT(AV368,"dd/mm/yyyy")&amp;" - "&amp;TEXT(AW368,"dd/mm/yyyy"))</f>
        <v/>
      </c>
      <c r="AY368" s="28" t="str">
        <f>IF(B368="","",COUNTIFS($B$5:B368,B368,$AT$5:AT368,AT368))</f>
        <v/>
      </c>
      <c r="AZ368" s="28" t="str">
        <f>IF(B368="","",COUNTIFS($B$5:B368,B368,$AV$5:AV368,AV368))</f>
        <v/>
      </c>
      <c r="BA368" s="28" t="str">
        <f>IF(B368="","",TEXT(AY368,"00")&amp;"|"&amp;B368&amp;"|"&amp;TEXT(AT368,"yyyymmdd"))</f>
        <v/>
      </c>
      <c r="BB368" s="28" t="str">
        <f>IF(B368="","",TEXT(AZ368,"00")&amp;"|"&amp;B368&amp;"|"&amp;TEXT(AV368,"yyyymmdd"))</f>
        <v/>
      </c>
      <c r="BC368" s="28">
        <f>IF(OR(AQ368="YES",AQ368="Yes",AQ368="Y",AQ368=1),1,0)</f>
        <v>0</v>
      </c>
    </row>
    <row r="369" spans="1:55" ht="15" customHeight="1">
      <c r="A369" s="27"/>
      <c r="B369" s="28"/>
      <c r="C369" s="29"/>
      <c r="D369" s="30"/>
      <c r="E369" s="30"/>
      <c r="F369" s="28"/>
      <c r="G369" s="28"/>
      <c r="H369" s="28"/>
      <c r="I369" s="13"/>
      <c r="J369" s="28"/>
      <c r="K369" s="13"/>
      <c r="L369" s="28"/>
      <c r="M369" s="13"/>
      <c r="N369" s="28"/>
      <c r="O369" s="13"/>
      <c r="P369" s="28"/>
      <c r="Q369" s="20"/>
      <c r="R369" s="28"/>
      <c r="S369" s="20"/>
      <c r="T369" s="28"/>
      <c r="U369" s="13"/>
      <c r="V369" s="28"/>
      <c r="W369" s="13"/>
      <c r="X369" s="28"/>
      <c r="Y369" s="13"/>
      <c r="Z369" s="28"/>
      <c r="AA369" s="13"/>
      <c r="AB369" s="28"/>
      <c r="AC369" s="13"/>
      <c r="AD369" s="28"/>
      <c r="AE369" s="13"/>
      <c r="AF369" s="28"/>
      <c r="AG369" s="13"/>
      <c r="AH369" s="28"/>
      <c r="AI369" s="13"/>
      <c r="AJ369" s="28"/>
      <c r="AK369" s="13"/>
      <c r="AL369" s="28"/>
      <c r="AM369" s="13"/>
      <c r="AN369" s="28"/>
      <c r="AO369" s="13"/>
      <c r="AP369" s="28"/>
      <c r="AQ369" s="13"/>
      <c r="AR369" s="28"/>
      <c r="AS369" s="19">
        <f>SUM(H369,J369,L369,N369,P369,R369,T369,V369,X369,Z369,AB369,AD369,AF369,AH369,AJ369,AL369,AN369)</f>
        <v>0</v>
      </c>
      <c r="AT369" s="29" t="str">
        <f>IF(C369="","",DATE(YEAR(C369),MONTH(C369),1))</f>
        <v/>
      </c>
      <c r="AU369" s="28" t="str">
        <f>IF(AT369="","",TEXT(AT369,"mmmm yyyy"))</f>
        <v/>
      </c>
      <c r="AV369" s="29" t="str">
        <f>IF(C369="","",C369-WEEKDAY(C369,2)+1)</f>
        <v/>
      </c>
      <c r="AW369" s="29" t="str">
        <f>IF(AV369="","",AV369+6)</f>
        <v/>
      </c>
      <c r="AX369" s="28" t="str">
        <f>IF(AV369="","",TEXT(AV369,"dd/mm/yyyy")&amp;" - "&amp;TEXT(AW369,"dd/mm/yyyy"))</f>
        <v/>
      </c>
      <c r="AY369" s="28" t="str">
        <f>IF(B369="","",COUNTIFS($B$5:B369,B369,$AT$5:AT369,AT369))</f>
        <v/>
      </c>
      <c r="AZ369" s="28" t="str">
        <f>IF(B369="","",COUNTIFS($B$5:B369,B369,$AV$5:AV369,AV369))</f>
        <v/>
      </c>
      <c r="BA369" s="28" t="str">
        <f>IF(B369="","",TEXT(AY369,"00")&amp;"|"&amp;B369&amp;"|"&amp;TEXT(AT369,"yyyymmdd"))</f>
        <v/>
      </c>
      <c r="BB369" s="28" t="str">
        <f>IF(B369="","",TEXT(AZ369,"00")&amp;"|"&amp;B369&amp;"|"&amp;TEXT(AV369,"yyyymmdd"))</f>
        <v/>
      </c>
      <c r="BC369" s="28">
        <f>IF(OR(AQ369="YES",AQ369="Yes",AQ369="Y",AQ369=1),1,0)</f>
        <v>0</v>
      </c>
    </row>
    <row r="370" spans="1:55" ht="15" customHeight="1">
      <c r="A370" s="27"/>
      <c r="B370" s="28"/>
      <c r="C370" s="29"/>
      <c r="D370" s="30"/>
      <c r="E370" s="30"/>
      <c r="F370" s="28"/>
      <c r="G370" s="28"/>
      <c r="H370" s="28"/>
      <c r="I370" s="13"/>
      <c r="J370" s="28"/>
      <c r="K370" s="13"/>
      <c r="L370" s="28"/>
      <c r="M370" s="13"/>
      <c r="N370" s="28"/>
      <c r="O370" s="13"/>
      <c r="P370" s="28"/>
      <c r="Q370" s="20"/>
      <c r="R370" s="28"/>
      <c r="S370" s="20"/>
      <c r="T370" s="28"/>
      <c r="U370" s="13"/>
      <c r="V370" s="28"/>
      <c r="W370" s="13"/>
      <c r="X370" s="28"/>
      <c r="Y370" s="13"/>
      <c r="Z370" s="28"/>
      <c r="AA370" s="13"/>
      <c r="AB370" s="28"/>
      <c r="AC370" s="13"/>
      <c r="AD370" s="28"/>
      <c r="AE370" s="13"/>
      <c r="AF370" s="28"/>
      <c r="AG370" s="13"/>
      <c r="AH370" s="28"/>
      <c r="AI370" s="13"/>
      <c r="AJ370" s="28"/>
      <c r="AK370" s="13"/>
      <c r="AL370" s="28"/>
      <c r="AM370" s="13"/>
      <c r="AN370" s="28"/>
      <c r="AO370" s="13"/>
      <c r="AP370" s="28"/>
      <c r="AQ370" s="13"/>
      <c r="AR370" s="28"/>
      <c r="AS370" s="19">
        <f>SUM(H370,J370,L370,N370,P370,R370,T370,V370,X370,Z370,AB370,AD370,AF370,AH370,AJ370,AL370,AN370)</f>
        <v>0</v>
      </c>
      <c r="AT370" s="29" t="str">
        <f>IF(C370="","",DATE(YEAR(C370),MONTH(C370),1))</f>
        <v/>
      </c>
      <c r="AU370" s="28" t="str">
        <f>IF(AT370="","",TEXT(AT370,"mmmm yyyy"))</f>
        <v/>
      </c>
      <c r="AV370" s="29" t="str">
        <f>IF(C370="","",C370-WEEKDAY(C370,2)+1)</f>
        <v/>
      </c>
      <c r="AW370" s="29" t="str">
        <f>IF(AV370="","",AV370+6)</f>
        <v/>
      </c>
      <c r="AX370" s="28" t="str">
        <f>IF(AV370="","",TEXT(AV370,"dd/mm/yyyy")&amp;" - "&amp;TEXT(AW370,"dd/mm/yyyy"))</f>
        <v/>
      </c>
      <c r="AY370" s="28" t="str">
        <f>IF(B370="","",COUNTIFS($B$5:B370,B370,$AT$5:AT370,AT370))</f>
        <v/>
      </c>
      <c r="AZ370" s="28" t="str">
        <f>IF(B370="","",COUNTIFS($B$5:B370,B370,$AV$5:AV370,AV370))</f>
        <v/>
      </c>
      <c r="BA370" s="28" t="str">
        <f>IF(B370="","",TEXT(AY370,"00")&amp;"|"&amp;B370&amp;"|"&amp;TEXT(AT370,"yyyymmdd"))</f>
        <v/>
      </c>
      <c r="BB370" s="28" t="str">
        <f>IF(B370="","",TEXT(AZ370,"00")&amp;"|"&amp;B370&amp;"|"&amp;TEXT(AV370,"yyyymmdd"))</f>
        <v/>
      </c>
      <c r="BC370" s="28">
        <f>IF(OR(AQ370="YES",AQ370="Yes",AQ370="Y",AQ370=1),1,0)</f>
        <v>0</v>
      </c>
    </row>
    <row r="371" spans="1:55" ht="15" customHeight="1">
      <c r="A371" s="27"/>
      <c r="B371" s="28"/>
      <c r="C371" s="29"/>
      <c r="D371" s="30"/>
      <c r="E371" s="30"/>
      <c r="F371" s="28"/>
      <c r="G371" s="28"/>
      <c r="H371" s="28"/>
      <c r="I371" s="13"/>
      <c r="J371" s="28"/>
      <c r="K371" s="13"/>
      <c r="L371" s="28"/>
      <c r="M371" s="13"/>
      <c r="N371" s="28"/>
      <c r="O371" s="13"/>
      <c r="P371" s="28"/>
      <c r="Q371" s="20"/>
      <c r="R371" s="28"/>
      <c r="S371" s="20"/>
      <c r="T371" s="28"/>
      <c r="U371" s="13"/>
      <c r="V371" s="28"/>
      <c r="W371" s="13"/>
      <c r="X371" s="28"/>
      <c r="Y371" s="13"/>
      <c r="Z371" s="28"/>
      <c r="AA371" s="13"/>
      <c r="AB371" s="28"/>
      <c r="AC371" s="13"/>
      <c r="AD371" s="28"/>
      <c r="AE371" s="13"/>
      <c r="AF371" s="28"/>
      <c r="AG371" s="13"/>
      <c r="AH371" s="28"/>
      <c r="AI371" s="13"/>
      <c r="AJ371" s="28"/>
      <c r="AK371" s="13"/>
      <c r="AL371" s="28"/>
      <c r="AM371" s="13"/>
      <c r="AN371" s="28"/>
      <c r="AO371" s="13"/>
      <c r="AP371" s="28"/>
      <c r="AQ371" s="13"/>
      <c r="AR371" s="28"/>
      <c r="AS371" s="19">
        <f>SUM(H371,J371,L371,N371,P371,R371,T371,V371,X371,Z371,AB371,AD371,AF371,AH371,AJ371,AL371,AN371)</f>
        <v>0</v>
      </c>
      <c r="AT371" s="29" t="str">
        <f>IF(C371="","",DATE(YEAR(C371),MONTH(C371),1))</f>
        <v/>
      </c>
      <c r="AU371" s="28" t="str">
        <f>IF(AT371="","",TEXT(AT371,"mmmm yyyy"))</f>
        <v/>
      </c>
      <c r="AV371" s="29" t="str">
        <f>IF(C371="","",C371-WEEKDAY(C371,2)+1)</f>
        <v/>
      </c>
      <c r="AW371" s="29" t="str">
        <f>IF(AV371="","",AV371+6)</f>
        <v/>
      </c>
      <c r="AX371" s="28" t="str">
        <f>IF(AV371="","",TEXT(AV371,"dd/mm/yyyy")&amp;" - "&amp;TEXT(AW371,"dd/mm/yyyy"))</f>
        <v/>
      </c>
      <c r="AY371" s="28" t="str">
        <f>IF(B371="","",COUNTIFS($B$5:B371,B371,$AT$5:AT371,AT371))</f>
        <v/>
      </c>
      <c r="AZ371" s="28" t="str">
        <f>IF(B371="","",COUNTIFS($B$5:B371,B371,$AV$5:AV371,AV371))</f>
        <v/>
      </c>
      <c r="BA371" s="28" t="str">
        <f>IF(B371="","",TEXT(AY371,"00")&amp;"|"&amp;B371&amp;"|"&amp;TEXT(AT371,"yyyymmdd"))</f>
        <v/>
      </c>
      <c r="BB371" s="28" t="str">
        <f>IF(B371="","",TEXT(AZ371,"00")&amp;"|"&amp;B371&amp;"|"&amp;TEXT(AV371,"yyyymmdd"))</f>
        <v/>
      </c>
      <c r="BC371" s="28">
        <f>IF(OR(AQ371="YES",AQ371="Yes",AQ371="Y",AQ371=1),1,0)</f>
        <v>0</v>
      </c>
    </row>
    <row r="372" spans="1:55" ht="15" customHeight="1">
      <c r="A372" s="27"/>
      <c r="B372" s="28"/>
      <c r="C372" s="29"/>
      <c r="D372" s="30"/>
      <c r="E372" s="30"/>
      <c r="F372" s="28"/>
      <c r="G372" s="28"/>
      <c r="H372" s="28"/>
      <c r="I372" s="13"/>
      <c r="J372" s="28"/>
      <c r="K372" s="13"/>
      <c r="L372" s="28"/>
      <c r="M372" s="13"/>
      <c r="N372" s="28"/>
      <c r="O372" s="13"/>
      <c r="P372" s="28"/>
      <c r="Q372" s="20"/>
      <c r="R372" s="28"/>
      <c r="S372" s="20"/>
      <c r="T372" s="28"/>
      <c r="U372" s="13"/>
      <c r="V372" s="28"/>
      <c r="W372" s="13"/>
      <c r="X372" s="28"/>
      <c r="Y372" s="13"/>
      <c r="Z372" s="28"/>
      <c r="AA372" s="13"/>
      <c r="AB372" s="28"/>
      <c r="AC372" s="13"/>
      <c r="AD372" s="28"/>
      <c r="AE372" s="13"/>
      <c r="AF372" s="28"/>
      <c r="AG372" s="13"/>
      <c r="AH372" s="28"/>
      <c r="AI372" s="13"/>
      <c r="AJ372" s="28"/>
      <c r="AK372" s="13"/>
      <c r="AL372" s="28"/>
      <c r="AM372" s="13"/>
      <c r="AN372" s="28"/>
      <c r="AO372" s="13"/>
      <c r="AP372" s="28"/>
      <c r="AQ372" s="13"/>
      <c r="AR372" s="28"/>
      <c r="AS372" s="19">
        <f>SUM(H372,J372,L372,N372,P372,R372,T372,V372,X372,Z372,AB372,AD372,AF372,AH372,AJ372,AL372,AN372)</f>
        <v>0</v>
      </c>
      <c r="AT372" s="29" t="str">
        <f>IF(C372="","",DATE(YEAR(C372),MONTH(C372),1))</f>
        <v/>
      </c>
      <c r="AU372" s="28" t="str">
        <f>IF(AT372="","",TEXT(AT372,"mmmm yyyy"))</f>
        <v/>
      </c>
      <c r="AV372" s="29" t="str">
        <f>IF(C372="","",C372-WEEKDAY(C372,2)+1)</f>
        <v/>
      </c>
      <c r="AW372" s="29" t="str">
        <f>IF(AV372="","",AV372+6)</f>
        <v/>
      </c>
      <c r="AX372" s="28" t="str">
        <f>IF(AV372="","",TEXT(AV372,"dd/mm/yyyy")&amp;" - "&amp;TEXT(AW372,"dd/mm/yyyy"))</f>
        <v/>
      </c>
      <c r="AY372" s="28" t="str">
        <f>IF(B372="","",COUNTIFS($B$5:B372,B372,$AT$5:AT372,AT372))</f>
        <v/>
      </c>
      <c r="AZ372" s="28" t="str">
        <f>IF(B372="","",COUNTIFS($B$5:B372,B372,$AV$5:AV372,AV372))</f>
        <v/>
      </c>
      <c r="BA372" s="28" t="str">
        <f>IF(B372="","",TEXT(AY372,"00")&amp;"|"&amp;B372&amp;"|"&amp;TEXT(AT372,"yyyymmdd"))</f>
        <v/>
      </c>
      <c r="BB372" s="28" t="str">
        <f>IF(B372="","",TEXT(AZ372,"00")&amp;"|"&amp;B372&amp;"|"&amp;TEXT(AV372,"yyyymmdd"))</f>
        <v/>
      </c>
      <c r="BC372" s="28">
        <f>IF(OR(AQ372="YES",AQ372="Yes",AQ372="Y",AQ372=1),1,0)</f>
        <v>0</v>
      </c>
    </row>
    <row r="373" spans="1:55" ht="15" customHeight="1">
      <c r="A373" s="27"/>
      <c r="B373" s="28"/>
      <c r="C373" s="29"/>
      <c r="D373" s="30"/>
      <c r="E373" s="30"/>
      <c r="F373" s="28"/>
      <c r="G373" s="28"/>
      <c r="H373" s="28"/>
      <c r="I373" s="13"/>
      <c r="J373" s="28"/>
      <c r="K373" s="13"/>
      <c r="L373" s="28"/>
      <c r="M373" s="13"/>
      <c r="N373" s="28"/>
      <c r="O373" s="13"/>
      <c r="P373" s="28"/>
      <c r="Q373" s="20"/>
      <c r="R373" s="28"/>
      <c r="S373" s="20"/>
      <c r="T373" s="28"/>
      <c r="U373" s="13"/>
      <c r="V373" s="28"/>
      <c r="W373" s="13"/>
      <c r="X373" s="28"/>
      <c r="Y373" s="13"/>
      <c r="Z373" s="28"/>
      <c r="AA373" s="13"/>
      <c r="AB373" s="28"/>
      <c r="AC373" s="13"/>
      <c r="AD373" s="28"/>
      <c r="AE373" s="13"/>
      <c r="AF373" s="28"/>
      <c r="AG373" s="13"/>
      <c r="AH373" s="28"/>
      <c r="AI373" s="13"/>
      <c r="AJ373" s="28"/>
      <c r="AK373" s="13"/>
      <c r="AL373" s="28"/>
      <c r="AM373" s="13"/>
      <c r="AN373" s="28"/>
      <c r="AO373" s="13"/>
      <c r="AP373" s="28"/>
      <c r="AQ373" s="13"/>
      <c r="AR373" s="28"/>
      <c r="AS373" s="19">
        <f>SUM(H373,J373,L373,N373,P373,R373,T373,V373,X373,Z373,AB373,AD373,AF373,AH373,AJ373,AL373,AN373)</f>
        <v>0</v>
      </c>
      <c r="AT373" s="29" t="str">
        <f>IF(C373="","",DATE(YEAR(C373),MONTH(C373),1))</f>
        <v/>
      </c>
      <c r="AU373" s="28" t="str">
        <f>IF(AT373="","",TEXT(AT373,"mmmm yyyy"))</f>
        <v/>
      </c>
      <c r="AV373" s="29" t="str">
        <f>IF(C373="","",C373-WEEKDAY(C373,2)+1)</f>
        <v/>
      </c>
      <c r="AW373" s="29" t="str">
        <f>IF(AV373="","",AV373+6)</f>
        <v/>
      </c>
      <c r="AX373" s="28" t="str">
        <f>IF(AV373="","",TEXT(AV373,"dd/mm/yyyy")&amp;" - "&amp;TEXT(AW373,"dd/mm/yyyy"))</f>
        <v/>
      </c>
      <c r="AY373" s="28" t="str">
        <f>IF(B373="","",COUNTIFS($B$5:B373,B373,$AT$5:AT373,AT373))</f>
        <v/>
      </c>
      <c r="AZ373" s="28" t="str">
        <f>IF(B373="","",COUNTIFS($B$5:B373,B373,$AV$5:AV373,AV373))</f>
        <v/>
      </c>
      <c r="BA373" s="28" t="str">
        <f>IF(B373="","",TEXT(AY373,"00")&amp;"|"&amp;B373&amp;"|"&amp;TEXT(AT373,"yyyymmdd"))</f>
        <v/>
      </c>
      <c r="BB373" s="28" t="str">
        <f>IF(B373="","",TEXT(AZ373,"00")&amp;"|"&amp;B373&amp;"|"&amp;TEXT(AV373,"yyyymmdd"))</f>
        <v/>
      </c>
      <c r="BC373" s="28">
        <f>IF(OR(AQ373="YES",AQ373="Yes",AQ373="Y",AQ373=1),1,0)</f>
        <v>0</v>
      </c>
    </row>
    <row r="374" spans="1:55" ht="15" customHeight="1">
      <c r="A374" s="27"/>
      <c r="B374" s="28"/>
      <c r="C374" s="29"/>
      <c r="D374" s="30"/>
      <c r="E374" s="30"/>
      <c r="F374" s="28"/>
      <c r="G374" s="28"/>
      <c r="H374" s="28"/>
      <c r="I374" s="13"/>
      <c r="J374" s="28"/>
      <c r="K374" s="13"/>
      <c r="L374" s="28"/>
      <c r="M374" s="13"/>
      <c r="N374" s="28"/>
      <c r="O374" s="13"/>
      <c r="P374" s="28"/>
      <c r="Q374" s="20"/>
      <c r="R374" s="28"/>
      <c r="S374" s="20"/>
      <c r="T374" s="28"/>
      <c r="U374" s="13"/>
      <c r="V374" s="28"/>
      <c r="W374" s="13"/>
      <c r="X374" s="28"/>
      <c r="Y374" s="13"/>
      <c r="Z374" s="28"/>
      <c r="AA374" s="13"/>
      <c r="AB374" s="28"/>
      <c r="AC374" s="13"/>
      <c r="AD374" s="28"/>
      <c r="AE374" s="13"/>
      <c r="AF374" s="28"/>
      <c r="AG374" s="13"/>
      <c r="AH374" s="28"/>
      <c r="AI374" s="13"/>
      <c r="AJ374" s="28"/>
      <c r="AK374" s="13"/>
      <c r="AL374" s="28"/>
      <c r="AM374" s="13"/>
      <c r="AN374" s="28"/>
      <c r="AO374" s="13"/>
      <c r="AP374" s="28"/>
      <c r="AQ374" s="13"/>
      <c r="AR374" s="28"/>
      <c r="AS374" s="19">
        <f>SUM(H374,J374,L374,N374,P374,R374,T374,V374,X374,Z374,AB374,AD374,AF374,AH374,AJ374,AL374,AN374)</f>
        <v>0</v>
      </c>
      <c r="AT374" s="29" t="str">
        <f>IF(C374="","",DATE(YEAR(C374),MONTH(C374),1))</f>
        <v/>
      </c>
      <c r="AU374" s="28" t="str">
        <f>IF(AT374="","",TEXT(AT374,"mmmm yyyy"))</f>
        <v/>
      </c>
      <c r="AV374" s="29" t="str">
        <f>IF(C374="","",C374-WEEKDAY(C374,2)+1)</f>
        <v/>
      </c>
      <c r="AW374" s="29" t="str">
        <f>IF(AV374="","",AV374+6)</f>
        <v/>
      </c>
      <c r="AX374" s="28" t="str">
        <f>IF(AV374="","",TEXT(AV374,"dd/mm/yyyy")&amp;" - "&amp;TEXT(AW374,"dd/mm/yyyy"))</f>
        <v/>
      </c>
      <c r="AY374" s="28" t="str">
        <f>IF(B374="","",COUNTIFS($B$5:B374,B374,$AT$5:AT374,AT374))</f>
        <v/>
      </c>
      <c r="AZ374" s="28" t="str">
        <f>IF(B374="","",COUNTIFS($B$5:B374,B374,$AV$5:AV374,AV374))</f>
        <v/>
      </c>
      <c r="BA374" s="28" t="str">
        <f>IF(B374="","",TEXT(AY374,"00")&amp;"|"&amp;B374&amp;"|"&amp;TEXT(AT374,"yyyymmdd"))</f>
        <v/>
      </c>
      <c r="BB374" s="28" t="str">
        <f>IF(B374="","",TEXT(AZ374,"00")&amp;"|"&amp;B374&amp;"|"&amp;TEXT(AV374,"yyyymmdd"))</f>
        <v/>
      </c>
      <c r="BC374" s="28">
        <f>IF(OR(AQ374="YES",AQ374="Yes",AQ374="Y",AQ374=1),1,0)</f>
        <v>0</v>
      </c>
    </row>
    <row r="375" spans="1:55" ht="15" customHeight="1">
      <c r="A375" s="27"/>
      <c r="B375" s="28"/>
      <c r="C375" s="29"/>
      <c r="D375" s="30"/>
      <c r="E375" s="30"/>
      <c r="F375" s="28"/>
      <c r="G375" s="28"/>
      <c r="H375" s="28"/>
      <c r="I375" s="13"/>
      <c r="J375" s="28"/>
      <c r="K375" s="13"/>
      <c r="L375" s="28"/>
      <c r="M375" s="13"/>
      <c r="N375" s="28"/>
      <c r="O375" s="13"/>
      <c r="P375" s="28"/>
      <c r="Q375" s="20"/>
      <c r="R375" s="28"/>
      <c r="S375" s="20"/>
      <c r="T375" s="28"/>
      <c r="U375" s="13"/>
      <c r="V375" s="28"/>
      <c r="W375" s="13"/>
      <c r="X375" s="28"/>
      <c r="Y375" s="13"/>
      <c r="Z375" s="28"/>
      <c r="AA375" s="13"/>
      <c r="AB375" s="28"/>
      <c r="AC375" s="13"/>
      <c r="AD375" s="28"/>
      <c r="AE375" s="13"/>
      <c r="AF375" s="28"/>
      <c r="AG375" s="13"/>
      <c r="AH375" s="28"/>
      <c r="AI375" s="13"/>
      <c r="AJ375" s="28"/>
      <c r="AK375" s="13"/>
      <c r="AL375" s="28"/>
      <c r="AM375" s="13"/>
      <c r="AN375" s="28"/>
      <c r="AO375" s="13"/>
      <c r="AP375" s="28"/>
      <c r="AQ375" s="13"/>
      <c r="AR375" s="28"/>
      <c r="AS375" s="19">
        <f>SUM(H375,J375,L375,N375,P375,R375,T375,V375,X375,Z375,AB375,AD375,AF375,AH375,AJ375,AL375,AN375)</f>
        <v>0</v>
      </c>
      <c r="AT375" s="29" t="str">
        <f>IF(C375="","",DATE(YEAR(C375),MONTH(C375),1))</f>
        <v/>
      </c>
      <c r="AU375" s="28" t="str">
        <f>IF(AT375="","",TEXT(AT375,"mmmm yyyy"))</f>
        <v/>
      </c>
      <c r="AV375" s="29" t="str">
        <f>IF(C375="","",C375-WEEKDAY(C375,2)+1)</f>
        <v/>
      </c>
      <c r="AW375" s="29" t="str">
        <f>IF(AV375="","",AV375+6)</f>
        <v/>
      </c>
      <c r="AX375" s="28" t="str">
        <f>IF(AV375="","",TEXT(AV375,"dd/mm/yyyy")&amp;" - "&amp;TEXT(AW375,"dd/mm/yyyy"))</f>
        <v/>
      </c>
      <c r="AY375" s="28" t="str">
        <f>IF(B375="","",COUNTIFS($B$5:B375,B375,$AT$5:AT375,AT375))</f>
        <v/>
      </c>
      <c r="AZ375" s="28" t="str">
        <f>IF(B375="","",COUNTIFS($B$5:B375,B375,$AV$5:AV375,AV375))</f>
        <v/>
      </c>
      <c r="BA375" s="28" t="str">
        <f>IF(B375="","",TEXT(AY375,"00")&amp;"|"&amp;B375&amp;"|"&amp;TEXT(AT375,"yyyymmdd"))</f>
        <v/>
      </c>
      <c r="BB375" s="28" t="str">
        <f>IF(B375="","",TEXT(AZ375,"00")&amp;"|"&amp;B375&amp;"|"&amp;TEXT(AV375,"yyyymmdd"))</f>
        <v/>
      </c>
      <c r="BC375" s="28">
        <f>IF(OR(AQ375="YES",AQ375="Yes",AQ375="Y",AQ375=1),1,0)</f>
        <v>0</v>
      </c>
    </row>
    <row r="376" spans="1:55" ht="15" customHeight="1">
      <c r="A376" s="27"/>
      <c r="B376" s="28"/>
      <c r="C376" s="29"/>
      <c r="D376" s="30"/>
      <c r="E376" s="30"/>
      <c r="F376" s="28"/>
      <c r="G376" s="28"/>
      <c r="H376" s="28"/>
      <c r="I376" s="13"/>
      <c r="J376" s="28"/>
      <c r="K376" s="13"/>
      <c r="L376" s="28"/>
      <c r="M376" s="13"/>
      <c r="N376" s="28"/>
      <c r="O376" s="13"/>
      <c r="P376" s="28"/>
      <c r="Q376" s="20"/>
      <c r="R376" s="28"/>
      <c r="S376" s="20"/>
      <c r="T376" s="28"/>
      <c r="U376" s="13"/>
      <c r="V376" s="28"/>
      <c r="W376" s="13"/>
      <c r="X376" s="28"/>
      <c r="Y376" s="13"/>
      <c r="Z376" s="28"/>
      <c r="AA376" s="13"/>
      <c r="AB376" s="28"/>
      <c r="AC376" s="13"/>
      <c r="AD376" s="28"/>
      <c r="AE376" s="13"/>
      <c r="AF376" s="28"/>
      <c r="AG376" s="13"/>
      <c r="AH376" s="28"/>
      <c r="AI376" s="13"/>
      <c r="AJ376" s="28"/>
      <c r="AK376" s="13"/>
      <c r="AL376" s="28"/>
      <c r="AM376" s="13"/>
      <c r="AN376" s="28"/>
      <c r="AO376" s="13"/>
      <c r="AP376" s="28"/>
      <c r="AQ376" s="13"/>
      <c r="AR376" s="28"/>
      <c r="AS376" s="19">
        <f>SUM(H376,J376,L376,N376,P376,R376,T376,V376,X376,Z376,AB376,AD376,AF376,AH376,AJ376,AL376,AN376)</f>
        <v>0</v>
      </c>
      <c r="AT376" s="29" t="str">
        <f>IF(C376="","",DATE(YEAR(C376),MONTH(C376),1))</f>
        <v/>
      </c>
      <c r="AU376" s="28" t="str">
        <f>IF(AT376="","",TEXT(AT376,"mmmm yyyy"))</f>
        <v/>
      </c>
      <c r="AV376" s="29" t="str">
        <f>IF(C376="","",C376-WEEKDAY(C376,2)+1)</f>
        <v/>
      </c>
      <c r="AW376" s="29" t="str">
        <f>IF(AV376="","",AV376+6)</f>
        <v/>
      </c>
      <c r="AX376" s="28" t="str">
        <f>IF(AV376="","",TEXT(AV376,"dd/mm/yyyy")&amp;" - "&amp;TEXT(AW376,"dd/mm/yyyy"))</f>
        <v/>
      </c>
      <c r="AY376" s="28" t="str">
        <f>IF(B376="","",COUNTIFS($B$5:B376,B376,$AT$5:AT376,AT376))</f>
        <v/>
      </c>
      <c r="AZ376" s="28" t="str">
        <f>IF(B376="","",COUNTIFS($B$5:B376,B376,$AV$5:AV376,AV376))</f>
        <v/>
      </c>
      <c r="BA376" s="28" t="str">
        <f>IF(B376="","",TEXT(AY376,"00")&amp;"|"&amp;B376&amp;"|"&amp;TEXT(AT376,"yyyymmdd"))</f>
        <v/>
      </c>
      <c r="BB376" s="28" t="str">
        <f>IF(B376="","",TEXT(AZ376,"00")&amp;"|"&amp;B376&amp;"|"&amp;TEXT(AV376,"yyyymmdd"))</f>
        <v/>
      </c>
      <c r="BC376" s="28">
        <f>IF(OR(AQ376="YES",AQ376="Yes",AQ376="Y",AQ376=1),1,0)</f>
        <v>0</v>
      </c>
    </row>
    <row r="377" spans="1:55" ht="15" customHeight="1">
      <c r="A377" s="27"/>
      <c r="B377" s="28"/>
      <c r="C377" s="29"/>
      <c r="D377" s="30"/>
      <c r="E377" s="30"/>
      <c r="F377" s="28"/>
      <c r="G377" s="28"/>
      <c r="H377" s="28"/>
      <c r="I377" s="13"/>
      <c r="J377" s="28"/>
      <c r="K377" s="13"/>
      <c r="L377" s="28"/>
      <c r="M377" s="13"/>
      <c r="N377" s="28"/>
      <c r="O377" s="13"/>
      <c r="P377" s="28"/>
      <c r="Q377" s="20"/>
      <c r="R377" s="28"/>
      <c r="S377" s="20"/>
      <c r="T377" s="28"/>
      <c r="U377" s="13"/>
      <c r="V377" s="28"/>
      <c r="W377" s="13"/>
      <c r="X377" s="28"/>
      <c r="Y377" s="13"/>
      <c r="Z377" s="28"/>
      <c r="AA377" s="13"/>
      <c r="AB377" s="28"/>
      <c r="AC377" s="13"/>
      <c r="AD377" s="28"/>
      <c r="AE377" s="13"/>
      <c r="AF377" s="28"/>
      <c r="AG377" s="13"/>
      <c r="AH377" s="28"/>
      <c r="AI377" s="13"/>
      <c r="AJ377" s="28"/>
      <c r="AK377" s="13"/>
      <c r="AL377" s="28"/>
      <c r="AM377" s="13"/>
      <c r="AN377" s="28"/>
      <c r="AO377" s="13"/>
      <c r="AP377" s="28"/>
      <c r="AQ377" s="13"/>
      <c r="AR377" s="28"/>
      <c r="AS377" s="19">
        <f>SUM(H377,J377,L377,N377,P377,R377,T377,V377,X377,Z377,AB377,AD377,AF377,AH377,AJ377,AL377,AN377)</f>
        <v>0</v>
      </c>
      <c r="AT377" s="29" t="str">
        <f>IF(C377="","",DATE(YEAR(C377),MONTH(C377),1))</f>
        <v/>
      </c>
      <c r="AU377" s="28" t="str">
        <f>IF(AT377="","",TEXT(AT377,"mmmm yyyy"))</f>
        <v/>
      </c>
      <c r="AV377" s="29" t="str">
        <f>IF(C377="","",C377-WEEKDAY(C377,2)+1)</f>
        <v/>
      </c>
      <c r="AW377" s="29" t="str">
        <f>IF(AV377="","",AV377+6)</f>
        <v/>
      </c>
      <c r="AX377" s="28" t="str">
        <f>IF(AV377="","",TEXT(AV377,"dd/mm/yyyy")&amp;" - "&amp;TEXT(AW377,"dd/mm/yyyy"))</f>
        <v/>
      </c>
      <c r="AY377" s="28" t="str">
        <f>IF(B377="","",COUNTIFS($B$5:B377,B377,$AT$5:AT377,AT377))</f>
        <v/>
      </c>
      <c r="AZ377" s="28" t="str">
        <f>IF(B377="","",COUNTIFS($B$5:B377,B377,$AV$5:AV377,AV377))</f>
        <v/>
      </c>
      <c r="BA377" s="28" t="str">
        <f>IF(B377="","",TEXT(AY377,"00")&amp;"|"&amp;B377&amp;"|"&amp;TEXT(AT377,"yyyymmdd"))</f>
        <v/>
      </c>
      <c r="BB377" s="28" t="str">
        <f>IF(B377="","",TEXT(AZ377,"00")&amp;"|"&amp;B377&amp;"|"&amp;TEXT(AV377,"yyyymmdd"))</f>
        <v/>
      </c>
      <c r="BC377" s="28">
        <f>IF(OR(AQ377="YES",AQ377="Yes",AQ377="Y",AQ377=1),1,0)</f>
        <v>0</v>
      </c>
    </row>
    <row r="378" spans="1:55" ht="15" customHeight="1">
      <c r="A378" s="27"/>
      <c r="B378" s="28"/>
      <c r="C378" s="29"/>
      <c r="D378" s="30"/>
      <c r="E378" s="30"/>
      <c r="F378" s="28"/>
      <c r="G378" s="28"/>
      <c r="H378" s="28"/>
      <c r="I378" s="13"/>
      <c r="J378" s="28"/>
      <c r="K378" s="13"/>
      <c r="L378" s="28"/>
      <c r="M378" s="13"/>
      <c r="N378" s="28"/>
      <c r="O378" s="13"/>
      <c r="P378" s="28"/>
      <c r="Q378" s="20"/>
      <c r="R378" s="28"/>
      <c r="S378" s="20"/>
      <c r="T378" s="28"/>
      <c r="U378" s="13"/>
      <c r="V378" s="28"/>
      <c r="W378" s="13"/>
      <c r="X378" s="28"/>
      <c r="Y378" s="13"/>
      <c r="Z378" s="28"/>
      <c r="AA378" s="13"/>
      <c r="AB378" s="28"/>
      <c r="AC378" s="13"/>
      <c r="AD378" s="28"/>
      <c r="AE378" s="13"/>
      <c r="AF378" s="28"/>
      <c r="AG378" s="13"/>
      <c r="AH378" s="28"/>
      <c r="AI378" s="13"/>
      <c r="AJ378" s="28"/>
      <c r="AK378" s="13"/>
      <c r="AL378" s="28"/>
      <c r="AM378" s="13"/>
      <c r="AN378" s="28"/>
      <c r="AO378" s="13"/>
      <c r="AP378" s="28"/>
      <c r="AQ378" s="13"/>
      <c r="AR378" s="28"/>
      <c r="AS378" s="19">
        <f>SUM(H378,J378,L378,N378,P378,R378,T378,V378,X378,Z378,AB378,AD378,AF378,AH378,AJ378,AL378,AN378)</f>
        <v>0</v>
      </c>
      <c r="AT378" s="29" t="str">
        <f>IF(C378="","",DATE(YEAR(C378),MONTH(C378),1))</f>
        <v/>
      </c>
      <c r="AU378" s="28" t="str">
        <f>IF(AT378="","",TEXT(AT378,"mmmm yyyy"))</f>
        <v/>
      </c>
      <c r="AV378" s="29" t="str">
        <f>IF(C378="","",C378-WEEKDAY(C378,2)+1)</f>
        <v/>
      </c>
      <c r="AW378" s="29" t="str">
        <f>IF(AV378="","",AV378+6)</f>
        <v/>
      </c>
      <c r="AX378" s="28" t="str">
        <f>IF(AV378="","",TEXT(AV378,"dd/mm/yyyy")&amp;" - "&amp;TEXT(AW378,"dd/mm/yyyy"))</f>
        <v/>
      </c>
      <c r="AY378" s="28" t="str">
        <f>IF(B378="","",COUNTIFS($B$5:B378,B378,$AT$5:AT378,AT378))</f>
        <v/>
      </c>
      <c r="AZ378" s="28" t="str">
        <f>IF(B378="","",COUNTIFS($B$5:B378,B378,$AV$5:AV378,AV378))</f>
        <v/>
      </c>
      <c r="BA378" s="28" t="str">
        <f>IF(B378="","",TEXT(AY378,"00")&amp;"|"&amp;B378&amp;"|"&amp;TEXT(AT378,"yyyymmdd"))</f>
        <v/>
      </c>
      <c r="BB378" s="28" t="str">
        <f>IF(B378="","",TEXT(AZ378,"00")&amp;"|"&amp;B378&amp;"|"&amp;TEXT(AV378,"yyyymmdd"))</f>
        <v/>
      </c>
      <c r="BC378" s="28">
        <f>IF(OR(AQ378="YES",AQ378="Yes",AQ378="Y",AQ378=1),1,0)</f>
        <v>0</v>
      </c>
    </row>
    <row r="379" spans="1:55" ht="15" customHeight="1">
      <c r="A379" s="27"/>
      <c r="B379" s="28"/>
      <c r="C379" s="29"/>
      <c r="D379" s="30"/>
      <c r="E379" s="30"/>
      <c r="F379" s="28"/>
      <c r="G379" s="28"/>
      <c r="H379" s="28"/>
      <c r="I379" s="13"/>
      <c r="J379" s="28"/>
      <c r="K379" s="13"/>
      <c r="L379" s="28"/>
      <c r="M379" s="13"/>
      <c r="N379" s="28"/>
      <c r="O379" s="13"/>
      <c r="P379" s="28"/>
      <c r="Q379" s="20"/>
      <c r="R379" s="28"/>
      <c r="S379" s="20"/>
      <c r="T379" s="28"/>
      <c r="U379" s="13"/>
      <c r="V379" s="28"/>
      <c r="W379" s="13"/>
      <c r="X379" s="28"/>
      <c r="Y379" s="13"/>
      <c r="Z379" s="28"/>
      <c r="AA379" s="13"/>
      <c r="AB379" s="28"/>
      <c r="AC379" s="13"/>
      <c r="AD379" s="28"/>
      <c r="AE379" s="13"/>
      <c r="AF379" s="28"/>
      <c r="AG379" s="13"/>
      <c r="AH379" s="28"/>
      <c r="AI379" s="13"/>
      <c r="AJ379" s="28"/>
      <c r="AK379" s="13"/>
      <c r="AL379" s="28"/>
      <c r="AM379" s="13"/>
      <c r="AN379" s="28"/>
      <c r="AO379" s="13"/>
      <c r="AP379" s="28"/>
      <c r="AQ379" s="13"/>
      <c r="AR379" s="28"/>
      <c r="AS379" s="19">
        <f>SUM(H379,J379,L379,N379,P379,R379,T379,V379,X379,Z379,AB379,AD379,AF379,AH379,AJ379,AL379,AN379)</f>
        <v>0</v>
      </c>
      <c r="AT379" s="29" t="str">
        <f>IF(C379="","",DATE(YEAR(C379),MONTH(C379),1))</f>
        <v/>
      </c>
      <c r="AU379" s="28" t="str">
        <f>IF(AT379="","",TEXT(AT379,"mmmm yyyy"))</f>
        <v/>
      </c>
      <c r="AV379" s="29" t="str">
        <f>IF(C379="","",C379-WEEKDAY(C379,2)+1)</f>
        <v/>
      </c>
      <c r="AW379" s="29" t="str">
        <f>IF(AV379="","",AV379+6)</f>
        <v/>
      </c>
      <c r="AX379" s="28" t="str">
        <f>IF(AV379="","",TEXT(AV379,"dd/mm/yyyy")&amp;" - "&amp;TEXT(AW379,"dd/mm/yyyy"))</f>
        <v/>
      </c>
      <c r="AY379" s="28" t="str">
        <f>IF(B379="","",COUNTIFS($B$5:B379,B379,$AT$5:AT379,AT379))</f>
        <v/>
      </c>
      <c r="AZ379" s="28" t="str">
        <f>IF(B379="","",COUNTIFS($B$5:B379,B379,$AV$5:AV379,AV379))</f>
        <v/>
      </c>
      <c r="BA379" s="28" t="str">
        <f>IF(B379="","",TEXT(AY379,"00")&amp;"|"&amp;B379&amp;"|"&amp;TEXT(AT379,"yyyymmdd"))</f>
        <v/>
      </c>
      <c r="BB379" s="28" t="str">
        <f>IF(B379="","",TEXT(AZ379,"00")&amp;"|"&amp;B379&amp;"|"&amp;TEXT(AV379,"yyyymmdd"))</f>
        <v/>
      </c>
      <c r="BC379" s="28">
        <f>IF(OR(AQ379="YES",AQ379="Yes",AQ379="Y",AQ379=1),1,0)</f>
        <v>0</v>
      </c>
    </row>
    <row r="380" spans="1:55" ht="15" customHeight="1">
      <c r="A380" s="27"/>
      <c r="B380" s="28"/>
      <c r="C380" s="29"/>
      <c r="D380" s="30"/>
      <c r="E380" s="30"/>
      <c r="F380" s="28"/>
      <c r="G380" s="28"/>
      <c r="H380" s="28"/>
      <c r="I380" s="13"/>
      <c r="J380" s="28"/>
      <c r="K380" s="13"/>
      <c r="L380" s="28"/>
      <c r="M380" s="13"/>
      <c r="N380" s="28"/>
      <c r="O380" s="13"/>
      <c r="P380" s="28"/>
      <c r="Q380" s="20"/>
      <c r="R380" s="28"/>
      <c r="S380" s="20"/>
      <c r="T380" s="28"/>
      <c r="U380" s="13"/>
      <c r="V380" s="28"/>
      <c r="W380" s="13"/>
      <c r="X380" s="28"/>
      <c r="Y380" s="13"/>
      <c r="Z380" s="28"/>
      <c r="AA380" s="13"/>
      <c r="AB380" s="28"/>
      <c r="AC380" s="13"/>
      <c r="AD380" s="28"/>
      <c r="AE380" s="13"/>
      <c r="AF380" s="28"/>
      <c r="AG380" s="13"/>
      <c r="AH380" s="28"/>
      <c r="AI380" s="13"/>
      <c r="AJ380" s="28"/>
      <c r="AK380" s="13"/>
      <c r="AL380" s="28"/>
      <c r="AM380" s="13"/>
      <c r="AN380" s="28"/>
      <c r="AO380" s="13"/>
      <c r="AP380" s="28"/>
      <c r="AQ380" s="13"/>
      <c r="AR380" s="28"/>
      <c r="AS380" s="19">
        <f>SUM(H380,J380,L380,N380,P380,R380,T380,V380,X380,Z380,AB380,AD380,AF380,AH380,AJ380,AL380,AN380)</f>
        <v>0</v>
      </c>
      <c r="AT380" s="29" t="str">
        <f>IF(C380="","",DATE(YEAR(C380),MONTH(C380),1))</f>
        <v/>
      </c>
      <c r="AU380" s="28" t="str">
        <f>IF(AT380="","",TEXT(AT380,"mmmm yyyy"))</f>
        <v/>
      </c>
      <c r="AV380" s="29" t="str">
        <f>IF(C380="","",C380-WEEKDAY(C380,2)+1)</f>
        <v/>
      </c>
      <c r="AW380" s="29" t="str">
        <f>IF(AV380="","",AV380+6)</f>
        <v/>
      </c>
      <c r="AX380" s="28" t="str">
        <f>IF(AV380="","",TEXT(AV380,"dd/mm/yyyy")&amp;" - "&amp;TEXT(AW380,"dd/mm/yyyy"))</f>
        <v/>
      </c>
      <c r="AY380" s="28" t="str">
        <f>IF(B380="","",COUNTIFS($B$5:B380,B380,$AT$5:AT380,AT380))</f>
        <v/>
      </c>
      <c r="AZ380" s="28" t="str">
        <f>IF(B380="","",COUNTIFS($B$5:B380,B380,$AV$5:AV380,AV380))</f>
        <v/>
      </c>
      <c r="BA380" s="28" t="str">
        <f>IF(B380="","",TEXT(AY380,"00")&amp;"|"&amp;B380&amp;"|"&amp;TEXT(AT380,"yyyymmdd"))</f>
        <v/>
      </c>
      <c r="BB380" s="28" t="str">
        <f>IF(B380="","",TEXT(AZ380,"00")&amp;"|"&amp;B380&amp;"|"&amp;TEXT(AV380,"yyyymmdd"))</f>
        <v/>
      </c>
      <c r="BC380" s="28">
        <f>IF(OR(AQ380="YES",AQ380="Yes",AQ380="Y",AQ380=1),1,0)</f>
        <v>0</v>
      </c>
    </row>
    <row r="381" spans="1:55" ht="15" customHeight="1">
      <c r="A381" s="27"/>
      <c r="B381" s="28"/>
      <c r="C381" s="29"/>
      <c r="D381" s="30"/>
      <c r="E381" s="30"/>
      <c r="F381" s="28"/>
      <c r="G381" s="28"/>
      <c r="H381" s="28"/>
      <c r="I381" s="13"/>
      <c r="J381" s="28"/>
      <c r="K381" s="13"/>
      <c r="L381" s="28"/>
      <c r="M381" s="13"/>
      <c r="N381" s="28"/>
      <c r="O381" s="13"/>
      <c r="P381" s="28"/>
      <c r="Q381" s="20"/>
      <c r="R381" s="28"/>
      <c r="S381" s="20"/>
      <c r="T381" s="28"/>
      <c r="U381" s="13"/>
      <c r="V381" s="28"/>
      <c r="W381" s="13"/>
      <c r="X381" s="28"/>
      <c r="Y381" s="13"/>
      <c r="Z381" s="28"/>
      <c r="AA381" s="13"/>
      <c r="AB381" s="28"/>
      <c r="AC381" s="13"/>
      <c r="AD381" s="28"/>
      <c r="AE381" s="13"/>
      <c r="AF381" s="28"/>
      <c r="AG381" s="13"/>
      <c r="AH381" s="28"/>
      <c r="AI381" s="13"/>
      <c r="AJ381" s="28"/>
      <c r="AK381" s="13"/>
      <c r="AL381" s="28"/>
      <c r="AM381" s="13"/>
      <c r="AN381" s="28"/>
      <c r="AO381" s="13"/>
      <c r="AP381" s="28"/>
      <c r="AQ381" s="13"/>
      <c r="AR381" s="28"/>
      <c r="AS381" s="19">
        <f>SUM(H381,J381,L381,N381,P381,R381,T381,V381,X381,Z381,AB381,AD381,AF381,AH381,AJ381,AL381,AN381)</f>
        <v>0</v>
      </c>
      <c r="AT381" s="29" t="str">
        <f>IF(C381="","",DATE(YEAR(C381),MONTH(C381),1))</f>
        <v/>
      </c>
      <c r="AU381" s="28" t="str">
        <f>IF(AT381="","",TEXT(AT381,"mmmm yyyy"))</f>
        <v/>
      </c>
      <c r="AV381" s="29" t="str">
        <f>IF(C381="","",C381-WEEKDAY(C381,2)+1)</f>
        <v/>
      </c>
      <c r="AW381" s="29" t="str">
        <f>IF(AV381="","",AV381+6)</f>
        <v/>
      </c>
      <c r="AX381" s="28" t="str">
        <f>IF(AV381="","",TEXT(AV381,"dd/mm/yyyy")&amp;" - "&amp;TEXT(AW381,"dd/mm/yyyy"))</f>
        <v/>
      </c>
      <c r="AY381" s="28" t="str">
        <f>IF(B381="","",COUNTIFS($B$5:B381,B381,$AT$5:AT381,AT381))</f>
        <v/>
      </c>
      <c r="AZ381" s="28" t="str">
        <f>IF(B381="","",COUNTIFS($B$5:B381,B381,$AV$5:AV381,AV381))</f>
        <v/>
      </c>
      <c r="BA381" s="28" t="str">
        <f>IF(B381="","",TEXT(AY381,"00")&amp;"|"&amp;B381&amp;"|"&amp;TEXT(AT381,"yyyymmdd"))</f>
        <v/>
      </c>
      <c r="BB381" s="28" t="str">
        <f>IF(B381="","",TEXT(AZ381,"00")&amp;"|"&amp;B381&amp;"|"&amp;TEXT(AV381,"yyyymmdd"))</f>
        <v/>
      </c>
      <c r="BC381" s="28">
        <f>IF(OR(AQ381="YES",AQ381="Yes",AQ381="Y",AQ381=1),1,0)</f>
        <v>0</v>
      </c>
    </row>
    <row r="382" spans="1:55" ht="15" customHeight="1">
      <c r="A382" s="27"/>
      <c r="B382" s="28"/>
      <c r="C382" s="29"/>
      <c r="D382" s="30"/>
      <c r="E382" s="30"/>
      <c r="F382" s="28"/>
      <c r="G382" s="28"/>
      <c r="H382" s="28"/>
      <c r="I382" s="13"/>
      <c r="J382" s="28"/>
      <c r="K382" s="13"/>
      <c r="L382" s="28"/>
      <c r="M382" s="13"/>
      <c r="N382" s="28"/>
      <c r="O382" s="13"/>
      <c r="P382" s="28"/>
      <c r="Q382" s="20"/>
      <c r="R382" s="28"/>
      <c r="S382" s="20"/>
      <c r="T382" s="28"/>
      <c r="U382" s="13"/>
      <c r="V382" s="28"/>
      <c r="W382" s="13"/>
      <c r="X382" s="28"/>
      <c r="Y382" s="13"/>
      <c r="Z382" s="28"/>
      <c r="AA382" s="13"/>
      <c r="AB382" s="28"/>
      <c r="AC382" s="13"/>
      <c r="AD382" s="28"/>
      <c r="AE382" s="13"/>
      <c r="AF382" s="28"/>
      <c r="AG382" s="13"/>
      <c r="AH382" s="28"/>
      <c r="AI382" s="13"/>
      <c r="AJ382" s="28"/>
      <c r="AK382" s="13"/>
      <c r="AL382" s="28"/>
      <c r="AM382" s="13"/>
      <c r="AN382" s="28"/>
      <c r="AO382" s="13"/>
      <c r="AP382" s="28"/>
      <c r="AQ382" s="13"/>
      <c r="AR382" s="28"/>
      <c r="AS382" s="19">
        <f>SUM(H382,J382,L382,N382,P382,R382,T382,V382,X382,Z382,AB382,AD382,AF382,AH382,AJ382,AL382,AN382)</f>
        <v>0</v>
      </c>
      <c r="AT382" s="29" t="str">
        <f>IF(C382="","",DATE(YEAR(C382),MONTH(C382),1))</f>
        <v/>
      </c>
      <c r="AU382" s="28" t="str">
        <f>IF(AT382="","",TEXT(AT382,"mmmm yyyy"))</f>
        <v/>
      </c>
      <c r="AV382" s="29" t="str">
        <f>IF(C382="","",C382-WEEKDAY(C382,2)+1)</f>
        <v/>
      </c>
      <c r="AW382" s="29" t="str">
        <f>IF(AV382="","",AV382+6)</f>
        <v/>
      </c>
      <c r="AX382" s="28" t="str">
        <f>IF(AV382="","",TEXT(AV382,"dd/mm/yyyy")&amp;" - "&amp;TEXT(AW382,"dd/mm/yyyy"))</f>
        <v/>
      </c>
      <c r="AY382" s="28" t="str">
        <f>IF(B382="","",COUNTIFS($B$5:B382,B382,$AT$5:AT382,AT382))</f>
        <v/>
      </c>
      <c r="AZ382" s="28" t="str">
        <f>IF(B382="","",COUNTIFS($B$5:B382,B382,$AV$5:AV382,AV382))</f>
        <v/>
      </c>
      <c r="BA382" s="28" t="str">
        <f>IF(B382="","",TEXT(AY382,"00")&amp;"|"&amp;B382&amp;"|"&amp;TEXT(AT382,"yyyymmdd"))</f>
        <v/>
      </c>
      <c r="BB382" s="28" t="str">
        <f>IF(B382="","",TEXT(AZ382,"00")&amp;"|"&amp;B382&amp;"|"&amp;TEXT(AV382,"yyyymmdd"))</f>
        <v/>
      </c>
      <c r="BC382" s="28">
        <f>IF(OR(AQ382="YES",AQ382="Yes",AQ382="Y",AQ382=1),1,0)</f>
        <v>0</v>
      </c>
    </row>
    <row r="383" spans="1:55" ht="15" customHeight="1">
      <c r="A383" s="27"/>
      <c r="B383" s="28"/>
      <c r="C383" s="29"/>
      <c r="D383" s="30"/>
      <c r="E383" s="30"/>
      <c r="F383" s="28"/>
      <c r="G383" s="28"/>
      <c r="H383" s="28"/>
      <c r="I383" s="13"/>
      <c r="J383" s="28"/>
      <c r="K383" s="13"/>
      <c r="L383" s="28"/>
      <c r="M383" s="13"/>
      <c r="N383" s="28"/>
      <c r="O383" s="13"/>
      <c r="P383" s="28"/>
      <c r="Q383" s="20"/>
      <c r="R383" s="28"/>
      <c r="S383" s="20"/>
      <c r="T383" s="28"/>
      <c r="U383" s="13"/>
      <c r="V383" s="28"/>
      <c r="W383" s="13"/>
      <c r="X383" s="28"/>
      <c r="Y383" s="13"/>
      <c r="Z383" s="28"/>
      <c r="AA383" s="13"/>
      <c r="AB383" s="28"/>
      <c r="AC383" s="13"/>
      <c r="AD383" s="28"/>
      <c r="AE383" s="13"/>
      <c r="AF383" s="28"/>
      <c r="AG383" s="13"/>
      <c r="AH383" s="28"/>
      <c r="AI383" s="13"/>
      <c r="AJ383" s="28"/>
      <c r="AK383" s="13"/>
      <c r="AL383" s="28"/>
      <c r="AM383" s="13"/>
      <c r="AN383" s="28"/>
      <c r="AO383" s="13"/>
      <c r="AP383" s="28"/>
      <c r="AQ383" s="13"/>
      <c r="AR383" s="28"/>
      <c r="AS383" s="19">
        <f>SUM(H383,J383,L383,N383,P383,R383,T383,V383,X383,Z383,AB383,AD383,AF383,AH383,AJ383,AL383,AN383)</f>
        <v>0</v>
      </c>
      <c r="AT383" s="29" t="str">
        <f>IF(C383="","",DATE(YEAR(C383),MONTH(C383),1))</f>
        <v/>
      </c>
      <c r="AU383" s="28" t="str">
        <f>IF(AT383="","",TEXT(AT383,"mmmm yyyy"))</f>
        <v/>
      </c>
      <c r="AV383" s="29" t="str">
        <f>IF(C383="","",C383-WEEKDAY(C383,2)+1)</f>
        <v/>
      </c>
      <c r="AW383" s="29" t="str">
        <f>IF(AV383="","",AV383+6)</f>
        <v/>
      </c>
      <c r="AX383" s="28" t="str">
        <f>IF(AV383="","",TEXT(AV383,"dd/mm/yyyy")&amp;" - "&amp;TEXT(AW383,"dd/mm/yyyy"))</f>
        <v/>
      </c>
      <c r="AY383" s="28" t="str">
        <f>IF(B383="","",COUNTIFS($B$5:B383,B383,$AT$5:AT383,AT383))</f>
        <v/>
      </c>
      <c r="AZ383" s="28" t="str">
        <f>IF(B383="","",COUNTIFS($B$5:B383,B383,$AV$5:AV383,AV383))</f>
        <v/>
      </c>
      <c r="BA383" s="28" t="str">
        <f>IF(B383="","",TEXT(AY383,"00")&amp;"|"&amp;B383&amp;"|"&amp;TEXT(AT383,"yyyymmdd"))</f>
        <v/>
      </c>
      <c r="BB383" s="28" t="str">
        <f>IF(B383="","",TEXT(AZ383,"00")&amp;"|"&amp;B383&amp;"|"&amp;TEXT(AV383,"yyyymmdd"))</f>
        <v/>
      </c>
      <c r="BC383" s="28">
        <f>IF(OR(AQ383="YES",AQ383="Yes",AQ383="Y",AQ383=1),1,0)</f>
        <v>0</v>
      </c>
    </row>
    <row r="384" spans="1:55" ht="15" customHeight="1">
      <c r="A384" s="27"/>
      <c r="B384" s="28"/>
      <c r="C384" s="29"/>
      <c r="D384" s="30"/>
      <c r="E384" s="30"/>
      <c r="F384" s="28"/>
      <c r="G384" s="28"/>
      <c r="H384" s="28"/>
      <c r="I384" s="13"/>
      <c r="J384" s="28"/>
      <c r="K384" s="13"/>
      <c r="L384" s="28"/>
      <c r="M384" s="13"/>
      <c r="N384" s="28"/>
      <c r="O384" s="13"/>
      <c r="P384" s="28"/>
      <c r="Q384" s="20"/>
      <c r="R384" s="28"/>
      <c r="S384" s="20"/>
      <c r="T384" s="28"/>
      <c r="U384" s="13"/>
      <c r="V384" s="28"/>
      <c r="W384" s="13"/>
      <c r="X384" s="28"/>
      <c r="Y384" s="13"/>
      <c r="Z384" s="28"/>
      <c r="AA384" s="13"/>
      <c r="AB384" s="28"/>
      <c r="AC384" s="13"/>
      <c r="AD384" s="28"/>
      <c r="AE384" s="13"/>
      <c r="AF384" s="28"/>
      <c r="AG384" s="13"/>
      <c r="AH384" s="28"/>
      <c r="AI384" s="13"/>
      <c r="AJ384" s="28"/>
      <c r="AK384" s="13"/>
      <c r="AL384" s="28"/>
      <c r="AM384" s="13"/>
      <c r="AN384" s="28"/>
      <c r="AO384" s="13"/>
      <c r="AP384" s="28"/>
      <c r="AQ384" s="13"/>
      <c r="AR384" s="28"/>
      <c r="AS384" s="19">
        <f>SUM(H384,J384,L384,N384,P384,R384,T384,V384,X384,Z384,AB384,AD384,AF384,AH384,AJ384,AL384,AN384)</f>
        <v>0</v>
      </c>
      <c r="AT384" s="29" t="str">
        <f>IF(C384="","",DATE(YEAR(C384),MONTH(C384),1))</f>
        <v/>
      </c>
      <c r="AU384" s="28" t="str">
        <f>IF(AT384="","",TEXT(AT384,"mmmm yyyy"))</f>
        <v/>
      </c>
      <c r="AV384" s="29" t="str">
        <f>IF(C384="","",C384-WEEKDAY(C384,2)+1)</f>
        <v/>
      </c>
      <c r="AW384" s="29" t="str">
        <f>IF(AV384="","",AV384+6)</f>
        <v/>
      </c>
      <c r="AX384" s="28" t="str">
        <f>IF(AV384="","",TEXT(AV384,"dd/mm/yyyy")&amp;" - "&amp;TEXT(AW384,"dd/mm/yyyy"))</f>
        <v/>
      </c>
      <c r="AY384" s="28" t="str">
        <f>IF(B384="","",COUNTIFS($B$5:B384,B384,$AT$5:AT384,AT384))</f>
        <v/>
      </c>
      <c r="AZ384" s="28" t="str">
        <f>IF(B384="","",COUNTIFS($B$5:B384,B384,$AV$5:AV384,AV384))</f>
        <v/>
      </c>
      <c r="BA384" s="28" t="str">
        <f>IF(B384="","",TEXT(AY384,"00")&amp;"|"&amp;B384&amp;"|"&amp;TEXT(AT384,"yyyymmdd"))</f>
        <v/>
      </c>
      <c r="BB384" s="28" t="str">
        <f>IF(B384="","",TEXT(AZ384,"00")&amp;"|"&amp;B384&amp;"|"&amp;TEXT(AV384,"yyyymmdd"))</f>
        <v/>
      </c>
      <c r="BC384" s="28">
        <f>IF(OR(AQ384="YES",AQ384="Yes",AQ384="Y",AQ384=1),1,0)</f>
        <v>0</v>
      </c>
    </row>
    <row r="385" spans="1:55" ht="15" customHeight="1">
      <c r="A385" s="27"/>
      <c r="B385" s="28"/>
      <c r="C385" s="29"/>
      <c r="D385" s="30"/>
      <c r="E385" s="30"/>
      <c r="F385" s="28"/>
      <c r="G385" s="28"/>
      <c r="H385" s="28"/>
      <c r="I385" s="13"/>
      <c r="J385" s="28"/>
      <c r="K385" s="13"/>
      <c r="L385" s="28"/>
      <c r="M385" s="13"/>
      <c r="N385" s="28"/>
      <c r="O385" s="13"/>
      <c r="P385" s="28"/>
      <c r="Q385" s="20"/>
      <c r="R385" s="28"/>
      <c r="S385" s="20"/>
      <c r="T385" s="28"/>
      <c r="U385" s="13"/>
      <c r="V385" s="28"/>
      <c r="W385" s="13"/>
      <c r="X385" s="28"/>
      <c r="Y385" s="13"/>
      <c r="Z385" s="28"/>
      <c r="AA385" s="13"/>
      <c r="AB385" s="28"/>
      <c r="AC385" s="13"/>
      <c r="AD385" s="28"/>
      <c r="AE385" s="13"/>
      <c r="AF385" s="28"/>
      <c r="AG385" s="13"/>
      <c r="AH385" s="28"/>
      <c r="AI385" s="13"/>
      <c r="AJ385" s="28"/>
      <c r="AK385" s="13"/>
      <c r="AL385" s="28"/>
      <c r="AM385" s="13"/>
      <c r="AN385" s="28"/>
      <c r="AO385" s="13"/>
      <c r="AP385" s="28"/>
      <c r="AQ385" s="13"/>
      <c r="AR385" s="28"/>
      <c r="AS385" s="19">
        <f>SUM(H385,J385,L385,N385,P385,R385,T385,V385,X385,Z385,AB385,AD385,AF385,AH385,AJ385,AL385,AN385)</f>
        <v>0</v>
      </c>
      <c r="AT385" s="29" t="str">
        <f>IF(C385="","",DATE(YEAR(C385),MONTH(C385),1))</f>
        <v/>
      </c>
      <c r="AU385" s="28" t="str">
        <f>IF(AT385="","",TEXT(AT385,"mmmm yyyy"))</f>
        <v/>
      </c>
      <c r="AV385" s="29" t="str">
        <f>IF(C385="","",C385-WEEKDAY(C385,2)+1)</f>
        <v/>
      </c>
      <c r="AW385" s="29" t="str">
        <f>IF(AV385="","",AV385+6)</f>
        <v/>
      </c>
      <c r="AX385" s="28" t="str">
        <f>IF(AV385="","",TEXT(AV385,"dd/mm/yyyy")&amp;" - "&amp;TEXT(AW385,"dd/mm/yyyy"))</f>
        <v/>
      </c>
      <c r="AY385" s="28" t="str">
        <f>IF(B385="","",COUNTIFS($B$5:B385,B385,$AT$5:AT385,AT385))</f>
        <v/>
      </c>
      <c r="AZ385" s="28" t="str">
        <f>IF(B385="","",COUNTIFS($B$5:B385,B385,$AV$5:AV385,AV385))</f>
        <v/>
      </c>
      <c r="BA385" s="28" t="str">
        <f>IF(B385="","",TEXT(AY385,"00")&amp;"|"&amp;B385&amp;"|"&amp;TEXT(AT385,"yyyymmdd"))</f>
        <v/>
      </c>
      <c r="BB385" s="28" t="str">
        <f>IF(B385="","",TEXT(AZ385,"00")&amp;"|"&amp;B385&amp;"|"&amp;TEXT(AV385,"yyyymmdd"))</f>
        <v/>
      </c>
      <c r="BC385" s="28">
        <f>IF(OR(AQ385="YES",AQ385="Yes",AQ385="Y",AQ385=1),1,0)</f>
        <v>0</v>
      </c>
    </row>
    <row r="386" spans="1:55" ht="15" customHeight="1">
      <c r="A386" s="27"/>
      <c r="B386" s="28"/>
      <c r="C386" s="29"/>
      <c r="D386" s="30"/>
      <c r="E386" s="30"/>
      <c r="F386" s="28"/>
      <c r="G386" s="28"/>
      <c r="H386" s="28"/>
      <c r="I386" s="13"/>
      <c r="J386" s="28"/>
      <c r="K386" s="13"/>
      <c r="L386" s="28"/>
      <c r="M386" s="13"/>
      <c r="N386" s="28"/>
      <c r="O386" s="13"/>
      <c r="P386" s="28"/>
      <c r="Q386" s="20"/>
      <c r="R386" s="28"/>
      <c r="S386" s="20"/>
      <c r="T386" s="28"/>
      <c r="U386" s="13"/>
      <c r="V386" s="28"/>
      <c r="W386" s="13"/>
      <c r="X386" s="28"/>
      <c r="Y386" s="13"/>
      <c r="Z386" s="28"/>
      <c r="AA386" s="13"/>
      <c r="AB386" s="28"/>
      <c r="AC386" s="13"/>
      <c r="AD386" s="28"/>
      <c r="AE386" s="13"/>
      <c r="AF386" s="28"/>
      <c r="AG386" s="13"/>
      <c r="AH386" s="28"/>
      <c r="AI386" s="13"/>
      <c r="AJ386" s="28"/>
      <c r="AK386" s="13"/>
      <c r="AL386" s="28"/>
      <c r="AM386" s="13"/>
      <c r="AN386" s="28"/>
      <c r="AO386" s="13"/>
      <c r="AP386" s="28"/>
      <c r="AQ386" s="13"/>
      <c r="AR386" s="28"/>
      <c r="AS386" s="19">
        <f>SUM(H386,J386,L386,N386,P386,R386,T386,V386,X386,Z386,AB386,AD386,AF386,AH386,AJ386,AL386,AN386)</f>
        <v>0</v>
      </c>
      <c r="AT386" s="29" t="str">
        <f>IF(C386="","",DATE(YEAR(C386),MONTH(C386),1))</f>
        <v/>
      </c>
      <c r="AU386" s="28" t="str">
        <f>IF(AT386="","",TEXT(AT386,"mmmm yyyy"))</f>
        <v/>
      </c>
      <c r="AV386" s="29" t="str">
        <f>IF(C386="","",C386-WEEKDAY(C386,2)+1)</f>
        <v/>
      </c>
      <c r="AW386" s="29" t="str">
        <f>IF(AV386="","",AV386+6)</f>
        <v/>
      </c>
      <c r="AX386" s="28" t="str">
        <f>IF(AV386="","",TEXT(AV386,"dd/mm/yyyy")&amp;" - "&amp;TEXT(AW386,"dd/mm/yyyy"))</f>
        <v/>
      </c>
      <c r="AY386" s="28" t="str">
        <f>IF(B386="","",COUNTIFS($B$5:B386,B386,$AT$5:AT386,AT386))</f>
        <v/>
      </c>
      <c r="AZ386" s="28" t="str">
        <f>IF(B386="","",COUNTIFS($B$5:B386,B386,$AV$5:AV386,AV386))</f>
        <v/>
      </c>
      <c r="BA386" s="28" t="str">
        <f>IF(B386="","",TEXT(AY386,"00")&amp;"|"&amp;B386&amp;"|"&amp;TEXT(AT386,"yyyymmdd"))</f>
        <v/>
      </c>
      <c r="BB386" s="28" t="str">
        <f>IF(B386="","",TEXT(AZ386,"00")&amp;"|"&amp;B386&amp;"|"&amp;TEXT(AV386,"yyyymmdd"))</f>
        <v/>
      </c>
      <c r="BC386" s="28">
        <f>IF(OR(AQ386="YES",AQ386="Yes",AQ386="Y",AQ386=1),1,0)</f>
        <v>0</v>
      </c>
    </row>
    <row r="387" spans="1:55" ht="15" customHeight="1">
      <c r="A387" s="27"/>
      <c r="B387" s="28"/>
      <c r="C387" s="29"/>
      <c r="D387" s="30"/>
      <c r="E387" s="30"/>
      <c r="F387" s="28"/>
      <c r="G387" s="28"/>
      <c r="H387" s="28"/>
      <c r="I387" s="13"/>
      <c r="J387" s="28"/>
      <c r="K387" s="13"/>
      <c r="L387" s="28"/>
      <c r="M387" s="13"/>
      <c r="N387" s="28"/>
      <c r="O387" s="13"/>
      <c r="P387" s="28"/>
      <c r="Q387" s="20"/>
      <c r="R387" s="28"/>
      <c r="S387" s="20"/>
      <c r="T387" s="28"/>
      <c r="U387" s="13"/>
      <c r="V387" s="28"/>
      <c r="W387" s="13"/>
      <c r="X387" s="28"/>
      <c r="Y387" s="13"/>
      <c r="Z387" s="28"/>
      <c r="AA387" s="13"/>
      <c r="AB387" s="28"/>
      <c r="AC387" s="13"/>
      <c r="AD387" s="28"/>
      <c r="AE387" s="13"/>
      <c r="AF387" s="28"/>
      <c r="AG387" s="13"/>
      <c r="AH387" s="28"/>
      <c r="AI387" s="13"/>
      <c r="AJ387" s="28"/>
      <c r="AK387" s="13"/>
      <c r="AL387" s="28"/>
      <c r="AM387" s="13"/>
      <c r="AN387" s="28"/>
      <c r="AO387" s="13"/>
      <c r="AP387" s="28"/>
      <c r="AQ387" s="13"/>
      <c r="AR387" s="28"/>
      <c r="AS387" s="19">
        <f>SUM(H387,J387,L387,N387,P387,R387,T387,V387,X387,Z387,AB387,AD387,AF387,AH387,AJ387,AL387,AN387)</f>
        <v>0</v>
      </c>
      <c r="AT387" s="29" t="str">
        <f>IF(C387="","",DATE(YEAR(C387),MONTH(C387),1))</f>
        <v/>
      </c>
      <c r="AU387" s="28" t="str">
        <f>IF(AT387="","",TEXT(AT387,"mmmm yyyy"))</f>
        <v/>
      </c>
      <c r="AV387" s="29" t="str">
        <f>IF(C387="","",C387-WEEKDAY(C387,2)+1)</f>
        <v/>
      </c>
      <c r="AW387" s="29" t="str">
        <f>IF(AV387="","",AV387+6)</f>
        <v/>
      </c>
      <c r="AX387" s="28" t="str">
        <f>IF(AV387="","",TEXT(AV387,"dd/mm/yyyy")&amp;" - "&amp;TEXT(AW387,"dd/mm/yyyy"))</f>
        <v/>
      </c>
      <c r="AY387" s="28" t="str">
        <f>IF(B387="","",COUNTIFS($B$5:B387,B387,$AT$5:AT387,AT387))</f>
        <v/>
      </c>
      <c r="AZ387" s="28" t="str">
        <f>IF(B387="","",COUNTIFS($B$5:B387,B387,$AV$5:AV387,AV387))</f>
        <v/>
      </c>
      <c r="BA387" s="28" t="str">
        <f>IF(B387="","",TEXT(AY387,"00")&amp;"|"&amp;B387&amp;"|"&amp;TEXT(AT387,"yyyymmdd"))</f>
        <v/>
      </c>
      <c r="BB387" s="28" t="str">
        <f>IF(B387="","",TEXT(AZ387,"00")&amp;"|"&amp;B387&amp;"|"&amp;TEXT(AV387,"yyyymmdd"))</f>
        <v/>
      </c>
      <c r="BC387" s="28">
        <f>IF(OR(AQ387="YES",AQ387="Yes",AQ387="Y",AQ387=1),1,0)</f>
        <v>0</v>
      </c>
    </row>
    <row r="388" spans="1:55" ht="15" customHeight="1">
      <c r="A388" s="27"/>
      <c r="B388" s="28"/>
      <c r="C388" s="29"/>
      <c r="D388" s="30"/>
      <c r="E388" s="30"/>
      <c r="F388" s="28"/>
      <c r="G388" s="28"/>
      <c r="H388" s="28"/>
      <c r="I388" s="13"/>
      <c r="J388" s="28"/>
      <c r="K388" s="13"/>
      <c r="L388" s="28"/>
      <c r="M388" s="13"/>
      <c r="N388" s="28"/>
      <c r="O388" s="13"/>
      <c r="P388" s="28"/>
      <c r="Q388" s="20"/>
      <c r="R388" s="28"/>
      <c r="S388" s="20"/>
      <c r="T388" s="28"/>
      <c r="U388" s="13"/>
      <c r="V388" s="28"/>
      <c r="W388" s="13"/>
      <c r="X388" s="28"/>
      <c r="Y388" s="13"/>
      <c r="Z388" s="28"/>
      <c r="AA388" s="13"/>
      <c r="AB388" s="28"/>
      <c r="AC388" s="13"/>
      <c r="AD388" s="28"/>
      <c r="AE388" s="13"/>
      <c r="AF388" s="28"/>
      <c r="AG388" s="13"/>
      <c r="AH388" s="28"/>
      <c r="AI388" s="13"/>
      <c r="AJ388" s="28"/>
      <c r="AK388" s="13"/>
      <c r="AL388" s="28"/>
      <c r="AM388" s="13"/>
      <c r="AN388" s="28"/>
      <c r="AO388" s="13"/>
      <c r="AP388" s="28"/>
      <c r="AQ388" s="13"/>
      <c r="AR388" s="28"/>
      <c r="AS388" s="19">
        <f>SUM(H388,J388,L388,N388,P388,R388,T388,V388,X388,Z388,AB388,AD388,AF388,AH388,AJ388,AL388,AN388)</f>
        <v>0</v>
      </c>
      <c r="AT388" s="29" t="str">
        <f>IF(C388="","",DATE(YEAR(C388),MONTH(C388),1))</f>
        <v/>
      </c>
      <c r="AU388" s="28" t="str">
        <f>IF(AT388="","",TEXT(AT388,"mmmm yyyy"))</f>
        <v/>
      </c>
      <c r="AV388" s="29" t="str">
        <f>IF(C388="","",C388-WEEKDAY(C388,2)+1)</f>
        <v/>
      </c>
      <c r="AW388" s="29" t="str">
        <f>IF(AV388="","",AV388+6)</f>
        <v/>
      </c>
      <c r="AX388" s="28" t="str">
        <f>IF(AV388="","",TEXT(AV388,"dd/mm/yyyy")&amp;" - "&amp;TEXT(AW388,"dd/mm/yyyy"))</f>
        <v/>
      </c>
      <c r="AY388" s="28" t="str">
        <f>IF(B388="","",COUNTIFS($B$5:B388,B388,$AT$5:AT388,AT388))</f>
        <v/>
      </c>
      <c r="AZ388" s="28" t="str">
        <f>IF(B388="","",COUNTIFS($B$5:B388,B388,$AV$5:AV388,AV388))</f>
        <v/>
      </c>
      <c r="BA388" s="28" t="str">
        <f>IF(B388="","",TEXT(AY388,"00")&amp;"|"&amp;B388&amp;"|"&amp;TEXT(AT388,"yyyymmdd"))</f>
        <v/>
      </c>
      <c r="BB388" s="28" t="str">
        <f>IF(B388="","",TEXT(AZ388,"00")&amp;"|"&amp;B388&amp;"|"&amp;TEXT(AV388,"yyyymmdd"))</f>
        <v/>
      </c>
      <c r="BC388" s="28">
        <f>IF(OR(AQ388="YES",AQ388="Yes",AQ388="Y",AQ388=1),1,0)</f>
        <v>0</v>
      </c>
    </row>
    <row r="389" spans="1:55" ht="15" customHeight="1">
      <c r="A389" s="27"/>
      <c r="B389" s="28"/>
      <c r="C389" s="29"/>
      <c r="D389" s="30"/>
      <c r="E389" s="30"/>
      <c r="F389" s="28"/>
      <c r="G389" s="28"/>
      <c r="H389" s="28"/>
      <c r="I389" s="13"/>
      <c r="J389" s="28"/>
      <c r="K389" s="13"/>
      <c r="L389" s="28"/>
      <c r="M389" s="13"/>
      <c r="N389" s="28"/>
      <c r="O389" s="13"/>
      <c r="P389" s="28"/>
      <c r="Q389" s="20"/>
      <c r="R389" s="28"/>
      <c r="S389" s="20"/>
      <c r="T389" s="28"/>
      <c r="U389" s="13"/>
      <c r="V389" s="28"/>
      <c r="W389" s="13"/>
      <c r="X389" s="28"/>
      <c r="Y389" s="13"/>
      <c r="Z389" s="28"/>
      <c r="AA389" s="13"/>
      <c r="AB389" s="28"/>
      <c r="AC389" s="13"/>
      <c r="AD389" s="28"/>
      <c r="AE389" s="13"/>
      <c r="AF389" s="28"/>
      <c r="AG389" s="13"/>
      <c r="AH389" s="28"/>
      <c r="AI389" s="13"/>
      <c r="AJ389" s="28"/>
      <c r="AK389" s="13"/>
      <c r="AL389" s="28"/>
      <c r="AM389" s="13"/>
      <c r="AN389" s="28"/>
      <c r="AO389" s="13"/>
      <c r="AP389" s="28"/>
      <c r="AQ389" s="13"/>
      <c r="AR389" s="28"/>
      <c r="AS389" s="19">
        <f>SUM(H389,J389,L389,N389,P389,R389,T389,V389,X389,Z389,AB389,AD389,AF389,AH389,AJ389,AL389,AN389)</f>
        <v>0</v>
      </c>
      <c r="AT389" s="29" t="str">
        <f>IF(C389="","",DATE(YEAR(C389),MONTH(C389),1))</f>
        <v/>
      </c>
      <c r="AU389" s="28" t="str">
        <f>IF(AT389="","",TEXT(AT389,"mmmm yyyy"))</f>
        <v/>
      </c>
      <c r="AV389" s="29" t="str">
        <f>IF(C389="","",C389-WEEKDAY(C389,2)+1)</f>
        <v/>
      </c>
      <c r="AW389" s="29" t="str">
        <f>IF(AV389="","",AV389+6)</f>
        <v/>
      </c>
      <c r="AX389" s="28" t="str">
        <f>IF(AV389="","",TEXT(AV389,"dd/mm/yyyy")&amp;" - "&amp;TEXT(AW389,"dd/mm/yyyy"))</f>
        <v/>
      </c>
      <c r="AY389" s="28" t="str">
        <f>IF(B389="","",COUNTIFS($B$5:B389,B389,$AT$5:AT389,AT389))</f>
        <v/>
      </c>
      <c r="AZ389" s="28" t="str">
        <f>IF(B389="","",COUNTIFS($B$5:B389,B389,$AV$5:AV389,AV389))</f>
        <v/>
      </c>
      <c r="BA389" s="28" t="str">
        <f>IF(B389="","",TEXT(AY389,"00")&amp;"|"&amp;B389&amp;"|"&amp;TEXT(AT389,"yyyymmdd"))</f>
        <v/>
      </c>
      <c r="BB389" s="28" t="str">
        <f>IF(B389="","",TEXT(AZ389,"00")&amp;"|"&amp;B389&amp;"|"&amp;TEXT(AV389,"yyyymmdd"))</f>
        <v/>
      </c>
      <c r="BC389" s="28">
        <f>IF(OR(AQ389="YES",AQ389="Yes",AQ389="Y",AQ389=1),1,0)</f>
        <v>0</v>
      </c>
    </row>
    <row r="390" spans="1:55" ht="15" customHeight="1">
      <c r="A390" s="27"/>
      <c r="B390" s="28"/>
      <c r="C390" s="29"/>
      <c r="D390" s="30"/>
      <c r="E390" s="30"/>
      <c r="F390" s="28"/>
      <c r="G390" s="28"/>
      <c r="H390" s="28"/>
      <c r="I390" s="13"/>
      <c r="J390" s="28"/>
      <c r="K390" s="13"/>
      <c r="L390" s="28"/>
      <c r="M390" s="13"/>
      <c r="N390" s="28"/>
      <c r="O390" s="13"/>
      <c r="P390" s="28"/>
      <c r="Q390" s="20"/>
      <c r="R390" s="28"/>
      <c r="S390" s="20"/>
      <c r="T390" s="28"/>
      <c r="U390" s="13"/>
      <c r="V390" s="28"/>
      <c r="W390" s="13"/>
      <c r="X390" s="28"/>
      <c r="Y390" s="13"/>
      <c r="Z390" s="28"/>
      <c r="AA390" s="13"/>
      <c r="AB390" s="28"/>
      <c r="AC390" s="13"/>
      <c r="AD390" s="28"/>
      <c r="AE390" s="13"/>
      <c r="AF390" s="28"/>
      <c r="AG390" s="13"/>
      <c r="AH390" s="28"/>
      <c r="AI390" s="13"/>
      <c r="AJ390" s="28"/>
      <c r="AK390" s="13"/>
      <c r="AL390" s="28"/>
      <c r="AM390" s="13"/>
      <c r="AN390" s="28"/>
      <c r="AO390" s="13"/>
      <c r="AP390" s="28"/>
      <c r="AQ390" s="13"/>
      <c r="AR390" s="28"/>
      <c r="AS390" s="19">
        <f>SUM(H390,J390,L390,N390,P390,R390,T390,V390,X390,Z390,AB390,AD390,AF390,AH390,AJ390,AL390,AN390)</f>
        <v>0</v>
      </c>
      <c r="AT390" s="29" t="str">
        <f>IF(C390="","",DATE(YEAR(C390),MONTH(C390),1))</f>
        <v/>
      </c>
      <c r="AU390" s="28" t="str">
        <f>IF(AT390="","",TEXT(AT390,"mmmm yyyy"))</f>
        <v/>
      </c>
      <c r="AV390" s="29" t="str">
        <f>IF(C390="","",C390-WEEKDAY(C390,2)+1)</f>
        <v/>
      </c>
      <c r="AW390" s="29" t="str">
        <f>IF(AV390="","",AV390+6)</f>
        <v/>
      </c>
      <c r="AX390" s="28" t="str">
        <f>IF(AV390="","",TEXT(AV390,"dd/mm/yyyy")&amp;" - "&amp;TEXT(AW390,"dd/mm/yyyy"))</f>
        <v/>
      </c>
      <c r="AY390" s="28" t="str">
        <f>IF(B390="","",COUNTIFS($B$5:B390,B390,$AT$5:AT390,AT390))</f>
        <v/>
      </c>
      <c r="AZ390" s="28" t="str">
        <f>IF(B390="","",COUNTIFS($B$5:B390,B390,$AV$5:AV390,AV390))</f>
        <v/>
      </c>
      <c r="BA390" s="28" t="str">
        <f>IF(B390="","",TEXT(AY390,"00")&amp;"|"&amp;B390&amp;"|"&amp;TEXT(AT390,"yyyymmdd"))</f>
        <v/>
      </c>
      <c r="BB390" s="28" t="str">
        <f>IF(B390="","",TEXT(AZ390,"00")&amp;"|"&amp;B390&amp;"|"&amp;TEXT(AV390,"yyyymmdd"))</f>
        <v/>
      </c>
      <c r="BC390" s="28">
        <f>IF(OR(AQ390="YES",AQ390="Yes",AQ390="Y",AQ390=1),1,0)</f>
        <v>0</v>
      </c>
    </row>
    <row r="391" spans="1:55" ht="15" customHeight="1">
      <c r="A391" s="27"/>
      <c r="B391" s="28"/>
      <c r="C391" s="29"/>
      <c r="D391" s="30"/>
      <c r="E391" s="30"/>
      <c r="F391" s="28"/>
      <c r="G391" s="28"/>
      <c r="H391" s="28"/>
      <c r="I391" s="13"/>
      <c r="J391" s="28"/>
      <c r="K391" s="13"/>
      <c r="L391" s="28"/>
      <c r="M391" s="13"/>
      <c r="N391" s="28"/>
      <c r="O391" s="13"/>
      <c r="P391" s="28"/>
      <c r="Q391" s="20"/>
      <c r="R391" s="28"/>
      <c r="S391" s="20"/>
      <c r="T391" s="28"/>
      <c r="U391" s="13"/>
      <c r="V391" s="28"/>
      <c r="W391" s="13"/>
      <c r="X391" s="28"/>
      <c r="Y391" s="13"/>
      <c r="Z391" s="28"/>
      <c r="AA391" s="13"/>
      <c r="AB391" s="28"/>
      <c r="AC391" s="13"/>
      <c r="AD391" s="28"/>
      <c r="AE391" s="13"/>
      <c r="AF391" s="28"/>
      <c r="AG391" s="13"/>
      <c r="AH391" s="28"/>
      <c r="AI391" s="13"/>
      <c r="AJ391" s="28"/>
      <c r="AK391" s="13"/>
      <c r="AL391" s="28"/>
      <c r="AM391" s="13"/>
      <c r="AN391" s="28"/>
      <c r="AO391" s="13"/>
      <c r="AP391" s="28"/>
      <c r="AQ391" s="13"/>
      <c r="AR391" s="28"/>
      <c r="AS391" s="19">
        <f>SUM(H391,J391,L391,N391,P391,R391,T391,V391,X391,Z391,AB391,AD391,AF391,AH391,AJ391,AL391,AN391)</f>
        <v>0</v>
      </c>
      <c r="AT391" s="29" t="str">
        <f>IF(C391="","",DATE(YEAR(C391),MONTH(C391),1))</f>
        <v/>
      </c>
      <c r="AU391" s="28" t="str">
        <f>IF(AT391="","",TEXT(AT391,"mmmm yyyy"))</f>
        <v/>
      </c>
      <c r="AV391" s="29" t="str">
        <f>IF(C391="","",C391-WEEKDAY(C391,2)+1)</f>
        <v/>
      </c>
      <c r="AW391" s="29" t="str">
        <f>IF(AV391="","",AV391+6)</f>
        <v/>
      </c>
      <c r="AX391" s="28" t="str">
        <f>IF(AV391="","",TEXT(AV391,"dd/mm/yyyy")&amp;" - "&amp;TEXT(AW391,"dd/mm/yyyy"))</f>
        <v/>
      </c>
      <c r="AY391" s="28" t="str">
        <f>IF(B391="","",COUNTIFS($B$5:B391,B391,$AT$5:AT391,AT391))</f>
        <v/>
      </c>
      <c r="AZ391" s="28" t="str">
        <f>IF(B391="","",COUNTIFS($B$5:B391,B391,$AV$5:AV391,AV391))</f>
        <v/>
      </c>
      <c r="BA391" s="28" t="str">
        <f>IF(B391="","",TEXT(AY391,"00")&amp;"|"&amp;B391&amp;"|"&amp;TEXT(AT391,"yyyymmdd"))</f>
        <v/>
      </c>
      <c r="BB391" s="28" t="str">
        <f>IF(B391="","",TEXT(AZ391,"00")&amp;"|"&amp;B391&amp;"|"&amp;TEXT(AV391,"yyyymmdd"))</f>
        <v/>
      </c>
      <c r="BC391" s="28">
        <f>IF(OR(AQ391="YES",AQ391="Yes",AQ391="Y",AQ391=1),1,0)</f>
        <v>0</v>
      </c>
    </row>
    <row r="392" spans="1:55" ht="15" customHeight="1">
      <c r="A392" s="27"/>
      <c r="B392" s="28"/>
      <c r="C392" s="29"/>
      <c r="D392" s="30"/>
      <c r="E392" s="30"/>
      <c r="F392" s="28"/>
      <c r="G392" s="28"/>
      <c r="H392" s="28"/>
      <c r="I392" s="13"/>
      <c r="J392" s="28"/>
      <c r="K392" s="13"/>
      <c r="L392" s="28"/>
      <c r="M392" s="13"/>
      <c r="N392" s="28"/>
      <c r="O392" s="13"/>
      <c r="P392" s="28"/>
      <c r="Q392" s="20"/>
      <c r="R392" s="28"/>
      <c r="S392" s="20"/>
      <c r="T392" s="28"/>
      <c r="U392" s="13"/>
      <c r="V392" s="28"/>
      <c r="W392" s="13"/>
      <c r="X392" s="28"/>
      <c r="Y392" s="13"/>
      <c r="Z392" s="28"/>
      <c r="AA392" s="13"/>
      <c r="AB392" s="28"/>
      <c r="AC392" s="13"/>
      <c r="AD392" s="28"/>
      <c r="AE392" s="13"/>
      <c r="AF392" s="28"/>
      <c r="AG392" s="13"/>
      <c r="AH392" s="28"/>
      <c r="AI392" s="13"/>
      <c r="AJ392" s="28"/>
      <c r="AK392" s="13"/>
      <c r="AL392" s="28"/>
      <c r="AM392" s="13"/>
      <c r="AN392" s="28"/>
      <c r="AO392" s="13"/>
      <c r="AP392" s="28"/>
      <c r="AQ392" s="13"/>
      <c r="AR392" s="28"/>
      <c r="AS392" s="19">
        <f>SUM(H392,J392,L392,N392,P392,R392,T392,V392,X392,Z392,AB392,AD392,AF392,AH392,AJ392,AL392,AN392)</f>
        <v>0</v>
      </c>
      <c r="AT392" s="29" t="str">
        <f>IF(C392="","",DATE(YEAR(C392),MONTH(C392),1))</f>
        <v/>
      </c>
      <c r="AU392" s="28" t="str">
        <f>IF(AT392="","",TEXT(AT392,"mmmm yyyy"))</f>
        <v/>
      </c>
      <c r="AV392" s="29" t="str">
        <f>IF(C392="","",C392-WEEKDAY(C392,2)+1)</f>
        <v/>
      </c>
      <c r="AW392" s="29" t="str">
        <f>IF(AV392="","",AV392+6)</f>
        <v/>
      </c>
      <c r="AX392" s="28" t="str">
        <f>IF(AV392="","",TEXT(AV392,"dd/mm/yyyy")&amp;" - "&amp;TEXT(AW392,"dd/mm/yyyy"))</f>
        <v/>
      </c>
      <c r="AY392" s="28" t="str">
        <f>IF(B392="","",COUNTIFS($B$5:B392,B392,$AT$5:AT392,AT392))</f>
        <v/>
      </c>
      <c r="AZ392" s="28" t="str">
        <f>IF(B392="","",COUNTIFS($B$5:B392,B392,$AV$5:AV392,AV392))</f>
        <v/>
      </c>
      <c r="BA392" s="28" t="str">
        <f>IF(B392="","",TEXT(AY392,"00")&amp;"|"&amp;B392&amp;"|"&amp;TEXT(AT392,"yyyymmdd"))</f>
        <v/>
      </c>
      <c r="BB392" s="28" t="str">
        <f>IF(B392="","",TEXT(AZ392,"00")&amp;"|"&amp;B392&amp;"|"&amp;TEXT(AV392,"yyyymmdd"))</f>
        <v/>
      </c>
      <c r="BC392" s="28">
        <f>IF(OR(AQ392="YES",AQ392="Yes",AQ392="Y",AQ392=1),1,0)</f>
        <v>0</v>
      </c>
    </row>
    <row r="393" spans="1:55" ht="15" customHeight="1">
      <c r="A393" s="27"/>
      <c r="B393" s="28"/>
      <c r="C393" s="29"/>
      <c r="D393" s="30"/>
      <c r="E393" s="30"/>
      <c r="F393" s="28"/>
      <c r="G393" s="28"/>
      <c r="H393" s="28"/>
      <c r="I393" s="13"/>
      <c r="J393" s="28"/>
      <c r="K393" s="13"/>
      <c r="L393" s="28"/>
      <c r="M393" s="13"/>
      <c r="N393" s="28"/>
      <c r="O393" s="13"/>
      <c r="P393" s="28"/>
      <c r="Q393" s="20"/>
      <c r="R393" s="28"/>
      <c r="S393" s="20"/>
      <c r="T393" s="28"/>
      <c r="U393" s="13"/>
      <c r="V393" s="28"/>
      <c r="W393" s="13"/>
      <c r="X393" s="28"/>
      <c r="Y393" s="13"/>
      <c r="Z393" s="28"/>
      <c r="AA393" s="13"/>
      <c r="AB393" s="28"/>
      <c r="AC393" s="13"/>
      <c r="AD393" s="28"/>
      <c r="AE393" s="13"/>
      <c r="AF393" s="28"/>
      <c r="AG393" s="13"/>
      <c r="AH393" s="28"/>
      <c r="AI393" s="13"/>
      <c r="AJ393" s="28"/>
      <c r="AK393" s="13"/>
      <c r="AL393" s="28"/>
      <c r="AM393" s="13"/>
      <c r="AN393" s="28"/>
      <c r="AO393" s="13"/>
      <c r="AP393" s="28"/>
      <c r="AQ393" s="13"/>
      <c r="AR393" s="28"/>
      <c r="AS393" s="19">
        <f>SUM(H393,J393,L393,N393,P393,R393,T393,V393,X393,Z393,AB393,AD393,AF393,AH393,AJ393,AL393,AN393)</f>
        <v>0</v>
      </c>
      <c r="AT393" s="29" t="str">
        <f>IF(C393="","",DATE(YEAR(C393),MONTH(C393),1))</f>
        <v/>
      </c>
      <c r="AU393" s="28" t="str">
        <f>IF(AT393="","",TEXT(AT393,"mmmm yyyy"))</f>
        <v/>
      </c>
      <c r="AV393" s="29" t="str">
        <f>IF(C393="","",C393-WEEKDAY(C393,2)+1)</f>
        <v/>
      </c>
      <c r="AW393" s="29" t="str">
        <f>IF(AV393="","",AV393+6)</f>
        <v/>
      </c>
      <c r="AX393" s="28" t="str">
        <f>IF(AV393="","",TEXT(AV393,"dd/mm/yyyy")&amp;" - "&amp;TEXT(AW393,"dd/mm/yyyy"))</f>
        <v/>
      </c>
      <c r="AY393" s="28" t="str">
        <f>IF(B393="","",COUNTIFS($B$5:B393,B393,$AT$5:AT393,AT393))</f>
        <v/>
      </c>
      <c r="AZ393" s="28" t="str">
        <f>IF(B393="","",COUNTIFS($B$5:B393,B393,$AV$5:AV393,AV393))</f>
        <v/>
      </c>
      <c r="BA393" s="28" t="str">
        <f>IF(B393="","",TEXT(AY393,"00")&amp;"|"&amp;B393&amp;"|"&amp;TEXT(AT393,"yyyymmdd"))</f>
        <v/>
      </c>
      <c r="BB393" s="28" t="str">
        <f>IF(B393="","",TEXT(AZ393,"00")&amp;"|"&amp;B393&amp;"|"&amp;TEXT(AV393,"yyyymmdd"))</f>
        <v/>
      </c>
      <c r="BC393" s="28">
        <f>IF(OR(AQ393="YES",AQ393="Yes",AQ393="Y",AQ393=1),1,0)</f>
        <v>0</v>
      </c>
    </row>
    <row r="394" spans="1:55" ht="15" customHeight="1">
      <c r="A394" s="27"/>
      <c r="B394" s="28"/>
      <c r="C394" s="29"/>
      <c r="D394" s="30"/>
      <c r="E394" s="30"/>
      <c r="F394" s="28"/>
      <c r="G394" s="28"/>
      <c r="H394" s="28"/>
      <c r="I394" s="13"/>
      <c r="J394" s="28"/>
      <c r="K394" s="13"/>
      <c r="L394" s="28"/>
      <c r="M394" s="13"/>
      <c r="N394" s="28"/>
      <c r="O394" s="13"/>
      <c r="P394" s="28"/>
      <c r="Q394" s="20"/>
      <c r="R394" s="28"/>
      <c r="S394" s="20"/>
      <c r="T394" s="28"/>
      <c r="U394" s="13"/>
      <c r="V394" s="28"/>
      <c r="W394" s="13"/>
      <c r="X394" s="28"/>
      <c r="Y394" s="13"/>
      <c r="Z394" s="28"/>
      <c r="AA394" s="13"/>
      <c r="AB394" s="28"/>
      <c r="AC394" s="13"/>
      <c r="AD394" s="28"/>
      <c r="AE394" s="13"/>
      <c r="AF394" s="28"/>
      <c r="AG394" s="13"/>
      <c r="AH394" s="28"/>
      <c r="AI394" s="13"/>
      <c r="AJ394" s="28"/>
      <c r="AK394" s="13"/>
      <c r="AL394" s="28"/>
      <c r="AM394" s="13"/>
      <c r="AN394" s="28"/>
      <c r="AO394" s="13"/>
      <c r="AP394" s="28"/>
      <c r="AQ394" s="13"/>
      <c r="AR394" s="28"/>
      <c r="AS394" s="19">
        <f>SUM(H394,J394,L394,N394,P394,R394,T394,V394,X394,Z394,AB394,AD394,AF394,AH394,AJ394,AL394,AN394)</f>
        <v>0</v>
      </c>
      <c r="AT394" s="29" t="str">
        <f>IF(C394="","",DATE(YEAR(C394),MONTH(C394),1))</f>
        <v/>
      </c>
      <c r="AU394" s="28" t="str">
        <f>IF(AT394="","",TEXT(AT394,"mmmm yyyy"))</f>
        <v/>
      </c>
      <c r="AV394" s="29" t="str">
        <f>IF(C394="","",C394-WEEKDAY(C394,2)+1)</f>
        <v/>
      </c>
      <c r="AW394" s="29" t="str">
        <f>IF(AV394="","",AV394+6)</f>
        <v/>
      </c>
      <c r="AX394" s="28" t="str">
        <f>IF(AV394="","",TEXT(AV394,"dd/mm/yyyy")&amp;" - "&amp;TEXT(AW394,"dd/mm/yyyy"))</f>
        <v/>
      </c>
      <c r="AY394" s="28" t="str">
        <f>IF(B394="","",COUNTIFS($B$5:B394,B394,$AT$5:AT394,AT394))</f>
        <v/>
      </c>
      <c r="AZ394" s="28" t="str">
        <f>IF(B394="","",COUNTIFS($B$5:B394,B394,$AV$5:AV394,AV394))</f>
        <v/>
      </c>
      <c r="BA394" s="28" t="str">
        <f>IF(B394="","",TEXT(AY394,"00")&amp;"|"&amp;B394&amp;"|"&amp;TEXT(AT394,"yyyymmdd"))</f>
        <v/>
      </c>
      <c r="BB394" s="28" t="str">
        <f>IF(B394="","",TEXT(AZ394,"00")&amp;"|"&amp;B394&amp;"|"&amp;TEXT(AV394,"yyyymmdd"))</f>
        <v/>
      </c>
      <c r="BC394" s="28">
        <f>IF(OR(AQ394="YES",AQ394="Yes",AQ394="Y",AQ394=1),1,0)</f>
        <v>0</v>
      </c>
    </row>
    <row r="395" spans="1:55" ht="15" customHeight="1">
      <c r="A395" s="27"/>
      <c r="B395" s="28"/>
      <c r="C395" s="29"/>
      <c r="D395" s="30"/>
      <c r="E395" s="30"/>
      <c r="F395" s="28"/>
      <c r="G395" s="28"/>
      <c r="H395" s="28"/>
      <c r="I395" s="13"/>
      <c r="J395" s="28"/>
      <c r="K395" s="13"/>
      <c r="L395" s="28"/>
      <c r="M395" s="13"/>
      <c r="N395" s="28"/>
      <c r="O395" s="13"/>
      <c r="P395" s="28"/>
      <c r="Q395" s="20"/>
      <c r="R395" s="28"/>
      <c r="S395" s="20"/>
      <c r="T395" s="28"/>
      <c r="U395" s="13"/>
      <c r="V395" s="28"/>
      <c r="W395" s="13"/>
      <c r="X395" s="28"/>
      <c r="Y395" s="13"/>
      <c r="Z395" s="28"/>
      <c r="AA395" s="13"/>
      <c r="AB395" s="28"/>
      <c r="AC395" s="13"/>
      <c r="AD395" s="28"/>
      <c r="AE395" s="13"/>
      <c r="AF395" s="28"/>
      <c r="AG395" s="13"/>
      <c r="AH395" s="28"/>
      <c r="AI395" s="13"/>
      <c r="AJ395" s="28"/>
      <c r="AK395" s="13"/>
      <c r="AL395" s="28"/>
      <c r="AM395" s="13"/>
      <c r="AN395" s="28"/>
      <c r="AO395" s="13"/>
      <c r="AP395" s="28"/>
      <c r="AQ395" s="13"/>
      <c r="AR395" s="28"/>
      <c r="AS395" s="19">
        <f>SUM(H395,J395,L395,N395,P395,R395,T395,V395,X395,Z395,AB395,AD395,AF395,AH395,AJ395,AL395,AN395)</f>
        <v>0</v>
      </c>
      <c r="AT395" s="29" t="str">
        <f>IF(C395="","",DATE(YEAR(C395),MONTH(C395),1))</f>
        <v/>
      </c>
      <c r="AU395" s="28" t="str">
        <f>IF(AT395="","",TEXT(AT395,"mmmm yyyy"))</f>
        <v/>
      </c>
      <c r="AV395" s="29" t="str">
        <f>IF(C395="","",C395-WEEKDAY(C395,2)+1)</f>
        <v/>
      </c>
      <c r="AW395" s="29" t="str">
        <f>IF(AV395="","",AV395+6)</f>
        <v/>
      </c>
      <c r="AX395" s="28" t="str">
        <f>IF(AV395="","",TEXT(AV395,"dd/mm/yyyy")&amp;" - "&amp;TEXT(AW395,"dd/mm/yyyy"))</f>
        <v/>
      </c>
      <c r="AY395" s="28" t="str">
        <f>IF(B395="","",COUNTIFS($B$5:B395,B395,$AT$5:AT395,AT395))</f>
        <v/>
      </c>
      <c r="AZ395" s="28" t="str">
        <f>IF(B395="","",COUNTIFS($B$5:B395,B395,$AV$5:AV395,AV395))</f>
        <v/>
      </c>
      <c r="BA395" s="28" t="str">
        <f>IF(B395="","",TEXT(AY395,"00")&amp;"|"&amp;B395&amp;"|"&amp;TEXT(AT395,"yyyymmdd"))</f>
        <v/>
      </c>
      <c r="BB395" s="28" t="str">
        <f>IF(B395="","",TEXT(AZ395,"00")&amp;"|"&amp;B395&amp;"|"&amp;TEXT(AV395,"yyyymmdd"))</f>
        <v/>
      </c>
      <c r="BC395" s="28">
        <f>IF(OR(AQ395="YES",AQ395="Yes",AQ395="Y",AQ395=1),1,0)</f>
        <v>0</v>
      </c>
    </row>
    <row r="396" spans="1:55" ht="15" customHeight="1">
      <c r="A396" s="27"/>
      <c r="B396" s="28"/>
      <c r="C396" s="29"/>
      <c r="D396" s="30"/>
      <c r="E396" s="30"/>
      <c r="F396" s="28"/>
      <c r="G396" s="28"/>
      <c r="H396" s="28"/>
      <c r="I396" s="13"/>
      <c r="J396" s="28"/>
      <c r="K396" s="13"/>
      <c r="L396" s="28"/>
      <c r="M396" s="13"/>
      <c r="N396" s="28"/>
      <c r="O396" s="13"/>
      <c r="P396" s="28"/>
      <c r="Q396" s="20"/>
      <c r="R396" s="28"/>
      <c r="S396" s="20"/>
      <c r="T396" s="28"/>
      <c r="U396" s="13"/>
      <c r="V396" s="28"/>
      <c r="W396" s="13"/>
      <c r="X396" s="28"/>
      <c r="Y396" s="13"/>
      <c r="Z396" s="28"/>
      <c r="AA396" s="13"/>
      <c r="AB396" s="28"/>
      <c r="AC396" s="13"/>
      <c r="AD396" s="28"/>
      <c r="AE396" s="13"/>
      <c r="AF396" s="28"/>
      <c r="AG396" s="13"/>
      <c r="AH396" s="28"/>
      <c r="AI396" s="13"/>
      <c r="AJ396" s="28"/>
      <c r="AK396" s="13"/>
      <c r="AL396" s="28"/>
      <c r="AM396" s="13"/>
      <c r="AN396" s="28"/>
      <c r="AO396" s="13"/>
      <c r="AP396" s="28"/>
      <c r="AQ396" s="13"/>
      <c r="AR396" s="28"/>
      <c r="AS396" s="19">
        <f>SUM(H396,J396,L396,N396,P396,R396,T396,V396,X396,Z396,AB396,AD396,AF396,AH396,AJ396,AL396,AN396)</f>
        <v>0</v>
      </c>
      <c r="AT396" s="29" t="str">
        <f>IF(C396="","",DATE(YEAR(C396),MONTH(C396),1))</f>
        <v/>
      </c>
      <c r="AU396" s="28" t="str">
        <f>IF(AT396="","",TEXT(AT396,"mmmm yyyy"))</f>
        <v/>
      </c>
      <c r="AV396" s="29" t="str">
        <f>IF(C396="","",C396-WEEKDAY(C396,2)+1)</f>
        <v/>
      </c>
      <c r="AW396" s="29" t="str">
        <f>IF(AV396="","",AV396+6)</f>
        <v/>
      </c>
      <c r="AX396" s="28" t="str">
        <f>IF(AV396="","",TEXT(AV396,"dd/mm/yyyy")&amp;" - "&amp;TEXT(AW396,"dd/mm/yyyy"))</f>
        <v/>
      </c>
      <c r="AY396" s="28" t="str">
        <f>IF(B396="","",COUNTIFS($B$5:B396,B396,$AT$5:AT396,AT396))</f>
        <v/>
      </c>
      <c r="AZ396" s="28" t="str">
        <f>IF(B396="","",COUNTIFS($B$5:B396,B396,$AV$5:AV396,AV396))</f>
        <v/>
      </c>
      <c r="BA396" s="28" t="str">
        <f>IF(B396="","",TEXT(AY396,"00")&amp;"|"&amp;B396&amp;"|"&amp;TEXT(AT396,"yyyymmdd"))</f>
        <v/>
      </c>
      <c r="BB396" s="28" t="str">
        <f>IF(B396="","",TEXT(AZ396,"00")&amp;"|"&amp;B396&amp;"|"&amp;TEXT(AV396,"yyyymmdd"))</f>
        <v/>
      </c>
      <c r="BC396" s="28">
        <f>IF(OR(AQ396="YES",AQ396="Yes",AQ396="Y",AQ396=1),1,0)</f>
        <v>0</v>
      </c>
    </row>
    <row r="397" spans="1:55" ht="15" customHeight="1">
      <c r="A397" s="27"/>
      <c r="B397" s="28"/>
      <c r="C397" s="29"/>
      <c r="D397" s="30"/>
      <c r="E397" s="30"/>
      <c r="F397" s="28"/>
      <c r="G397" s="28"/>
      <c r="H397" s="28"/>
      <c r="I397" s="13"/>
      <c r="J397" s="28"/>
      <c r="K397" s="13"/>
      <c r="L397" s="28"/>
      <c r="M397" s="13"/>
      <c r="N397" s="28"/>
      <c r="O397" s="13"/>
      <c r="P397" s="28"/>
      <c r="Q397" s="20"/>
      <c r="R397" s="28"/>
      <c r="S397" s="20"/>
      <c r="T397" s="28"/>
      <c r="U397" s="13"/>
      <c r="V397" s="28"/>
      <c r="W397" s="13"/>
      <c r="X397" s="28"/>
      <c r="Y397" s="13"/>
      <c r="Z397" s="28"/>
      <c r="AA397" s="13"/>
      <c r="AB397" s="28"/>
      <c r="AC397" s="13"/>
      <c r="AD397" s="28"/>
      <c r="AE397" s="13"/>
      <c r="AF397" s="28"/>
      <c r="AG397" s="13"/>
      <c r="AH397" s="28"/>
      <c r="AI397" s="13"/>
      <c r="AJ397" s="28"/>
      <c r="AK397" s="13"/>
      <c r="AL397" s="28"/>
      <c r="AM397" s="13"/>
      <c r="AN397" s="28"/>
      <c r="AO397" s="13"/>
      <c r="AP397" s="28"/>
      <c r="AQ397" s="13"/>
      <c r="AR397" s="28"/>
      <c r="AS397" s="19">
        <f>SUM(H397,J397,L397,N397,P397,R397,T397,V397,X397,Z397,AB397,AD397,AF397,AH397,AJ397,AL397,AN397)</f>
        <v>0</v>
      </c>
      <c r="AT397" s="29" t="str">
        <f>IF(C397="","",DATE(YEAR(C397),MONTH(C397),1))</f>
        <v/>
      </c>
      <c r="AU397" s="28" t="str">
        <f>IF(AT397="","",TEXT(AT397,"mmmm yyyy"))</f>
        <v/>
      </c>
      <c r="AV397" s="29" t="str">
        <f>IF(C397="","",C397-WEEKDAY(C397,2)+1)</f>
        <v/>
      </c>
      <c r="AW397" s="29" t="str">
        <f>IF(AV397="","",AV397+6)</f>
        <v/>
      </c>
      <c r="AX397" s="28" t="str">
        <f>IF(AV397="","",TEXT(AV397,"dd/mm/yyyy")&amp;" - "&amp;TEXT(AW397,"dd/mm/yyyy"))</f>
        <v/>
      </c>
      <c r="AY397" s="28" t="str">
        <f>IF(B397="","",COUNTIFS($B$5:B397,B397,$AT$5:AT397,AT397))</f>
        <v/>
      </c>
      <c r="AZ397" s="28" t="str">
        <f>IF(B397="","",COUNTIFS($B$5:B397,B397,$AV$5:AV397,AV397))</f>
        <v/>
      </c>
      <c r="BA397" s="28" t="str">
        <f>IF(B397="","",TEXT(AY397,"00")&amp;"|"&amp;B397&amp;"|"&amp;TEXT(AT397,"yyyymmdd"))</f>
        <v/>
      </c>
      <c r="BB397" s="28" t="str">
        <f>IF(B397="","",TEXT(AZ397,"00")&amp;"|"&amp;B397&amp;"|"&amp;TEXT(AV397,"yyyymmdd"))</f>
        <v/>
      </c>
      <c r="BC397" s="28">
        <f>IF(OR(AQ397="YES",AQ397="Yes",AQ397="Y",AQ397=1),1,0)</f>
        <v>0</v>
      </c>
    </row>
    <row r="398" spans="1:55" ht="15" customHeight="1">
      <c r="A398" s="27"/>
      <c r="B398" s="28"/>
      <c r="C398" s="29"/>
      <c r="D398" s="30"/>
      <c r="E398" s="30"/>
      <c r="F398" s="28"/>
      <c r="G398" s="28"/>
      <c r="H398" s="28"/>
      <c r="I398" s="13"/>
      <c r="J398" s="28"/>
      <c r="K398" s="13"/>
      <c r="L398" s="28"/>
      <c r="M398" s="13"/>
      <c r="N398" s="28"/>
      <c r="O398" s="13"/>
      <c r="P398" s="28"/>
      <c r="Q398" s="20"/>
      <c r="R398" s="28"/>
      <c r="S398" s="20"/>
      <c r="T398" s="28"/>
      <c r="U398" s="13"/>
      <c r="V398" s="28"/>
      <c r="W398" s="13"/>
      <c r="X398" s="28"/>
      <c r="Y398" s="13"/>
      <c r="Z398" s="28"/>
      <c r="AA398" s="13"/>
      <c r="AB398" s="28"/>
      <c r="AC398" s="13"/>
      <c r="AD398" s="28"/>
      <c r="AE398" s="13"/>
      <c r="AF398" s="28"/>
      <c r="AG398" s="13"/>
      <c r="AH398" s="28"/>
      <c r="AI398" s="13"/>
      <c r="AJ398" s="28"/>
      <c r="AK398" s="13"/>
      <c r="AL398" s="28"/>
      <c r="AM398" s="13"/>
      <c r="AN398" s="28"/>
      <c r="AO398" s="13"/>
      <c r="AP398" s="28"/>
      <c r="AQ398" s="13"/>
      <c r="AR398" s="28"/>
      <c r="AS398" s="19">
        <f>SUM(H398,J398,L398,N398,P398,R398,T398,V398,X398,Z398,AB398,AD398,AF398,AH398,AJ398,AL398,AN398)</f>
        <v>0</v>
      </c>
      <c r="AT398" s="29" t="str">
        <f>IF(C398="","",DATE(YEAR(C398),MONTH(C398),1))</f>
        <v/>
      </c>
      <c r="AU398" s="28" t="str">
        <f>IF(AT398="","",TEXT(AT398,"mmmm yyyy"))</f>
        <v/>
      </c>
      <c r="AV398" s="29" t="str">
        <f>IF(C398="","",C398-WEEKDAY(C398,2)+1)</f>
        <v/>
      </c>
      <c r="AW398" s="29" t="str">
        <f>IF(AV398="","",AV398+6)</f>
        <v/>
      </c>
      <c r="AX398" s="28" t="str">
        <f>IF(AV398="","",TEXT(AV398,"dd/mm/yyyy")&amp;" - "&amp;TEXT(AW398,"dd/mm/yyyy"))</f>
        <v/>
      </c>
      <c r="AY398" s="28" t="str">
        <f>IF(B398="","",COUNTIFS($B$5:B398,B398,$AT$5:AT398,AT398))</f>
        <v/>
      </c>
      <c r="AZ398" s="28" t="str">
        <f>IF(B398="","",COUNTIFS($B$5:B398,B398,$AV$5:AV398,AV398))</f>
        <v/>
      </c>
      <c r="BA398" s="28" t="str">
        <f>IF(B398="","",TEXT(AY398,"00")&amp;"|"&amp;B398&amp;"|"&amp;TEXT(AT398,"yyyymmdd"))</f>
        <v/>
      </c>
      <c r="BB398" s="28" t="str">
        <f>IF(B398="","",TEXT(AZ398,"00")&amp;"|"&amp;B398&amp;"|"&amp;TEXT(AV398,"yyyymmdd"))</f>
        <v/>
      </c>
      <c r="BC398" s="28">
        <f>IF(OR(AQ398="YES",AQ398="Yes",AQ398="Y",AQ398=1),1,0)</f>
        <v>0</v>
      </c>
    </row>
    <row r="399" spans="1:55" ht="15" customHeight="1">
      <c r="A399" s="27"/>
      <c r="B399" s="28"/>
      <c r="C399" s="29"/>
      <c r="D399" s="30"/>
      <c r="E399" s="30"/>
      <c r="F399" s="28"/>
      <c r="G399" s="28"/>
      <c r="H399" s="28"/>
      <c r="I399" s="13"/>
      <c r="J399" s="28"/>
      <c r="K399" s="13"/>
      <c r="L399" s="28"/>
      <c r="M399" s="13"/>
      <c r="N399" s="28"/>
      <c r="O399" s="13"/>
      <c r="P399" s="28"/>
      <c r="Q399" s="20"/>
      <c r="R399" s="28"/>
      <c r="S399" s="20"/>
      <c r="T399" s="28"/>
      <c r="U399" s="13"/>
      <c r="V399" s="28"/>
      <c r="W399" s="13"/>
      <c r="X399" s="28"/>
      <c r="Y399" s="13"/>
      <c r="Z399" s="28"/>
      <c r="AA399" s="13"/>
      <c r="AB399" s="28"/>
      <c r="AC399" s="13"/>
      <c r="AD399" s="28"/>
      <c r="AE399" s="13"/>
      <c r="AF399" s="28"/>
      <c r="AG399" s="13"/>
      <c r="AH399" s="28"/>
      <c r="AI399" s="13"/>
      <c r="AJ399" s="28"/>
      <c r="AK399" s="13"/>
      <c r="AL399" s="28"/>
      <c r="AM399" s="13"/>
      <c r="AN399" s="28"/>
      <c r="AO399" s="13"/>
      <c r="AP399" s="28"/>
      <c r="AQ399" s="13"/>
      <c r="AR399" s="28"/>
      <c r="AS399" s="19">
        <f>SUM(H399,J399,L399,N399,P399,R399,T399,V399,X399,Z399,AB399,AD399,AF399,AH399,AJ399,AL399,AN399)</f>
        <v>0</v>
      </c>
      <c r="AT399" s="29" t="str">
        <f>IF(C399="","",DATE(YEAR(C399),MONTH(C399),1))</f>
        <v/>
      </c>
      <c r="AU399" s="28" t="str">
        <f>IF(AT399="","",TEXT(AT399,"mmmm yyyy"))</f>
        <v/>
      </c>
      <c r="AV399" s="29" t="str">
        <f>IF(C399="","",C399-WEEKDAY(C399,2)+1)</f>
        <v/>
      </c>
      <c r="AW399" s="29" t="str">
        <f>IF(AV399="","",AV399+6)</f>
        <v/>
      </c>
      <c r="AX399" s="28" t="str">
        <f>IF(AV399="","",TEXT(AV399,"dd/mm/yyyy")&amp;" - "&amp;TEXT(AW399,"dd/mm/yyyy"))</f>
        <v/>
      </c>
      <c r="AY399" s="28" t="str">
        <f>IF(B399="","",COUNTIFS($B$5:B399,B399,$AT$5:AT399,AT399))</f>
        <v/>
      </c>
      <c r="AZ399" s="28" t="str">
        <f>IF(B399="","",COUNTIFS($B$5:B399,B399,$AV$5:AV399,AV399))</f>
        <v/>
      </c>
      <c r="BA399" s="28" t="str">
        <f>IF(B399="","",TEXT(AY399,"00")&amp;"|"&amp;B399&amp;"|"&amp;TEXT(AT399,"yyyymmdd"))</f>
        <v/>
      </c>
      <c r="BB399" s="28" t="str">
        <f>IF(B399="","",TEXT(AZ399,"00")&amp;"|"&amp;B399&amp;"|"&amp;TEXT(AV399,"yyyymmdd"))</f>
        <v/>
      </c>
      <c r="BC399" s="28">
        <f>IF(OR(AQ399="YES",AQ399="Yes",AQ399="Y",AQ399=1),1,0)</f>
        <v>0</v>
      </c>
    </row>
    <row r="400" spans="1:55" ht="15" customHeight="1">
      <c r="A400" s="27"/>
      <c r="B400" s="28"/>
      <c r="C400" s="29"/>
      <c r="D400" s="30"/>
      <c r="E400" s="30"/>
      <c r="F400" s="28"/>
      <c r="G400" s="28"/>
      <c r="H400" s="28"/>
      <c r="I400" s="13"/>
      <c r="J400" s="28"/>
      <c r="K400" s="13"/>
      <c r="L400" s="28"/>
      <c r="M400" s="13"/>
      <c r="N400" s="28"/>
      <c r="O400" s="13"/>
      <c r="P400" s="28"/>
      <c r="Q400" s="20"/>
      <c r="R400" s="28"/>
      <c r="S400" s="20"/>
      <c r="T400" s="28"/>
      <c r="U400" s="13"/>
      <c r="V400" s="28"/>
      <c r="W400" s="13"/>
      <c r="X400" s="28"/>
      <c r="Y400" s="13"/>
      <c r="Z400" s="28"/>
      <c r="AA400" s="13"/>
      <c r="AB400" s="28"/>
      <c r="AC400" s="13"/>
      <c r="AD400" s="28"/>
      <c r="AE400" s="13"/>
      <c r="AF400" s="28"/>
      <c r="AG400" s="13"/>
      <c r="AH400" s="28"/>
      <c r="AI400" s="13"/>
      <c r="AJ400" s="28"/>
      <c r="AK400" s="13"/>
      <c r="AL400" s="28"/>
      <c r="AM400" s="13"/>
      <c r="AN400" s="28"/>
      <c r="AO400" s="13"/>
      <c r="AP400" s="28"/>
      <c r="AQ400" s="13"/>
      <c r="AR400" s="28"/>
      <c r="AS400" s="19">
        <f>SUM(H400,J400,L400,N400,P400,R400,T400,V400,X400,Z400,AB400,AD400,AF400,AH400,AJ400,AL400,AN400)</f>
        <v>0</v>
      </c>
      <c r="AT400" s="29" t="str">
        <f>IF(C400="","",DATE(YEAR(C400),MONTH(C400),1))</f>
        <v/>
      </c>
      <c r="AU400" s="28" t="str">
        <f>IF(AT400="","",TEXT(AT400,"mmmm yyyy"))</f>
        <v/>
      </c>
      <c r="AV400" s="29" t="str">
        <f>IF(C400="","",C400-WEEKDAY(C400,2)+1)</f>
        <v/>
      </c>
      <c r="AW400" s="29" t="str">
        <f>IF(AV400="","",AV400+6)</f>
        <v/>
      </c>
      <c r="AX400" s="28" t="str">
        <f>IF(AV400="","",TEXT(AV400,"dd/mm/yyyy")&amp;" - "&amp;TEXT(AW400,"dd/mm/yyyy"))</f>
        <v/>
      </c>
      <c r="AY400" s="28" t="str">
        <f>IF(B400="","",COUNTIFS($B$5:B400,B400,$AT$5:AT400,AT400))</f>
        <v/>
      </c>
      <c r="AZ400" s="28" t="str">
        <f>IF(B400="","",COUNTIFS($B$5:B400,B400,$AV$5:AV400,AV400))</f>
        <v/>
      </c>
      <c r="BA400" s="28" t="str">
        <f>IF(B400="","",TEXT(AY400,"00")&amp;"|"&amp;B400&amp;"|"&amp;TEXT(AT400,"yyyymmdd"))</f>
        <v/>
      </c>
      <c r="BB400" s="28" t="str">
        <f>IF(B400="","",TEXT(AZ400,"00")&amp;"|"&amp;B400&amp;"|"&amp;TEXT(AV400,"yyyymmdd"))</f>
        <v/>
      </c>
      <c r="BC400" s="28">
        <f>IF(OR(AQ400="YES",AQ400="Yes",AQ400="Y",AQ400=1),1,0)</f>
        <v>0</v>
      </c>
    </row>
    <row r="401" spans="1:55" ht="15" customHeight="1">
      <c r="A401" s="27"/>
      <c r="B401" s="28"/>
      <c r="C401" s="29"/>
      <c r="D401" s="30"/>
      <c r="E401" s="30"/>
      <c r="F401" s="28"/>
      <c r="G401" s="28"/>
      <c r="H401" s="28"/>
      <c r="I401" s="13"/>
      <c r="J401" s="28"/>
      <c r="K401" s="13"/>
      <c r="L401" s="28"/>
      <c r="M401" s="13"/>
      <c r="N401" s="28"/>
      <c r="O401" s="13"/>
      <c r="P401" s="28"/>
      <c r="Q401" s="20"/>
      <c r="R401" s="28"/>
      <c r="S401" s="20"/>
      <c r="T401" s="28"/>
      <c r="U401" s="13"/>
      <c r="V401" s="28"/>
      <c r="W401" s="13"/>
      <c r="X401" s="28"/>
      <c r="Y401" s="13"/>
      <c r="Z401" s="28"/>
      <c r="AA401" s="13"/>
      <c r="AB401" s="28"/>
      <c r="AC401" s="13"/>
      <c r="AD401" s="28"/>
      <c r="AE401" s="13"/>
      <c r="AF401" s="28"/>
      <c r="AG401" s="13"/>
      <c r="AH401" s="28"/>
      <c r="AI401" s="13"/>
      <c r="AJ401" s="28"/>
      <c r="AK401" s="13"/>
      <c r="AL401" s="28"/>
      <c r="AM401" s="13"/>
      <c r="AN401" s="28"/>
      <c r="AO401" s="13"/>
      <c r="AP401" s="28"/>
      <c r="AQ401" s="13"/>
      <c r="AR401" s="28"/>
      <c r="AS401" s="19">
        <f>SUM(H401,J401,L401,N401,P401,R401,T401,V401,X401,Z401,AB401,AD401,AF401,AH401,AJ401,AL401,AN401)</f>
        <v>0</v>
      </c>
      <c r="AT401" s="29" t="str">
        <f>IF(C401="","",DATE(YEAR(C401),MONTH(C401),1))</f>
        <v/>
      </c>
      <c r="AU401" s="28" t="str">
        <f>IF(AT401="","",TEXT(AT401,"mmmm yyyy"))</f>
        <v/>
      </c>
      <c r="AV401" s="29" t="str">
        <f>IF(C401="","",C401-WEEKDAY(C401,2)+1)</f>
        <v/>
      </c>
      <c r="AW401" s="29" t="str">
        <f>IF(AV401="","",AV401+6)</f>
        <v/>
      </c>
      <c r="AX401" s="28" t="str">
        <f>IF(AV401="","",TEXT(AV401,"dd/mm/yyyy")&amp;" - "&amp;TEXT(AW401,"dd/mm/yyyy"))</f>
        <v/>
      </c>
      <c r="AY401" s="28" t="str">
        <f>IF(B401="","",COUNTIFS($B$5:B401,B401,$AT$5:AT401,AT401))</f>
        <v/>
      </c>
      <c r="AZ401" s="28" t="str">
        <f>IF(B401="","",COUNTIFS($B$5:B401,B401,$AV$5:AV401,AV401))</f>
        <v/>
      </c>
      <c r="BA401" s="28" t="str">
        <f>IF(B401="","",TEXT(AY401,"00")&amp;"|"&amp;B401&amp;"|"&amp;TEXT(AT401,"yyyymmdd"))</f>
        <v/>
      </c>
      <c r="BB401" s="28" t="str">
        <f>IF(B401="","",TEXT(AZ401,"00")&amp;"|"&amp;B401&amp;"|"&amp;TEXT(AV401,"yyyymmdd"))</f>
        <v/>
      </c>
      <c r="BC401" s="28">
        <f>IF(OR(AQ401="YES",AQ401="Yes",AQ401="Y",AQ401=1),1,0)</f>
        <v>0</v>
      </c>
    </row>
    <row r="402" spans="1:55" ht="15" customHeight="1">
      <c r="A402" s="27"/>
      <c r="B402" s="28"/>
      <c r="C402" s="29"/>
      <c r="D402" s="30"/>
      <c r="E402" s="30"/>
      <c r="F402" s="28"/>
      <c r="G402" s="28"/>
      <c r="H402" s="28"/>
      <c r="I402" s="13"/>
      <c r="J402" s="28"/>
      <c r="K402" s="13"/>
      <c r="L402" s="28"/>
      <c r="M402" s="13"/>
      <c r="N402" s="28"/>
      <c r="O402" s="13"/>
      <c r="P402" s="28"/>
      <c r="Q402" s="20"/>
      <c r="R402" s="28"/>
      <c r="S402" s="20"/>
      <c r="T402" s="28"/>
      <c r="U402" s="13"/>
      <c r="V402" s="28"/>
      <c r="W402" s="13"/>
      <c r="X402" s="28"/>
      <c r="Y402" s="13"/>
      <c r="Z402" s="28"/>
      <c r="AA402" s="13"/>
      <c r="AB402" s="28"/>
      <c r="AC402" s="13"/>
      <c r="AD402" s="28"/>
      <c r="AE402" s="13"/>
      <c r="AF402" s="28"/>
      <c r="AG402" s="13"/>
      <c r="AH402" s="28"/>
      <c r="AI402" s="13"/>
      <c r="AJ402" s="28"/>
      <c r="AK402" s="13"/>
      <c r="AL402" s="28"/>
      <c r="AM402" s="13"/>
      <c r="AN402" s="28"/>
      <c r="AO402" s="13"/>
      <c r="AP402" s="28"/>
      <c r="AQ402" s="13"/>
      <c r="AR402" s="28"/>
      <c r="AS402" s="19">
        <f>SUM(H402,J402,L402,N402,P402,R402,T402,V402,X402,Z402,AB402,AD402,AF402,AH402,AJ402,AL402,AN402)</f>
        <v>0</v>
      </c>
      <c r="AT402" s="29" t="str">
        <f>IF(C402="","",DATE(YEAR(C402),MONTH(C402),1))</f>
        <v/>
      </c>
      <c r="AU402" s="28" t="str">
        <f>IF(AT402="","",TEXT(AT402,"mmmm yyyy"))</f>
        <v/>
      </c>
      <c r="AV402" s="29" t="str">
        <f>IF(C402="","",C402-WEEKDAY(C402,2)+1)</f>
        <v/>
      </c>
      <c r="AW402" s="29" t="str">
        <f>IF(AV402="","",AV402+6)</f>
        <v/>
      </c>
      <c r="AX402" s="28" t="str">
        <f>IF(AV402="","",TEXT(AV402,"dd/mm/yyyy")&amp;" - "&amp;TEXT(AW402,"dd/mm/yyyy"))</f>
        <v/>
      </c>
      <c r="AY402" s="28" t="str">
        <f>IF(B402="","",COUNTIFS($B$5:B402,B402,$AT$5:AT402,AT402))</f>
        <v/>
      </c>
      <c r="AZ402" s="28" t="str">
        <f>IF(B402="","",COUNTIFS($B$5:B402,B402,$AV$5:AV402,AV402))</f>
        <v/>
      </c>
      <c r="BA402" s="28" t="str">
        <f>IF(B402="","",TEXT(AY402,"00")&amp;"|"&amp;B402&amp;"|"&amp;TEXT(AT402,"yyyymmdd"))</f>
        <v/>
      </c>
      <c r="BB402" s="28" t="str">
        <f>IF(B402="","",TEXT(AZ402,"00")&amp;"|"&amp;B402&amp;"|"&amp;TEXT(AV402,"yyyymmdd"))</f>
        <v/>
      </c>
      <c r="BC402" s="28">
        <f>IF(OR(AQ402="YES",AQ402="Yes",AQ402="Y",AQ402=1),1,0)</f>
        <v>0</v>
      </c>
    </row>
    <row r="403" spans="1:55" ht="15" customHeight="1">
      <c r="A403" s="27"/>
      <c r="B403" s="28"/>
      <c r="C403" s="29"/>
      <c r="D403" s="30"/>
      <c r="E403" s="30"/>
      <c r="F403" s="28"/>
      <c r="G403" s="28"/>
      <c r="H403" s="28"/>
      <c r="I403" s="13"/>
      <c r="J403" s="28"/>
      <c r="K403" s="13"/>
      <c r="L403" s="28"/>
      <c r="M403" s="13"/>
      <c r="N403" s="28"/>
      <c r="O403" s="13"/>
      <c r="P403" s="28"/>
      <c r="Q403" s="20"/>
      <c r="R403" s="28"/>
      <c r="S403" s="20"/>
      <c r="T403" s="28"/>
      <c r="U403" s="13"/>
      <c r="V403" s="28"/>
      <c r="W403" s="13"/>
      <c r="X403" s="28"/>
      <c r="Y403" s="13"/>
      <c r="Z403" s="28"/>
      <c r="AA403" s="13"/>
      <c r="AB403" s="28"/>
      <c r="AC403" s="13"/>
      <c r="AD403" s="28"/>
      <c r="AE403" s="13"/>
      <c r="AF403" s="28"/>
      <c r="AG403" s="13"/>
      <c r="AH403" s="28"/>
      <c r="AI403" s="13"/>
      <c r="AJ403" s="28"/>
      <c r="AK403" s="13"/>
      <c r="AL403" s="28"/>
      <c r="AM403" s="13"/>
      <c r="AN403" s="28"/>
      <c r="AO403" s="13"/>
      <c r="AP403" s="28"/>
      <c r="AQ403" s="13"/>
      <c r="AR403" s="28"/>
      <c r="AS403" s="19">
        <f>SUM(H403,J403,L403,N403,P403,R403,T403,V403,X403,Z403,AB403,AD403,AF403,AH403,AJ403,AL403,AN403)</f>
        <v>0</v>
      </c>
      <c r="AT403" s="29" t="str">
        <f>IF(C403="","",DATE(YEAR(C403),MONTH(C403),1))</f>
        <v/>
      </c>
      <c r="AU403" s="28" t="str">
        <f>IF(AT403="","",TEXT(AT403,"mmmm yyyy"))</f>
        <v/>
      </c>
      <c r="AV403" s="29" t="str">
        <f>IF(C403="","",C403-WEEKDAY(C403,2)+1)</f>
        <v/>
      </c>
      <c r="AW403" s="29" t="str">
        <f>IF(AV403="","",AV403+6)</f>
        <v/>
      </c>
      <c r="AX403" s="28" t="str">
        <f>IF(AV403="","",TEXT(AV403,"dd/mm/yyyy")&amp;" - "&amp;TEXT(AW403,"dd/mm/yyyy"))</f>
        <v/>
      </c>
      <c r="AY403" s="28" t="str">
        <f>IF(B403="","",COUNTIFS($B$5:B403,B403,$AT$5:AT403,AT403))</f>
        <v/>
      </c>
      <c r="AZ403" s="28" t="str">
        <f>IF(B403="","",COUNTIFS($B$5:B403,B403,$AV$5:AV403,AV403))</f>
        <v/>
      </c>
      <c r="BA403" s="28" t="str">
        <f>IF(B403="","",TEXT(AY403,"00")&amp;"|"&amp;B403&amp;"|"&amp;TEXT(AT403,"yyyymmdd"))</f>
        <v/>
      </c>
      <c r="BB403" s="28" t="str">
        <f>IF(B403="","",TEXT(AZ403,"00")&amp;"|"&amp;B403&amp;"|"&amp;TEXT(AV403,"yyyymmdd"))</f>
        <v/>
      </c>
      <c r="BC403" s="28">
        <f>IF(OR(AQ403="YES",AQ403="Yes",AQ403="Y",AQ403=1),1,0)</f>
        <v>0</v>
      </c>
    </row>
    <row r="404" spans="1:55" ht="15" customHeight="1">
      <c r="A404" s="27"/>
      <c r="B404" s="28"/>
      <c r="C404" s="29"/>
      <c r="D404" s="30"/>
      <c r="E404" s="30"/>
      <c r="F404" s="28"/>
      <c r="G404" s="28"/>
      <c r="H404" s="28"/>
      <c r="I404" s="13"/>
      <c r="J404" s="28"/>
      <c r="K404" s="13"/>
      <c r="L404" s="28"/>
      <c r="M404" s="13"/>
      <c r="N404" s="28"/>
      <c r="O404" s="13"/>
      <c r="P404" s="28"/>
      <c r="Q404" s="20"/>
      <c r="R404" s="28"/>
      <c r="S404" s="20"/>
      <c r="T404" s="28"/>
      <c r="U404" s="13"/>
      <c r="V404" s="28"/>
      <c r="W404" s="13"/>
      <c r="X404" s="28"/>
      <c r="Y404" s="13"/>
      <c r="Z404" s="28"/>
      <c r="AA404" s="13"/>
      <c r="AB404" s="28"/>
      <c r="AC404" s="13"/>
      <c r="AD404" s="28"/>
      <c r="AE404" s="13"/>
      <c r="AF404" s="28"/>
      <c r="AG404" s="13"/>
      <c r="AH404" s="28"/>
      <c r="AI404" s="13"/>
      <c r="AJ404" s="28"/>
      <c r="AK404" s="13"/>
      <c r="AL404" s="28"/>
      <c r="AM404" s="13"/>
      <c r="AN404" s="28"/>
      <c r="AO404" s="13"/>
      <c r="AP404" s="28"/>
      <c r="AQ404" s="13"/>
      <c r="AR404" s="28"/>
      <c r="AS404" s="19">
        <f>SUM(H404,J404,L404,N404,P404,R404,T404,V404,X404,Z404,AB404,AD404,AF404,AH404,AJ404,AL404,AN404)</f>
        <v>0</v>
      </c>
      <c r="AT404" s="29" t="str">
        <f>IF(C404="","",DATE(YEAR(C404),MONTH(C404),1))</f>
        <v/>
      </c>
      <c r="AU404" s="28" t="str">
        <f>IF(AT404="","",TEXT(AT404,"mmmm yyyy"))</f>
        <v/>
      </c>
      <c r="AV404" s="29" t="str">
        <f>IF(C404="","",C404-WEEKDAY(C404,2)+1)</f>
        <v/>
      </c>
      <c r="AW404" s="29" t="str">
        <f>IF(AV404="","",AV404+6)</f>
        <v/>
      </c>
      <c r="AX404" s="28" t="str">
        <f>IF(AV404="","",TEXT(AV404,"dd/mm/yyyy")&amp;" - "&amp;TEXT(AW404,"dd/mm/yyyy"))</f>
        <v/>
      </c>
      <c r="AY404" s="28" t="str">
        <f>IF(B404="","",COUNTIFS($B$5:B404,B404,$AT$5:AT404,AT404))</f>
        <v/>
      </c>
      <c r="AZ404" s="28" t="str">
        <f>IF(B404="","",COUNTIFS($B$5:B404,B404,$AV$5:AV404,AV404))</f>
        <v/>
      </c>
      <c r="BA404" s="28" t="str">
        <f>IF(B404="","",TEXT(AY404,"00")&amp;"|"&amp;B404&amp;"|"&amp;TEXT(AT404,"yyyymmdd"))</f>
        <v/>
      </c>
      <c r="BB404" s="28" t="str">
        <f>IF(B404="","",TEXT(AZ404,"00")&amp;"|"&amp;B404&amp;"|"&amp;TEXT(AV404,"yyyymmdd"))</f>
        <v/>
      </c>
      <c r="BC404" s="28">
        <f>IF(OR(AQ404="YES",AQ404="Yes",AQ404="Y",AQ404=1),1,0)</f>
        <v>0</v>
      </c>
    </row>
    <row r="405" spans="1:55" ht="15" customHeight="1">
      <c r="A405" s="27"/>
      <c r="B405" s="28"/>
      <c r="C405" s="29"/>
      <c r="D405" s="30"/>
      <c r="E405" s="30"/>
      <c r="F405" s="28"/>
      <c r="G405" s="28"/>
      <c r="H405" s="28"/>
      <c r="I405" s="13"/>
      <c r="J405" s="28"/>
      <c r="K405" s="13"/>
      <c r="L405" s="28"/>
      <c r="M405" s="13"/>
      <c r="N405" s="28"/>
      <c r="O405" s="13"/>
      <c r="P405" s="28"/>
      <c r="Q405" s="20"/>
      <c r="R405" s="28"/>
      <c r="S405" s="20"/>
      <c r="T405" s="28"/>
      <c r="U405" s="13"/>
      <c r="V405" s="28"/>
      <c r="W405" s="13"/>
      <c r="X405" s="28"/>
      <c r="Y405" s="13"/>
      <c r="Z405" s="28"/>
      <c r="AA405" s="13"/>
      <c r="AB405" s="28"/>
      <c r="AC405" s="13"/>
      <c r="AD405" s="28"/>
      <c r="AE405" s="13"/>
      <c r="AF405" s="28"/>
      <c r="AG405" s="13"/>
      <c r="AH405" s="28"/>
      <c r="AI405" s="13"/>
      <c r="AJ405" s="28"/>
      <c r="AK405" s="13"/>
      <c r="AL405" s="28"/>
      <c r="AM405" s="13"/>
      <c r="AN405" s="28"/>
      <c r="AO405" s="13"/>
      <c r="AP405" s="28"/>
      <c r="AQ405" s="13"/>
      <c r="AR405" s="28"/>
      <c r="AS405" s="19">
        <f>SUM(H405,J405,L405,N405,P405,R405,T405,V405,X405,Z405,AB405,AD405,AF405,AH405,AJ405,AL405,AN405)</f>
        <v>0</v>
      </c>
      <c r="AT405" s="29" t="str">
        <f>IF(C405="","",DATE(YEAR(C405),MONTH(C405),1))</f>
        <v/>
      </c>
      <c r="AU405" s="28" t="str">
        <f>IF(AT405="","",TEXT(AT405,"mmmm yyyy"))</f>
        <v/>
      </c>
      <c r="AV405" s="29" t="str">
        <f>IF(C405="","",C405-WEEKDAY(C405,2)+1)</f>
        <v/>
      </c>
      <c r="AW405" s="29" t="str">
        <f>IF(AV405="","",AV405+6)</f>
        <v/>
      </c>
      <c r="AX405" s="28" t="str">
        <f>IF(AV405="","",TEXT(AV405,"dd/mm/yyyy")&amp;" - "&amp;TEXT(AW405,"dd/mm/yyyy"))</f>
        <v/>
      </c>
      <c r="AY405" s="28" t="str">
        <f>IF(B405="","",COUNTIFS($B$5:B405,B405,$AT$5:AT405,AT405))</f>
        <v/>
      </c>
      <c r="AZ405" s="28" t="str">
        <f>IF(B405="","",COUNTIFS($B$5:B405,B405,$AV$5:AV405,AV405))</f>
        <v/>
      </c>
      <c r="BA405" s="28" t="str">
        <f>IF(B405="","",TEXT(AY405,"00")&amp;"|"&amp;B405&amp;"|"&amp;TEXT(AT405,"yyyymmdd"))</f>
        <v/>
      </c>
      <c r="BB405" s="28" t="str">
        <f>IF(B405="","",TEXT(AZ405,"00")&amp;"|"&amp;B405&amp;"|"&amp;TEXT(AV405,"yyyymmdd"))</f>
        <v/>
      </c>
      <c r="BC405" s="28">
        <f>IF(OR(AQ405="YES",AQ405="Yes",AQ405="Y",AQ405=1),1,0)</f>
        <v>0</v>
      </c>
    </row>
    <row r="406" spans="1:55" ht="15" customHeight="1">
      <c r="A406" s="27"/>
      <c r="B406" s="28"/>
      <c r="C406" s="29"/>
      <c r="D406" s="30"/>
      <c r="E406" s="30"/>
      <c r="F406" s="28"/>
      <c r="G406" s="28"/>
      <c r="H406" s="28"/>
      <c r="I406" s="13"/>
      <c r="J406" s="28"/>
      <c r="K406" s="13"/>
      <c r="L406" s="28"/>
      <c r="M406" s="13"/>
      <c r="N406" s="28"/>
      <c r="O406" s="13"/>
      <c r="P406" s="28"/>
      <c r="Q406" s="20"/>
      <c r="R406" s="28"/>
      <c r="S406" s="20"/>
      <c r="T406" s="28"/>
      <c r="U406" s="13"/>
      <c r="V406" s="28"/>
      <c r="W406" s="13"/>
      <c r="X406" s="28"/>
      <c r="Y406" s="13"/>
      <c r="Z406" s="28"/>
      <c r="AA406" s="13"/>
      <c r="AB406" s="28"/>
      <c r="AC406" s="13"/>
      <c r="AD406" s="28"/>
      <c r="AE406" s="13"/>
      <c r="AF406" s="28"/>
      <c r="AG406" s="13"/>
      <c r="AH406" s="28"/>
      <c r="AI406" s="13"/>
      <c r="AJ406" s="28"/>
      <c r="AK406" s="13"/>
      <c r="AL406" s="28"/>
      <c r="AM406" s="13"/>
      <c r="AN406" s="28"/>
      <c r="AO406" s="13"/>
      <c r="AP406" s="28"/>
      <c r="AQ406" s="13"/>
      <c r="AR406" s="28"/>
      <c r="AS406" s="19">
        <f>SUM(H406,J406,L406,N406,P406,R406,T406,V406,X406,Z406,AB406,AD406,AF406,AH406,AJ406,AL406,AN406)</f>
        <v>0</v>
      </c>
      <c r="AT406" s="29" t="str">
        <f>IF(C406="","",DATE(YEAR(C406),MONTH(C406),1))</f>
        <v/>
      </c>
      <c r="AU406" s="28" t="str">
        <f>IF(AT406="","",TEXT(AT406,"mmmm yyyy"))</f>
        <v/>
      </c>
      <c r="AV406" s="29" t="str">
        <f>IF(C406="","",C406-WEEKDAY(C406,2)+1)</f>
        <v/>
      </c>
      <c r="AW406" s="29" t="str">
        <f>IF(AV406="","",AV406+6)</f>
        <v/>
      </c>
      <c r="AX406" s="28" t="str">
        <f>IF(AV406="","",TEXT(AV406,"dd/mm/yyyy")&amp;" - "&amp;TEXT(AW406,"dd/mm/yyyy"))</f>
        <v/>
      </c>
      <c r="AY406" s="28" t="str">
        <f>IF(B406="","",COUNTIFS($B$5:B406,B406,$AT$5:AT406,AT406))</f>
        <v/>
      </c>
      <c r="AZ406" s="28" t="str">
        <f>IF(B406="","",COUNTIFS($B$5:B406,B406,$AV$5:AV406,AV406))</f>
        <v/>
      </c>
      <c r="BA406" s="28" t="str">
        <f>IF(B406="","",TEXT(AY406,"00")&amp;"|"&amp;B406&amp;"|"&amp;TEXT(AT406,"yyyymmdd"))</f>
        <v/>
      </c>
      <c r="BB406" s="28" t="str">
        <f>IF(B406="","",TEXT(AZ406,"00")&amp;"|"&amp;B406&amp;"|"&amp;TEXT(AV406,"yyyymmdd"))</f>
        <v/>
      </c>
      <c r="BC406" s="28">
        <f>IF(OR(AQ406="YES",AQ406="Yes",AQ406="Y",AQ406=1),1,0)</f>
        <v>0</v>
      </c>
    </row>
    <row r="407" spans="1:55" ht="15" customHeight="1">
      <c r="A407" s="27"/>
      <c r="B407" s="28"/>
      <c r="C407" s="29"/>
      <c r="D407" s="30"/>
      <c r="E407" s="30"/>
      <c r="F407" s="28"/>
      <c r="G407" s="28"/>
      <c r="H407" s="28"/>
      <c r="I407" s="13"/>
      <c r="J407" s="28"/>
      <c r="K407" s="13"/>
      <c r="L407" s="28"/>
      <c r="M407" s="13"/>
      <c r="N407" s="28"/>
      <c r="O407" s="13"/>
      <c r="P407" s="28"/>
      <c r="Q407" s="20"/>
      <c r="R407" s="28"/>
      <c r="S407" s="20"/>
      <c r="T407" s="28"/>
      <c r="U407" s="13"/>
      <c r="V407" s="28"/>
      <c r="W407" s="13"/>
      <c r="X407" s="28"/>
      <c r="Y407" s="13"/>
      <c r="Z407" s="28"/>
      <c r="AA407" s="13"/>
      <c r="AB407" s="28"/>
      <c r="AC407" s="13"/>
      <c r="AD407" s="28"/>
      <c r="AE407" s="13"/>
      <c r="AF407" s="28"/>
      <c r="AG407" s="13"/>
      <c r="AH407" s="28"/>
      <c r="AI407" s="13"/>
      <c r="AJ407" s="28"/>
      <c r="AK407" s="13"/>
      <c r="AL407" s="28"/>
      <c r="AM407" s="13"/>
      <c r="AN407" s="28"/>
      <c r="AO407" s="13"/>
      <c r="AP407" s="28"/>
      <c r="AQ407" s="13"/>
      <c r="AR407" s="28"/>
      <c r="AS407" s="19">
        <f>SUM(H407,J407,L407,N407,P407,R407,T407,V407,X407,Z407,AB407,AD407,AF407,AH407,AJ407,AL407,AN407)</f>
        <v>0</v>
      </c>
      <c r="AT407" s="29" t="str">
        <f>IF(C407="","",DATE(YEAR(C407),MONTH(C407),1))</f>
        <v/>
      </c>
      <c r="AU407" s="28" t="str">
        <f>IF(AT407="","",TEXT(AT407,"mmmm yyyy"))</f>
        <v/>
      </c>
      <c r="AV407" s="29" t="str">
        <f>IF(C407="","",C407-WEEKDAY(C407,2)+1)</f>
        <v/>
      </c>
      <c r="AW407" s="29" t="str">
        <f>IF(AV407="","",AV407+6)</f>
        <v/>
      </c>
      <c r="AX407" s="28" t="str">
        <f>IF(AV407="","",TEXT(AV407,"dd/mm/yyyy")&amp;" - "&amp;TEXT(AW407,"dd/mm/yyyy"))</f>
        <v/>
      </c>
      <c r="AY407" s="28" t="str">
        <f>IF(B407="","",COUNTIFS($B$5:B407,B407,$AT$5:AT407,AT407))</f>
        <v/>
      </c>
      <c r="AZ407" s="28" t="str">
        <f>IF(B407="","",COUNTIFS($B$5:B407,B407,$AV$5:AV407,AV407))</f>
        <v/>
      </c>
      <c r="BA407" s="28" t="str">
        <f>IF(B407="","",TEXT(AY407,"00")&amp;"|"&amp;B407&amp;"|"&amp;TEXT(AT407,"yyyymmdd"))</f>
        <v/>
      </c>
      <c r="BB407" s="28" t="str">
        <f>IF(B407="","",TEXT(AZ407,"00")&amp;"|"&amp;B407&amp;"|"&amp;TEXT(AV407,"yyyymmdd"))</f>
        <v/>
      </c>
      <c r="BC407" s="28">
        <f>IF(OR(AQ407="YES",AQ407="Yes",AQ407="Y",AQ407=1),1,0)</f>
        <v>0</v>
      </c>
    </row>
    <row r="408" spans="1:55" ht="15" customHeight="1">
      <c r="A408" s="27"/>
      <c r="B408" s="28"/>
      <c r="C408" s="29"/>
      <c r="D408" s="30"/>
      <c r="E408" s="30"/>
      <c r="F408" s="28"/>
      <c r="G408" s="28"/>
      <c r="H408" s="28"/>
      <c r="I408" s="13"/>
      <c r="J408" s="28"/>
      <c r="K408" s="13"/>
      <c r="L408" s="28"/>
      <c r="M408" s="13"/>
      <c r="N408" s="28"/>
      <c r="O408" s="13"/>
      <c r="P408" s="28"/>
      <c r="Q408" s="20"/>
      <c r="R408" s="28"/>
      <c r="S408" s="20"/>
      <c r="T408" s="28"/>
      <c r="U408" s="13"/>
      <c r="V408" s="28"/>
      <c r="W408" s="13"/>
      <c r="X408" s="28"/>
      <c r="Y408" s="13"/>
      <c r="Z408" s="28"/>
      <c r="AA408" s="13"/>
      <c r="AB408" s="28"/>
      <c r="AC408" s="13"/>
      <c r="AD408" s="28"/>
      <c r="AE408" s="13"/>
      <c r="AF408" s="28"/>
      <c r="AG408" s="13"/>
      <c r="AH408" s="28"/>
      <c r="AI408" s="13"/>
      <c r="AJ408" s="28"/>
      <c r="AK408" s="13"/>
      <c r="AL408" s="28"/>
      <c r="AM408" s="13"/>
      <c r="AN408" s="28"/>
      <c r="AO408" s="13"/>
      <c r="AP408" s="28"/>
      <c r="AQ408" s="13"/>
      <c r="AR408" s="28"/>
      <c r="AS408" s="19">
        <f>SUM(H408,J408,L408,N408,P408,R408,T408,V408,X408,Z408,AB408,AD408,AF408,AH408,AJ408,AL408,AN408)</f>
        <v>0</v>
      </c>
      <c r="AT408" s="29" t="str">
        <f>IF(C408="","",DATE(YEAR(C408),MONTH(C408),1))</f>
        <v/>
      </c>
      <c r="AU408" s="28" t="str">
        <f>IF(AT408="","",TEXT(AT408,"mmmm yyyy"))</f>
        <v/>
      </c>
      <c r="AV408" s="29" t="str">
        <f>IF(C408="","",C408-WEEKDAY(C408,2)+1)</f>
        <v/>
      </c>
      <c r="AW408" s="29" t="str">
        <f>IF(AV408="","",AV408+6)</f>
        <v/>
      </c>
      <c r="AX408" s="28" t="str">
        <f>IF(AV408="","",TEXT(AV408,"dd/mm/yyyy")&amp;" - "&amp;TEXT(AW408,"dd/mm/yyyy"))</f>
        <v/>
      </c>
      <c r="AY408" s="28" t="str">
        <f>IF(B408="","",COUNTIFS($B$5:B408,B408,$AT$5:AT408,AT408))</f>
        <v/>
      </c>
      <c r="AZ408" s="28" t="str">
        <f>IF(B408="","",COUNTIFS($B$5:B408,B408,$AV$5:AV408,AV408))</f>
        <v/>
      </c>
      <c r="BA408" s="28" t="str">
        <f>IF(B408="","",TEXT(AY408,"00")&amp;"|"&amp;B408&amp;"|"&amp;TEXT(AT408,"yyyymmdd"))</f>
        <v/>
      </c>
      <c r="BB408" s="28" t="str">
        <f>IF(B408="","",TEXT(AZ408,"00")&amp;"|"&amp;B408&amp;"|"&amp;TEXT(AV408,"yyyymmdd"))</f>
        <v/>
      </c>
      <c r="BC408" s="28">
        <f>IF(OR(AQ408="YES",AQ408="Yes",AQ408="Y",AQ408=1),1,0)</f>
        <v>0</v>
      </c>
    </row>
    <row r="409" spans="1:55" ht="15" customHeight="1">
      <c r="A409" s="27"/>
      <c r="B409" s="28"/>
      <c r="C409" s="29"/>
      <c r="D409" s="30"/>
      <c r="E409" s="30"/>
      <c r="F409" s="28"/>
      <c r="G409" s="28"/>
      <c r="H409" s="28"/>
      <c r="I409" s="13"/>
      <c r="J409" s="28"/>
      <c r="K409" s="13"/>
      <c r="L409" s="28"/>
      <c r="M409" s="13"/>
      <c r="N409" s="28"/>
      <c r="O409" s="13"/>
      <c r="P409" s="28"/>
      <c r="Q409" s="20"/>
      <c r="R409" s="28"/>
      <c r="S409" s="20"/>
      <c r="T409" s="28"/>
      <c r="U409" s="13"/>
      <c r="V409" s="28"/>
      <c r="W409" s="13"/>
      <c r="X409" s="28"/>
      <c r="Y409" s="13"/>
      <c r="Z409" s="28"/>
      <c r="AA409" s="13"/>
      <c r="AB409" s="28"/>
      <c r="AC409" s="13"/>
      <c r="AD409" s="28"/>
      <c r="AE409" s="13"/>
      <c r="AF409" s="28"/>
      <c r="AG409" s="13"/>
      <c r="AH409" s="28"/>
      <c r="AI409" s="13"/>
      <c r="AJ409" s="28"/>
      <c r="AK409" s="13"/>
      <c r="AL409" s="28"/>
      <c r="AM409" s="13"/>
      <c r="AN409" s="28"/>
      <c r="AO409" s="13"/>
      <c r="AP409" s="28"/>
      <c r="AQ409" s="13"/>
      <c r="AR409" s="28"/>
      <c r="AS409" s="19">
        <f>SUM(H409,J409,L409,N409,P409,R409,T409,V409,X409,Z409,AB409,AD409,AF409,AH409,AJ409,AL409,AN409)</f>
        <v>0</v>
      </c>
      <c r="AT409" s="29" t="str">
        <f>IF(C409="","",DATE(YEAR(C409),MONTH(C409),1))</f>
        <v/>
      </c>
      <c r="AU409" s="28" t="str">
        <f>IF(AT409="","",TEXT(AT409,"mmmm yyyy"))</f>
        <v/>
      </c>
      <c r="AV409" s="29" t="str">
        <f>IF(C409="","",C409-WEEKDAY(C409,2)+1)</f>
        <v/>
      </c>
      <c r="AW409" s="29" t="str">
        <f>IF(AV409="","",AV409+6)</f>
        <v/>
      </c>
      <c r="AX409" s="28" t="str">
        <f>IF(AV409="","",TEXT(AV409,"dd/mm/yyyy")&amp;" - "&amp;TEXT(AW409,"dd/mm/yyyy"))</f>
        <v/>
      </c>
      <c r="AY409" s="28" t="str">
        <f>IF(B409="","",COUNTIFS($B$5:B409,B409,$AT$5:AT409,AT409))</f>
        <v/>
      </c>
      <c r="AZ409" s="28" t="str">
        <f>IF(B409="","",COUNTIFS($B$5:B409,B409,$AV$5:AV409,AV409))</f>
        <v/>
      </c>
      <c r="BA409" s="28" t="str">
        <f>IF(B409="","",TEXT(AY409,"00")&amp;"|"&amp;B409&amp;"|"&amp;TEXT(AT409,"yyyymmdd"))</f>
        <v/>
      </c>
      <c r="BB409" s="28" t="str">
        <f>IF(B409="","",TEXT(AZ409,"00")&amp;"|"&amp;B409&amp;"|"&amp;TEXT(AV409,"yyyymmdd"))</f>
        <v/>
      </c>
      <c r="BC409" s="28">
        <f>IF(OR(AQ409="YES",AQ409="Yes",AQ409="Y",AQ409=1),1,0)</f>
        <v>0</v>
      </c>
    </row>
    <row r="410" spans="1:55" ht="15" customHeight="1">
      <c r="A410" s="27"/>
      <c r="B410" s="28"/>
      <c r="C410" s="29"/>
      <c r="D410" s="30"/>
      <c r="E410" s="30"/>
      <c r="F410" s="28"/>
      <c r="G410" s="28"/>
      <c r="H410" s="28"/>
      <c r="I410" s="13"/>
      <c r="J410" s="28"/>
      <c r="K410" s="13"/>
      <c r="L410" s="28"/>
      <c r="M410" s="13"/>
      <c r="N410" s="28"/>
      <c r="O410" s="13"/>
      <c r="P410" s="28"/>
      <c r="Q410" s="20"/>
      <c r="R410" s="28"/>
      <c r="S410" s="20"/>
      <c r="T410" s="28"/>
      <c r="U410" s="13"/>
      <c r="V410" s="28"/>
      <c r="W410" s="13"/>
      <c r="X410" s="28"/>
      <c r="Y410" s="13"/>
      <c r="Z410" s="28"/>
      <c r="AA410" s="13"/>
      <c r="AB410" s="28"/>
      <c r="AC410" s="13"/>
      <c r="AD410" s="28"/>
      <c r="AE410" s="13"/>
      <c r="AF410" s="28"/>
      <c r="AG410" s="13"/>
      <c r="AH410" s="28"/>
      <c r="AI410" s="13"/>
      <c r="AJ410" s="28"/>
      <c r="AK410" s="13"/>
      <c r="AL410" s="28"/>
      <c r="AM410" s="13"/>
      <c r="AN410" s="28"/>
      <c r="AO410" s="13"/>
      <c r="AP410" s="28"/>
      <c r="AQ410" s="13"/>
      <c r="AR410" s="28"/>
      <c r="AS410" s="19">
        <f>SUM(H410,J410,L410,N410,P410,R410,T410,V410,X410,Z410,AB410,AD410,AF410,AH410,AJ410,AL410,AN410)</f>
        <v>0</v>
      </c>
      <c r="AT410" s="29" t="str">
        <f>IF(C410="","",DATE(YEAR(C410),MONTH(C410),1))</f>
        <v/>
      </c>
      <c r="AU410" s="28" t="str">
        <f>IF(AT410="","",TEXT(AT410,"mmmm yyyy"))</f>
        <v/>
      </c>
      <c r="AV410" s="29" t="str">
        <f>IF(C410="","",C410-WEEKDAY(C410,2)+1)</f>
        <v/>
      </c>
      <c r="AW410" s="29" t="str">
        <f>IF(AV410="","",AV410+6)</f>
        <v/>
      </c>
      <c r="AX410" s="28" t="str">
        <f>IF(AV410="","",TEXT(AV410,"dd/mm/yyyy")&amp;" - "&amp;TEXT(AW410,"dd/mm/yyyy"))</f>
        <v/>
      </c>
      <c r="AY410" s="28" t="str">
        <f>IF(B410="","",COUNTIFS($B$5:B410,B410,$AT$5:AT410,AT410))</f>
        <v/>
      </c>
      <c r="AZ410" s="28" t="str">
        <f>IF(B410="","",COUNTIFS($B$5:B410,B410,$AV$5:AV410,AV410))</f>
        <v/>
      </c>
      <c r="BA410" s="28" t="str">
        <f>IF(B410="","",TEXT(AY410,"00")&amp;"|"&amp;B410&amp;"|"&amp;TEXT(AT410,"yyyymmdd"))</f>
        <v/>
      </c>
      <c r="BB410" s="28" t="str">
        <f>IF(B410="","",TEXT(AZ410,"00")&amp;"|"&amp;B410&amp;"|"&amp;TEXT(AV410,"yyyymmdd"))</f>
        <v/>
      </c>
      <c r="BC410" s="28">
        <f>IF(OR(AQ410="YES",AQ410="Yes",AQ410="Y",AQ410=1),1,0)</f>
        <v>0</v>
      </c>
    </row>
    <row r="411" spans="1:55" ht="15" customHeight="1">
      <c r="A411" s="27"/>
      <c r="B411" s="28"/>
      <c r="C411" s="29"/>
      <c r="D411" s="30"/>
      <c r="E411" s="30"/>
      <c r="F411" s="28"/>
      <c r="G411" s="28"/>
      <c r="H411" s="28"/>
      <c r="I411" s="13"/>
      <c r="J411" s="28"/>
      <c r="K411" s="13"/>
      <c r="L411" s="28"/>
      <c r="M411" s="13"/>
      <c r="N411" s="28"/>
      <c r="O411" s="13"/>
      <c r="P411" s="28"/>
      <c r="Q411" s="20"/>
      <c r="R411" s="28"/>
      <c r="S411" s="20"/>
      <c r="T411" s="28"/>
      <c r="U411" s="13"/>
      <c r="V411" s="28"/>
      <c r="W411" s="13"/>
      <c r="X411" s="28"/>
      <c r="Y411" s="13"/>
      <c r="Z411" s="28"/>
      <c r="AA411" s="13"/>
      <c r="AB411" s="28"/>
      <c r="AC411" s="13"/>
      <c r="AD411" s="28"/>
      <c r="AE411" s="13"/>
      <c r="AF411" s="28"/>
      <c r="AG411" s="13"/>
      <c r="AH411" s="28"/>
      <c r="AI411" s="13"/>
      <c r="AJ411" s="28"/>
      <c r="AK411" s="13"/>
      <c r="AL411" s="28"/>
      <c r="AM411" s="13"/>
      <c r="AN411" s="28"/>
      <c r="AO411" s="13"/>
      <c r="AP411" s="28"/>
      <c r="AQ411" s="13"/>
      <c r="AR411" s="28"/>
      <c r="AS411" s="19">
        <f>SUM(H411,J411,L411,N411,P411,R411,T411,V411,X411,Z411,AB411,AD411,AF411,AH411,AJ411,AL411,AN411)</f>
        <v>0</v>
      </c>
      <c r="AT411" s="29" t="str">
        <f>IF(C411="","",DATE(YEAR(C411),MONTH(C411),1))</f>
        <v/>
      </c>
      <c r="AU411" s="28" t="str">
        <f>IF(AT411="","",TEXT(AT411,"mmmm yyyy"))</f>
        <v/>
      </c>
      <c r="AV411" s="29" t="str">
        <f>IF(C411="","",C411-WEEKDAY(C411,2)+1)</f>
        <v/>
      </c>
      <c r="AW411" s="29" t="str">
        <f>IF(AV411="","",AV411+6)</f>
        <v/>
      </c>
      <c r="AX411" s="28" t="str">
        <f>IF(AV411="","",TEXT(AV411,"dd/mm/yyyy")&amp;" - "&amp;TEXT(AW411,"dd/mm/yyyy"))</f>
        <v/>
      </c>
      <c r="AY411" s="28" t="str">
        <f>IF(B411="","",COUNTIFS($B$5:B411,B411,$AT$5:AT411,AT411))</f>
        <v/>
      </c>
      <c r="AZ411" s="28" t="str">
        <f>IF(B411="","",COUNTIFS($B$5:B411,B411,$AV$5:AV411,AV411))</f>
        <v/>
      </c>
      <c r="BA411" s="28" t="str">
        <f>IF(B411="","",TEXT(AY411,"00")&amp;"|"&amp;B411&amp;"|"&amp;TEXT(AT411,"yyyymmdd"))</f>
        <v/>
      </c>
      <c r="BB411" s="28" t="str">
        <f>IF(B411="","",TEXT(AZ411,"00")&amp;"|"&amp;B411&amp;"|"&amp;TEXT(AV411,"yyyymmdd"))</f>
        <v/>
      </c>
      <c r="BC411" s="28">
        <f>IF(OR(AQ411="YES",AQ411="Yes",AQ411="Y",AQ411=1),1,0)</f>
        <v>0</v>
      </c>
    </row>
    <row r="412" spans="1:55" ht="15" customHeight="1">
      <c r="A412" s="27"/>
      <c r="B412" s="28"/>
      <c r="C412" s="29"/>
      <c r="D412" s="30"/>
      <c r="E412" s="30"/>
      <c r="F412" s="28"/>
      <c r="G412" s="28"/>
      <c r="H412" s="28"/>
      <c r="I412" s="13"/>
      <c r="J412" s="28"/>
      <c r="K412" s="13"/>
      <c r="L412" s="28"/>
      <c r="M412" s="13"/>
      <c r="N412" s="28"/>
      <c r="O412" s="13"/>
      <c r="P412" s="28"/>
      <c r="Q412" s="20"/>
      <c r="R412" s="28"/>
      <c r="S412" s="20"/>
      <c r="T412" s="28"/>
      <c r="U412" s="13"/>
      <c r="V412" s="28"/>
      <c r="W412" s="13"/>
      <c r="X412" s="28"/>
      <c r="Y412" s="13"/>
      <c r="Z412" s="28"/>
      <c r="AA412" s="13"/>
      <c r="AB412" s="28"/>
      <c r="AC412" s="13"/>
      <c r="AD412" s="28"/>
      <c r="AE412" s="13"/>
      <c r="AF412" s="28"/>
      <c r="AG412" s="13"/>
      <c r="AH412" s="28"/>
      <c r="AI412" s="13"/>
      <c r="AJ412" s="28"/>
      <c r="AK412" s="13"/>
      <c r="AL412" s="28"/>
      <c r="AM412" s="13"/>
      <c r="AN412" s="28"/>
      <c r="AO412" s="13"/>
      <c r="AP412" s="28"/>
      <c r="AQ412" s="13"/>
      <c r="AR412" s="28"/>
      <c r="AS412" s="19">
        <f>SUM(H412,J412,L412,N412,P412,R412,T412,V412,X412,Z412,AB412,AD412,AF412,AH412,AJ412,AL412,AN412)</f>
        <v>0</v>
      </c>
      <c r="AT412" s="29" t="str">
        <f>IF(C412="","",DATE(YEAR(C412),MONTH(C412),1))</f>
        <v/>
      </c>
      <c r="AU412" s="28" t="str">
        <f>IF(AT412="","",TEXT(AT412,"mmmm yyyy"))</f>
        <v/>
      </c>
      <c r="AV412" s="29" t="str">
        <f>IF(C412="","",C412-WEEKDAY(C412,2)+1)</f>
        <v/>
      </c>
      <c r="AW412" s="29" t="str">
        <f>IF(AV412="","",AV412+6)</f>
        <v/>
      </c>
      <c r="AX412" s="28" t="str">
        <f>IF(AV412="","",TEXT(AV412,"dd/mm/yyyy")&amp;" - "&amp;TEXT(AW412,"dd/mm/yyyy"))</f>
        <v/>
      </c>
      <c r="AY412" s="28" t="str">
        <f>IF(B412="","",COUNTIFS($B$5:B412,B412,$AT$5:AT412,AT412))</f>
        <v/>
      </c>
      <c r="AZ412" s="28" t="str">
        <f>IF(B412="","",COUNTIFS($B$5:B412,B412,$AV$5:AV412,AV412))</f>
        <v/>
      </c>
      <c r="BA412" s="28" t="str">
        <f>IF(B412="","",TEXT(AY412,"00")&amp;"|"&amp;B412&amp;"|"&amp;TEXT(AT412,"yyyymmdd"))</f>
        <v/>
      </c>
      <c r="BB412" s="28" t="str">
        <f>IF(B412="","",TEXT(AZ412,"00")&amp;"|"&amp;B412&amp;"|"&amp;TEXT(AV412,"yyyymmdd"))</f>
        <v/>
      </c>
      <c r="BC412" s="28">
        <f>IF(OR(AQ412="YES",AQ412="Yes",AQ412="Y",AQ412=1),1,0)</f>
        <v>0</v>
      </c>
    </row>
    <row r="413" spans="1:55" ht="15" customHeight="1">
      <c r="A413" s="27"/>
      <c r="B413" s="28"/>
      <c r="C413" s="29"/>
      <c r="D413" s="30"/>
      <c r="E413" s="30"/>
      <c r="F413" s="28"/>
      <c r="G413" s="28"/>
      <c r="H413" s="28"/>
      <c r="I413" s="13"/>
      <c r="J413" s="28"/>
      <c r="K413" s="13"/>
      <c r="L413" s="28"/>
      <c r="M413" s="13"/>
      <c r="N413" s="28"/>
      <c r="O413" s="13"/>
      <c r="P413" s="28"/>
      <c r="Q413" s="20"/>
      <c r="R413" s="28"/>
      <c r="S413" s="20"/>
      <c r="T413" s="28"/>
      <c r="U413" s="13"/>
      <c r="V413" s="28"/>
      <c r="W413" s="13"/>
      <c r="X413" s="28"/>
      <c r="Y413" s="13"/>
      <c r="Z413" s="28"/>
      <c r="AA413" s="13"/>
      <c r="AB413" s="28"/>
      <c r="AC413" s="13"/>
      <c r="AD413" s="28"/>
      <c r="AE413" s="13"/>
      <c r="AF413" s="28"/>
      <c r="AG413" s="13"/>
      <c r="AH413" s="28"/>
      <c r="AI413" s="13"/>
      <c r="AJ413" s="28"/>
      <c r="AK413" s="13"/>
      <c r="AL413" s="28"/>
      <c r="AM413" s="13"/>
      <c r="AN413" s="28"/>
      <c r="AO413" s="13"/>
      <c r="AP413" s="28"/>
      <c r="AQ413" s="13"/>
      <c r="AR413" s="28"/>
      <c r="AS413" s="19">
        <f>SUM(H413,J413,L413,N413,P413,R413,T413,V413,X413,Z413,AB413,AD413,AF413,AH413,AJ413,AL413,AN413)</f>
        <v>0</v>
      </c>
      <c r="AT413" s="29" t="str">
        <f>IF(C413="","",DATE(YEAR(C413),MONTH(C413),1))</f>
        <v/>
      </c>
      <c r="AU413" s="28" t="str">
        <f>IF(AT413="","",TEXT(AT413,"mmmm yyyy"))</f>
        <v/>
      </c>
      <c r="AV413" s="29" t="str">
        <f>IF(C413="","",C413-WEEKDAY(C413,2)+1)</f>
        <v/>
      </c>
      <c r="AW413" s="29" t="str">
        <f>IF(AV413="","",AV413+6)</f>
        <v/>
      </c>
      <c r="AX413" s="28" t="str">
        <f>IF(AV413="","",TEXT(AV413,"dd/mm/yyyy")&amp;" - "&amp;TEXT(AW413,"dd/mm/yyyy"))</f>
        <v/>
      </c>
      <c r="AY413" s="28" t="str">
        <f>IF(B413="","",COUNTIFS($B$5:B413,B413,$AT$5:AT413,AT413))</f>
        <v/>
      </c>
      <c r="AZ413" s="28" t="str">
        <f>IF(B413="","",COUNTIFS($B$5:B413,B413,$AV$5:AV413,AV413))</f>
        <v/>
      </c>
      <c r="BA413" s="28" t="str">
        <f>IF(B413="","",TEXT(AY413,"00")&amp;"|"&amp;B413&amp;"|"&amp;TEXT(AT413,"yyyymmdd"))</f>
        <v/>
      </c>
      <c r="BB413" s="28" t="str">
        <f>IF(B413="","",TEXT(AZ413,"00")&amp;"|"&amp;B413&amp;"|"&amp;TEXT(AV413,"yyyymmdd"))</f>
        <v/>
      </c>
      <c r="BC413" s="28">
        <f>IF(OR(AQ413="YES",AQ413="Yes",AQ413="Y",AQ413=1),1,0)</f>
        <v>0</v>
      </c>
    </row>
    <row r="414" spans="1:55" ht="15" customHeight="1">
      <c r="A414" s="27"/>
      <c r="B414" s="28"/>
      <c r="C414" s="29"/>
      <c r="D414" s="30"/>
      <c r="E414" s="30"/>
      <c r="F414" s="28"/>
      <c r="G414" s="28"/>
      <c r="H414" s="28"/>
      <c r="I414" s="13"/>
      <c r="J414" s="28"/>
      <c r="K414" s="13"/>
      <c r="L414" s="28"/>
      <c r="M414" s="13"/>
      <c r="N414" s="28"/>
      <c r="O414" s="13"/>
      <c r="P414" s="28"/>
      <c r="Q414" s="20"/>
      <c r="R414" s="28"/>
      <c r="S414" s="20"/>
      <c r="T414" s="28"/>
      <c r="U414" s="13"/>
      <c r="V414" s="28"/>
      <c r="W414" s="13"/>
      <c r="X414" s="28"/>
      <c r="Y414" s="13"/>
      <c r="Z414" s="28"/>
      <c r="AA414" s="13"/>
      <c r="AB414" s="28"/>
      <c r="AC414" s="13"/>
      <c r="AD414" s="28"/>
      <c r="AE414" s="13"/>
      <c r="AF414" s="28"/>
      <c r="AG414" s="13"/>
      <c r="AH414" s="28"/>
      <c r="AI414" s="13"/>
      <c r="AJ414" s="28"/>
      <c r="AK414" s="13"/>
      <c r="AL414" s="28"/>
      <c r="AM414" s="13"/>
      <c r="AN414" s="28"/>
      <c r="AO414" s="13"/>
      <c r="AP414" s="28"/>
      <c r="AQ414" s="13"/>
      <c r="AR414" s="28"/>
      <c r="AS414" s="19">
        <f>SUM(H414,J414,L414,N414,P414,R414,T414,V414,X414,Z414,AB414,AD414,AF414,AH414,AJ414,AL414,AN414)</f>
        <v>0</v>
      </c>
      <c r="AT414" s="29" t="str">
        <f>IF(C414="","",DATE(YEAR(C414),MONTH(C414),1))</f>
        <v/>
      </c>
      <c r="AU414" s="28" t="str">
        <f>IF(AT414="","",TEXT(AT414,"mmmm yyyy"))</f>
        <v/>
      </c>
      <c r="AV414" s="29" t="str">
        <f>IF(C414="","",C414-WEEKDAY(C414,2)+1)</f>
        <v/>
      </c>
      <c r="AW414" s="29" t="str">
        <f>IF(AV414="","",AV414+6)</f>
        <v/>
      </c>
      <c r="AX414" s="28" t="str">
        <f>IF(AV414="","",TEXT(AV414,"dd/mm/yyyy")&amp;" - "&amp;TEXT(AW414,"dd/mm/yyyy"))</f>
        <v/>
      </c>
      <c r="AY414" s="28" t="str">
        <f>IF(B414="","",COUNTIFS($B$5:B414,B414,$AT$5:AT414,AT414))</f>
        <v/>
      </c>
      <c r="AZ414" s="28" t="str">
        <f>IF(B414="","",COUNTIFS($B$5:B414,B414,$AV$5:AV414,AV414))</f>
        <v/>
      </c>
      <c r="BA414" s="28" t="str">
        <f>IF(B414="","",TEXT(AY414,"00")&amp;"|"&amp;B414&amp;"|"&amp;TEXT(AT414,"yyyymmdd"))</f>
        <v/>
      </c>
      <c r="BB414" s="28" t="str">
        <f>IF(B414="","",TEXT(AZ414,"00")&amp;"|"&amp;B414&amp;"|"&amp;TEXT(AV414,"yyyymmdd"))</f>
        <v/>
      </c>
      <c r="BC414" s="28">
        <f>IF(OR(AQ414="YES",AQ414="Yes",AQ414="Y",AQ414=1),1,0)</f>
        <v>0</v>
      </c>
    </row>
    <row r="415" spans="1:55" ht="15" customHeight="1">
      <c r="A415" s="27"/>
      <c r="B415" s="28"/>
      <c r="C415" s="29"/>
      <c r="D415" s="30"/>
      <c r="E415" s="30"/>
      <c r="F415" s="28"/>
      <c r="G415" s="28"/>
      <c r="H415" s="28"/>
      <c r="I415" s="13"/>
      <c r="J415" s="28"/>
      <c r="K415" s="13"/>
      <c r="L415" s="28"/>
      <c r="M415" s="13"/>
      <c r="N415" s="28"/>
      <c r="O415" s="13"/>
      <c r="P415" s="28"/>
      <c r="Q415" s="20"/>
      <c r="R415" s="28"/>
      <c r="S415" s="20"/>
      <c r="T415" s="28"/>
      <c r="U415" s="13"/>
      <c r="V415" s="28"/>
      <c r="W415" s="13"/>
      <c r="X415" s="28"/>
      <c r="Y415" s="13"/>
      <c r="Z415" s="28"/>
      <c r="AA415" s="13"/>
      <c r="AB415" s="28"/>
      <c r="AC415" s="13"/>
      <c r="AD415" s="28"/>
      <c r="AE415" s="13"/>
      <c r="AF415" s="28"/>
      <c r="AG415" s="13"/>
      <c r="AH415" s="28"/>
      <c r="AI415" s="13"/>
      <c r="AJ415" s="28"/>
      <c r="AK415" s="13"/>
      <c r="AL415" s="28"/>
      <c r="AM415" s="13"/>
      <c r="AN415" s="28"/>
      <c r="AO415" s="13"/>
      <c r="AP415" s="28"/>
      <c r="AQ415" s="13"/>
      <c r="AR415" s="28"/>
      <c r="AS415" s="19">
        <f>SUM(H415,J415,L415,N415,P415,R415,T415,V415,X415,Z415,AB415,AD415,AF415,AH415,AJ415,AL415,AN415)</f>
        <v>0</v>
      </c>
      <c r="AT415" s="29" t="str">
        <f>IF(C415="","",DATE(YEAR(C415),MONTH(C415),1))</f>
        <v/>
      </c>
      <c r="AU415" s="28" t="str">
        <f>IF(AT415="","",TEXT(AT415,"mmmm yyyy"))</f>
        <v/>
      </c>
      <c r="AV415" s="29" t="str">
        <f>IF(C415="","",C415-WEEKDAY(C415,2)+1)</f>
        <v/>
      </c>
      <c r="AW415" s="29" t="str">
        <f>IF(AV415="","",AV415+6)</f>
        <v/>
      </c>
      <c r="AX415" s="28" t="str">
        <f>IF(AV415="","",TEXT(AV415,"dd/mm/yyyy")&amp;" - "&amp;TEXT(AW415,"dd/mm/yyyy"))</f>
        <v/>
      </c>
      <c r="AY415" s="28" t="str">
        <f>IF(B415="","",COUNTIFS($B$5:B415,B415,$AT$5:AT415,AT415))</f>
        <v/>
      </c>
      <c r="AZ415" s="28" t="str">
        <f>IF(B415="","",COUNTIFS($B$5:B415,B415,$AV$5:AV415,AV415))</f>
        <v/>
      </c>
      <c r="BA415" s="28" t="str">
        <f>IF(B415="","",TEXT(AY415,"00")&amp;"|"&amp;B415&amp;"|"&amp;TEXT(AT415,"yyyymmdd"))</f>
        <v/>
      </c>
      <c r="BB415" s="28" t="str">
        <f>IF(B415="","",TEXT(AZ415,"00")&amp;"|"&amp;B415&amp;"|"&amp;TEXT(AV415,"yyyymmdd"))</f>
        <v/>
      </c>
      <c r="BC415" s="28">
        <f>IF(OR(AQ415="YES",AQ415="Yes",AQ415="Y",AQ415=1),1,0)</f>
        <v>0</v>
      </c>
    </row>
    <row r="416" spans="1:55" ht="15" customHeight="1">
      <c r="A416" s="27"/>
      <c r="B416" s="28"/>
      <c r="C416" s="29"/>
      <c r="D416" s="30"/>
      <c r="E416" s="30"/>
      <c r="F416" s="28"/>
      <c r="G416" s="28"/>
      <c r="H416" s="28"/>
      <c r="I416" s="13"/>
      <c r="J416" s="28"/>
      <c r="K416" s="13"/>
      <c r="L416" s="28"/>
      <c r="M416" s="13"/>
      <c r="N416" s="28"/>
      <c r="O416" s="13"/>
      <c r="P416" s="28"/>
      <c r="Q416" s="20"/>
      <c r="R416" s="28"/>
      <c r="S416" s="20"/>
      <c r="T416" s="28"/>
      <c r="U416" s="13"/>
      <c r="V416" s="28"/>
      <c r="W416" s="13"/>
      <c r="X416" s="28"/>
      <c r="Y416" s="13"/>
      <c r="Z416" s="28"/>
      <c r="AA416" s="13"/>
      <c r="AB416" s="28"/>
      <c r="AC416" s="13"/>
      <c r="AD416" s="28"/>
      <c r="AE416" s="13"/>
      <c r="AF416" s="28"/>
      <c r="AG416" s="13"/>
      <c r="AH416" s="28"/>
      <c r="AI416" s="13"/>
      <c r="AJ416" s="28"/>
      <c r="AK416" s="13"/>
      <c r="AL416" s="28"/>
      <c r="AM416" s="13"/>
      <c r="AN416" s="28"/>
      <c r="AO416" s="13"/>
      <c r="AP416" s="28"/>
      <c r="AQ416" s="13"/>
      <c r="AR416" s="28"/>
      <c r="AS416" s="19">
        <f>SUM(H416,J416,L416,N416,P416,R416,T416,V416,X416,Z416,AB416,AD416,AF416,AH416,AJ416,AL416,AN416)</f>
        <v>0</v>
      </c>
      <c r="AT416" s="29" t="str">
        <f>IF(C416="","",DATE(YEAR(C416),MONTH(C416),1))</f>
        <v/>
      </c>
      <c r="AU416" s="28" t="str">
        <f>IF(AT416="","",TEXT(AT416,"mmmm yyyy"))</f>
        <v/>
      </c>
      <c r="AV416" s="29" t="str">
        <f>IF(C416="","",C416-WEEKDAY(C416,2)+1)</f>
        <v/>
      </c>
      <c r="AW416" s="29" t="str">
        <f>IF(AV416="","",AV416+6)</f>
        <v/>
      </c>
      <c r="AX416" s="28" t="str">
        <f>IF(AV416="","",TEXT(AV416,"dd/mm/yyyy")&amp;" - "&amp;TEXT(AW416,"dd/mm/yyyy"))</f>
        <v/>
      </c>
      <c r="AY416" s="28" t="str">
        <f>IF(B416="","",COUNTIFS($B$5:B416,B416,$AT$5:AT416,AT416))</f>
        <v/>
      </c>
      <c r="AZ416" s="28" t="str">
        <f>IF(B416="","",COUNTIFS($B$5:B416,B416,$AV$5:AV416,AV416))</f>
        <v/>
      </c>
      <c r="BA416" s="28" t="str">
        <f>IF(B416="","",TEXT(AY416,"00")&amp;"|"&amp;B416&amp;"|"&amp;TEXT(AT416,"yyyymmdd"))</f>
        <v/>
      </c>
      <c r="BB416" s="28" t="str">
        <f>IF(B416="","",TEXT(AZ416,"00")&amp;"|"&amp;B416&amp;"|"&amp;TEXT(AV416,"yyyymmdd"))</f>
        <v/>
      </c>
      <c r="BC416" s="28">
        <f>IF(OR(AQ416="YES",AQ416="Yes",AQ416="Y",AQ416=1),1,0)</f>
        <v>0</v>
      </c>
    </row>
    <row r="417" spans="1:55" ht="15" customHeight="1">
      <c r="A417" s="27"/>
      <c r="B417" s="28"/>
      <c r="C417" s="29"/>
      <c r="D417" s="30"/>
      <c r="E417" s="30"/>
      <c r="F417" s="28"/>
      <c r="G417" s="28"/>
      <c r="H417" s="28"/>
      <c r="I417" s="13"/>
      <c r="J417" s="28"/>
      <c r="K417" s="13"/>
      <c r="L417" s="28"/>
      <c r="M417" s="13"/>
      <c r="N417" s="28"/>
      <c r="O417" s="13"/>
      <c r="P417" s="28"/>
      <c r="Q417" s="20"/>
      <c r="R417" s="28"/>
      <c r="S417" s="20"/>
      <c r="T417" s="28"/>
      <c r="U417" s="13"/>
      <c r="V417" s="28"/>
      <c r="W417" s="13"/>
      <c r="X417" s="28"/>
      <c r="Y417" s="13"/>
      <c r="Z417" s="28"/>
      <c r="AA417" s="13"/>
      <c r="AB417" s="28"/>
      <c r="AC417" s="13"/>
      <c r="AD417" s="28"/>
      <c r="AE417" s="13"/>
      <c r="AF417" s="28"/>
      <c r="AG417" s="13"/>
      <c r="AH417" s="28"/>
      <c r="AI417" s="13"/>
      <c r="AJ417" s="28"/>
      <c r="AK417" s="13"/>
      <c r="AL417" s="28"/>
      <c r="AM417" s="13"/>
      <c r="AN417" s="28"/>
      <c r="AO417" s="13"/>
      <c r="AP417" s="28"/>
      <c r="AQ417" s="13"/>
      <c r="AR417" s="28"/>
      <c r="AS417" s="19">
        <f>SUM(H417,J417,L417,N417,P417,R417,T417,V417,X417,Z417,AB417,AD417,AF417,AH417,AJ417,AL417,AN417)</f>
        <v>0</v>
      </c>
      <c r="AT417" s="29" t="str">
        <f>IF(C417="","",DATE(YEAR(C417),MONTH(C417),1))</f>
        <v/>
      </c>
      <c r="AU417" s="28" t="str">
        <f>IF(AT417="","",TEXT(AT417,"mmmm yyyy"))</f>
        <v/>
      </c>
      <c r="AV417" s="29" t="str">
        <f>IF(C417="","",C417-WEEKDAY(C417,2)+1)</f>
        <v/>
      </c>
      <c r="AW417" s="29" t="str">
        <f>IF(AV417="","",AV417+6)</f>
        <v/>
      </c>
      <c r="AX417" s="28" t="str">
        <f>IF(AV417="","",TEXT(AV417,"dd/mm/yyyy")&amp;" - "&amp;TEXT(AW417,"dd/mm/yyyy"))</f>
        <v/>
      </c>
      <c r="AY417" s="28" t="str">
        <f>IF(B417="","",COUNTIFS($B$5:B417,B417,$AT$5:AT417,AT417))</f>
        <v/>
      </c>
      <c r="AZ417" s="28" t="str">
        <f>IF(B417="","",COUNTIFS($B$5:B417,B417,$AV$5:AV417,AV417))</f>
        <v/>
      </c>
      <c r="BA417" s="28" t="str">
        <f>IF(B417="","",TEXT(AY417,"00")&amp;"|"&amp;B417&amp;"|"&amp;TEXT(AT417,"yyyymmdd"))</f>
        <v/>
      </c>
      <c r="BB417" s="28" t="str">
        <f>IF(B417="","",TEXT(AZ417,"00")&amp;"|"&amp;B417&amp;"|"&amp;TEXT(AV417,"yyyymmdd"))</f>
        <v/>
      </c>
      <c r="BC417" s="28">
        <f>IF(OR(AQ417="YES",AQ417="Yes",AQ417="Y",AQ417=1),1,0)</f>
        <v>0</v>
      </c>
    </row>
    <row r="418" spans="1:55" ht="15" customHeight="1">
      <c r="A418" s="27"/>
      <c r="B418" s="28"/>
      <c r="C418" s="29"/>
      <c r="D418" s="30"/>
      <c r="E418" s="30"/>
      <c r="F418" s="28"/>
      <c r="G418" s="28"/>
      <c r="H418" s="28"/>
      <c r="I418" s="13"/>
      <c r="J418" s="28"/>
      <c r="K418" s="13"/>
      <c r="L418" s="28"/>
      <c r="M418" s="13"/>
      <c r="N418" s="28"/>
      <c r="O418" s="13"/>
      <c r="P418" s="28"/>
      <c r="Q418" s="20"/>
      <c r="R418" s="28"/>
      <c r="S418" s="20"/>
      <c r="T418" s="28"/>
      <c r="U418" s="13"/>
      <c r="V418" s="28"/>
      <c r="W418" s="13"/>
      <c r="X418" s="28"/>
      <c r="Y418" s="13"/>
      <c r="Z418" s="28"/>
      <c r="AA418" s="13"/>
      <c r="AB418" s="28"/>
      <c r="AC418" s="13"/>
      <c r="AD418" s="28"/>
      <c r="AE418" s="13"/>
      <c r="AF418" s="28"/>
      <c r="AG418" s="13"/>
      <c r="AH418" s="28"/>
      <c r="AI418" s="13"/>
      <c r="AJ418" s="28"/>
      <c r="AK418" s="13"/>
      <c r="AL418" s="28"/>
      <c r="AM418" s="13"/>
      <c r="AN418" s="28"/>
      <c r="AO418" s="13"/>
      <c r="AP418" s="28"/>
      <c r="AQ418" s="13"/>
      <c r="AR418" s="28"/>
      <c r="AS418" s="19">
        <f>SUM(H418,J418,L418,N418,P418,R418,T418,V418,X418,Z418,AB418,AD418,AF418,AH418,AJ418,AL418,AN418)</f>
        <v>0</v>
      </c>
      <c r="AT418" s="29" t="str">
        <f>IF(C418="","",DATE(YEAR(C418),MONTH(C418),1))</f>
        <v/>
      </c>
      <c r="AU418" s="28" t="str">
        <f>IF(AT418="","",TEXT(AT418,"mmmm yyyy"))</f>
        <v/>
      </c>
      <c r="AV418" s="29" t="str">
        <f>IF(C418="","",C418-WEEKDAY(C418,2)+1)</f>
        <v/>
      </c>
      <c r="AW418" s="29" t="str">
        <f>IF(AV418="","",AV418+6)</f>
        <v/>
      </c>
      <c r="AX418" s="28" t="str">
        <f>IF(AV418="","",TEXT(AV418,"dd/mm/yyyy")&amp;" - "&amp;TEXT(AW418,"dd/mm/yyyy"))</f>
        <v/>
      </c>
      <c r="AY418" s="28" t="str">
        <f>IF(B418="","",COUNTIFS($B$5:B418,B418,$AT$5:AT418,AT418))</f>
        <v/>
      </c>
      <c r="AZ418" s="28" t="str">
        <f>IF(B418="","",COUNTIFS($B$5:B418,B418,$AV$5:AV418,AV418))</f>
        <v/>
      </c>
      <c r="BA418" s="28" t="str">
        <f>IF(B418="","",TEXT(AY418,"00")&amp;"|"&amp;B418&amp;"|"&amp;TEXT(AT418,"yyyymmdd"))</f>
        <v/>
      </c>
      <c r="BB418" s="28" t="str">
        <f>IF(B418="","",TEXT(AZ418,"00")&amp;"|"&amp;B418&amp;"|"&amp;TEXT(AV418,"yyyymmdd"))</f>
        <v/>
      </c>
      <c r="BC418" s="28">
        <f>IF(OR(AQ418="YES",AQ418="Yes",AQ418="Y",AQ418=1),1,0)</f>
        <v>0</v>
      </c>
    </row>
    <row r="419" spans="1:55" ht="15" customHeight="1">
      <c r="A419" s="27"/>
      <c r="B419" s="28"/>
      <c r="C419" s="29"/>
      <c r="D419" s="30"/>
      <c r="E419" s="30"/>
      <c r="F419" s="28"/>
      <c r="G419" s="28"/>
      <c r="H419" s="28"/>
      <c r="I419" s="13"/>
      <c r="J419" s="28"/>
      <c r="K419" s="13"/>
      <c r="L419" s="28"/>
      <c r="M419" s="13"/>
      <c r="N419" s="28"/>
      <c r="O419" s="13"/>
      <c r="P419" s="28"/>
      <c r="Q419" s="20"/>
      <c r="R419" s="28"/>
      <c r="S419" s="20"/>
      <c r="T419" s="28"/>
      <c r="U419" s="13"/>
      <c r="V419" s="28"/>
      <c r="W419" s="13"/>
      <c r="X419" s="28"/>
      <c r="Y419" s="13"/>
      <c r="Z419" s="28"/>
      <c r="AA419" s="13"/>
      <c r="AB419" s="28"/>
      <c r="AC419" s="13"/>
      <c r="AD419" s="28"/>
      <c r="AE419" s="13"/>
      <c r="AF419" s="28"/>
      <c r="AG419" s="13"/>
      <c r="AH419" s="28"/>
      <c r="AI419" s="13"/>
      <c r="AJ419" s="28"/>
      <c r="AK419" s="13"/>
      <c r="AL419" s="28"/>
      <c r="AM419" s="13"/>
      <c r="AN419" s="28"/>
      <c r="AO419" s="13"/>
      <c r="AP419" s="28"/>
      <c r="AQ419" s="13"/>
      <c r="AR419" s="28"/>
      <c r="AS419" s="19">
        <f>SUM(H419,J419,L419,N419,P419,R419,T419,V419,X419,Z419,AB419,AD419,AF419,AH419,AJ419,AL419,AN419)</f>
        <v>0</v>
      </c>
      <c r="AT419" s="29" t="str">
        <f>IF(C419="","",DATE(YEAR(C419),MONTH(C419),1))</f>
        <v/>
      </c>
      <c r="AU419" s="28" t="str">
        <f>IF(AT419="","",TEXT(AT419,"mmmm yyyy"))</f>
        <v/>
      </c>
      <c r="AV419" s="29" t="str">
        <f>IF(C419="","",C419-WEEKDAY(C419,2)+1)</f>
        <v/>
      </c>
      <c r="AW419" s="29" t="str">
        <f>IF(AV419="","",AV419+6)</f>
        <v/>
      </c>
      <c r="AX419" s="28" t="str">
        <f>IF(AV419="","",TEXT(AV419,"dd/mm/yyyy")&amp;" - "&amp;TEXT(AW419,"dd/mm/yyyy"))</f>
        <v/>
      </c>
      <c r="AY419" s="28" t="str">
        <f>IF(B419="","",COUNTIFS($B$5:B419,B419,$AT$5:AT419,AT419))</f>
        <v/>
      </c>
      <c r="AZ419" s="28" t="str">
        <f>IF(B419="","",COUNTIFS($B$5:B419,B419,$AV$5:AV419,AV419))</f>
        <v/>
      </c>
      <c r="BA419" s="28" t="str">
        <f>IF(B419="","",TEXT(AY419,"00")&amp;"|"&amp;B419&amp;"|"&amp;TEXT(AT419,"yyyymmdd"))</f>
        <v/>
      </c>
      <c r="BB419" s="28" t="str">
        <f>IF(B419="","",TEXT(AZ419,"00")&amp;"|"&amp;B419&amp;"|"&amp;TEXT(AV419,"yyyymmdd"))</f>
        <v/>
      </c>
      <c r="BC419" s="28">
        <f>IF(OR(AQ419="YES",AQ419="Yes",AQ419="Y",AQ419=1),1,0)</f>
        <v>0</v>
      </c>
    </row>
    <row r="420" spans="1:55" ht="15" customHeight="1">
      <c r="A420" s="27"/>
      <c r="B420" s="28"/>
      <c r="C420" s="29"/>
      <c r="D420" s="30"/>
      <c r="E420" s="30"/>
      <c r="F420" s="28"/>
      <c r="G420" s="28"/>
      <c r="H420" s="28"/>
      <c r="I420" s="13"/>
      <c r="J420" s="28"/>
      <c r="K420" s="13"/>
      <c r="L420" s="28"/>
      <c r="M420" s="13"/>
      <c r="N420" s="28"/>
      <c r="O420" s="13"/>
      <c r="P420" s="28"/>
      <c r="Q420" s="20"/>
      <c r="R420" s="28"/>
      <c r="S420" s="20"/>
      <c r="T420" s="28"/>
      <c r="U420" s="13"/>
      <c r="V420" s="28"/>
      <c r="W420" s="13"/>
      <c r="X420" s="28"/>
      <c r="Y420" s="13"/>
      <c r="Z420" s="28"/>
      <c r="AA420" s="13"/>
      <c r="AB420" s="28"/>
      <c r="AC420" s="13"/>
      <c r="AD420" s="28"/>
      <c r="AE420" s="13"/>
      <c r="AF420" s="28"/>
      <c r="AG420" s="13"/>
      <c r="AH420" s="28"/>
      <c r="AI420" s="13"/>
      <c r="AJ420" s="28"/>
      <c r="AK420" s="13"/>
      <c r="AL420" s="28"/>
      <c r="AM420" s="13"/>
      <c r="AN420" s="28"/>
      <c r="AO420" s="13"/>
      <c r="AP420" s="28"/>
      <c r="AQ420" s="13"/>
      <c r="AR420" s="28"/>
      <c r="AS420" s="19">
        <f>SUM(H420,J420,L420,N420,P420,R420,T420,V420,X420,Z420,AB420,AD420,AF420,AH420,AJ420,AL420,AN420)</f>
        <v>0</v>
      </c>
      <c r="AT420" s="29" t="str">
        <f>IF(C420="","",DATE(YEAR(C420),MONTH(C420),1))</f>
        <v/>
      </c>
      <c r="AU420" s="28" t="str">
        <f>IF(AT420="","",TEXT(AT420,"mmmm yyyy"))</f>
        <v/>
      </c>
      <c r="AV420" s="29" t="str">
        <f>IF(C420="","",C420-WEEKDAY(C420,2)+1)</f>
        <v/>
      </c>
      <c r="AW420" s="29" t="str">
        <f>IF(AV420="","",AV420+6)</f>
        <v/>
      </c>
      <c r="AX420" s="28" t="str">
        <f>IF(AV420="","",TEXT(AV420,"dd/mm/yyyy")&amp;" - "&amp;TEXT(AW420,"dd/mm/yyyy"))</f>
        <v/>
      </c>
      <c r="AY420" s="28" t="str">
        <f>IF(B420="","",COUNTIFS($B$5:B420,B420,$AT$5:AT420,AT420))</f>
        <v/>
      </c>
      <c r="AZ420" s="28" t="str">
        <f>IF(B420="","",COUNTIFS($B$5:B420,B420,$AV$5:AV420,AV420))</f>
        <v/>
      </c>
      <c r="BA420" s="28" t="str">
        <f>IF(B420="","",TEXT(AY420,"00")&amp;"|"&amp;B420&amp;"|"&amp;TEXT(AT420,"yyyymmdd"))</f>
        <v/>
      </c>
      <c r="BB420" s="28" t="str">
        <f>IF(B420="","",TEXT(AZ420,"00")&amp;"|"&amp;B420&amp;"|"&amp;TEXT(AV420,"yyyymmdd"))</f>
        <v/>
      </c>
      <c r="BC420" s="28">
        <f>IF(OR(AQ420="YES",AQ420="Yes",AQ420="Y",AQ420=1),1,0)</f>
        <v>0</v>
      </c>
    </row>
    <row r="421" spans="1:55" ht="15" customHeight="1">
      <c r="A421" s="27"/>
      <c r="B421" s="28"/>
      <c r="C421" s="29"/>
      <c r="D421" s="30"/>
      <c r="E421" s="30"/>
      <c r="F421" s="28"/>
      <c r="G421" s="28"/>
      <c r="H421" s="28"/>
      <c r="I421" s="13"/>
      <c r="J421" s="28"/>
      <c r="K421" s="13"/>
      <c r="L421" s="28"/>
      <c r="M421" s="13"/>
      <c r="N421" s="28"/>
      <c r="O421" s="13"/>
      <c r="P421" s="28"/>
      <c r="Q421" s="20"/>
      <c r="R421" s="28"/>
      <c r="S421" s="20"/>
      <c r="T421" s="28"/>
      <c r="U421" s="13"/>
      <c r="V421" s="28"/>
      <c r="W421" s="13"/>
      <c r="X421" s="28"/>
      <c r="Y421" s="13"/>
      <c r="Z421" s="28"/>
      <c r="AA421" s="13"/>
      <c r="AB421" s="28"/>
      <c r="AC421" s="13"/>
      <c r="AD421" s="28"/>
      <c r="AE421" s="13"/>
      <c r="AF421" s="28"/>
      <c r="AG421" s="13"/>
      <c r="AH421" s="28"/>
      <c r="AI421" s="13"/>
      <c r="AJ421" s="28"/>
      <c r="AK421" s="13"/>
      <c r="AL421" s="28"/>
      <c r="AM421" s="13"/>
      <c r="AN421" s="28"/>
      <c r="AO421" s="13"/>
      <c r="AP421" s="28"/>
      <c r="AQ421" s="13"/>
      <c r="AR421" s="28"/>
      <c r="AS421" s="19">
        <f>SUM(H421,J421,L421,N421,P421,R421,T421,V421,X421,Z421,AB421,AD421,AF421,AH421,AJ421,AL421,AN421)</f>
        <v>0</v>
      </c>
      <c r="AT421" s="29" t="str">
        <f>IF(C421="","",DATE(YEAR(C421),MONTH(C421),1))</f>
        <v/>
      </c>
      <c r="AU421" s="28" t="str">
        <f>IF(AT421="","",TEXT(AT421,"mmmm yyyy"))</f>
        <v/>
      </c>
      <c r="AV421" s="29" t="str">
        <f>IF(C421="","",C421-WEEKDAY(C421,2)+1)</f>
        <v/>
      </c>
      <c r="AW421" s="29" t="str">
        <f>IF(AV421="","",AV421+6)</f>
        <v/>
      </c>
      <c r="AX421" s="28" t="str">
        <f>IF(AV421="","",TEXT(AV421,"dd/mm/yyyy")&amp;" - "&amp;TEXT(AW421,"dd/mm/yyyy"))</f>
        <v/>
      </c>
      <c r="AY421" s="28" t="str">
        <f>IF(B421="","",COUNTIFS($B$5:B421,B421,$AT$5:AT421,AT421))</f>
        <v/>
      </c>
      <c r="AZ421" s="28" t="str">
        <f>IF(B421="","",COUNTIFS($B$5:B421,B421,$AV$5:AV421,AV421))</f>
        <v/>
      </c>
      <c r="BA421" s="28" t="str">
        <f>IF(B421="","",TEXT(AY421,"00")&amp;"|"&amp;B421&amp;"|"&amp;TEXT(AT421,"yyyymmdd"))</f>
        <v/>
      </c>
      <c r="BB421" s="28" t="str">
        <f>IF(B421="","",TEXT(AZ421,"00")&amp;"|"&amp;B421&amp;"|"&amp;TEXT(AV421,"yyyymmdd"))</f>
        <v/>
      </c>
      <c r="BC421" s="28">
        <f>IF(OR(AQ421="YES",AQ421="Yes",AQ421="Y",AQ421=1),1,0)</f>
        <v>0</v>
      </c>
    </row>
    <row r="422" spans="1:55" ht="15" customHeight="1">
      <c r="A422" s="27"/>
      <c r="B422" s="28"/>
      <c r="C422" s="29"/>
      <c r="D422" s="30"/>
      <c r="E422" s="30"/>
      <c r="F422" s="28"/>
      <c r="G422" s="28"/>
      <c r="H422" s="28"/>
      <c r="I422" s="13"/>
      <c r="J422" s="28"/>
      <c r="K422" s="13"/>
      <c r="L422" s="28"/>
      <c r="M422" s="13"/>
      <c r="N422" s="28"/>
      <c r="O422" s="13"/>
      <c r="P422" s="28"/>
      <c r="Q422" s="20"/>
      <c r="R422" s="28"/>
      <c r="S422" s="20"/>
      <c r="T422" s="28"/>
      <c r="U422" s="13"/>
      <c r="V422" s="28"/>
      <c r="W422" s="13"/>
      <c r="X422" s="28"/>
      <c r="Y422" s="13"/>
      <c r="Z422" s="28"/>
      <c r="AA422" s="13"/>
      <c r="AB422" s="28"/>
      <c r="AC422" s="13"/>
      <c r="AD422" s="28"/>
      <c r="AE422" s="13"/>
      <c r="AF422" s="28"/>
      <c r="AG422" s="13"/>
      <c r="AH422" s="28"/>
      <c r="AI422" s="13"/>
      <c r="AJ422" s="28"/>
      <c r="AK422" s="13"/>
      <c r="AL422" s="28"/>
      <c r="AM422" s="13"/>
      <c r="AN422" s="28"/>
      <c r="AO422" s="13"/>
      <c r="AP422" s="28"/>
      <c r="AQ422" s="13"/>
      <c r="AR422" s="28"/>
      <c r="AS422" s="19">
        <f>SUM(H422,J422,L422,N422,P422,R422,T422,V422,X422,Z422,AB422,AD422,AF422,AH422,AJ422,AL422,AN422)</f>
        <v>0</v>
      </c>
      <c r="AT422" s="29" t="str">
        <f>IF(C422="","",DATE(YEAR(C422),MONTH(C422),1))</f>
        <v/>
      </c>
      <c r="AU422" s="28" t="str">
        <f>IF(AT422="","",TEXT(AT422,"mmmm yyyy"))</f>
        <v/>
      </c>
      <c r="AV422" s="29" t="str">
        <f>IF(C422="","",C422-WEEKDAY(C422,2)+1)</f>
        <v/>
      </c>
      <c r="AW422" s="29" t="str">
        <f>IF(AV422="","",AV422+6)</f>
        <v/>
      </c>
      <c r="AX422" s="28" t="str">
        <f>IF(AV422="","",TEXT(AV422,"dd/mm/yyyy")&amp;" - "&amp;TEXT(AW422,"dd/mm/yyyy"))</f>
        <v/>
      </c>
      <c r="AY422" s="28" t="str">
        <f>IF(B422="","",COUNTIFS($B$5:B422,B422,$AT$5:AT422,AT422))</f>
        <v/>
      </c>
      <c r="AZ422" s="28" t="str">
        <f>IF(B422="","",COUNTIFS($B$5:B422,B422,$AV$5:AV422,AV422))</f>
        <v/>
      </c>
      <c r="BA422" s="28" t="str">
        <f>IF(B422="","",TEXT(AY422,"00")&amp;"|"&amp;B422&amp;"|"&amp;TEXT(AT422,"yyyymmdd"))</f>
        <v/>
      </c>
      <c r="BB422" s="28" t="str">
        <f>IF(B422="","",TEXT(AZ422,"00")&amp;"|"&amp;B422&amp;"|"&amp;TEXT(AV422,"yyyymmdd"))</f>
        <v/>
      </c>
      <c r="BC422" s="28">
        <f>IF(OR(AQ422="YES",AQ422="Yes",AQ422="Y",AQ422=1),1,0)</f>
        <v>0</v>
      </c>
    </row>
    <row r="423" spans="1:55" ht="15" customHeight="1">
      <c r="A423" s="27"/>
      <c r="B423" s="28"/>
      <c r="C423" s="29"/>
      <c r="D423" s="30"/>
      <c r="E423" s="30"/>
      <c r="F423" s="28"/>
      <c r="G423" s="28"/>
      <c r="H423" s="28"/>
      <c r="I423" s="13"/>
      <c r="J423" s="28"/>
      <c r="K423" s="13"/>
      <c r="L423" s="28"/>
      <c r="M423" s="13"/>
      <c r="N423" s="28"/>
      <c r="O423" s="13"/>
      <c r="P423" s="28"/>
      <c r="Q423" s="20"/>
      <c r="R423" s="28"/>
      <c r="S423" s="20"/>
      <c r="T423" s="28"/>
      <c r="U423" s="13"/>
      <c r="V423" s="28"/>
      <c r="W423" s="13"/>
      <c r="X423" s="28"/>
      <c r="Y423" s="13"/>
      <c r="Z423" s="28"/>
      <c r="AA423" s="13"/>
      <c r="AB423" s="28"/>
      <c r="AC423" s="13"/>
      <c r="AD423" s="28"/>
      <c r="AE423" s="13"/>
      <c r="AF423" s="28"/>
      <c r="AG423" s="13"/>
      <c r="AH423" s="28"/>
      <c r="AI423" s="13"/>
      <c r="AJ423" s="28"/>
      <c r="AK423" s="13"/>
      <c r="AL423" s="28"/>
      <c r="AM423" s="13"/>
      <c r="AN423" s="28"/>
      <c r="AO423" s="13"/>
      <c r="AP423" s="28"/>
      <c r="AQ423" s="13"/>
      <c r="AR423" s="28"/>
      <c r="AS423" s="19">
        <f>SUM(H423,J423,L423,N423,P423,R423,T423,V423,X423,Z423,AB423,AD423,AF423,AH423,AJ423,AL423,AN423)</f>
        <v>0</v>
      </c>
      <c r="AT423" s="29" t="str">
        <f>IF(C423="","",DATE(YEAR(C423),MONTH(C423),1))</f>
        <v/>
      </c>
      <c r="AU423" s="28" t="str">
        <f>IF(AT423="","",TEXT(AT423,"mmmm yyyy"))</f>
        <v/>
      </c>
      <c r="AV423" s="29" t="str">
        <f>IF(C423="","",C423-WEEKDAY(C423,2)+1)</f>
        <v/>
      </c>
      <c r="AW423" s="29" t="str">
        <f>IF(AV423="","",AV423+6)</f>
        <v/>
      </c>
      <c r="AX423" s="28" t="str">
        <f>IF(AV423="","",TEXT(AV423,"dd/mm/yyyy")&amp;" - "&amp;TEXT(AW423,"dd/mm/yyyy"))</f>
        <v/>
      </c>
      <c r="AY423" s="28" t="str">
        <f>IF(B423="","",COUNTIFS($B$5:B423,B423,$AT$5:AT423,AT423))</f>
        <v/>
      </c>
      <c r="AZ423" s="28" t="str">
        <f>IF(B423="","",COUNTIFS($B$5:B423,B423,$AV$5:AV423,AV423))</f>
        <v/>
      </c>
      <c r="BA423" s="28" t="str">
        <f>IF(B423="","",TEXT(AY423,"00")&amp;"|"&amp;B423&amp;"|"&amp;TEXT(AT423,"yyyymmdd"))</f>
        <v/>
      </c>
      <c r="BB423" s="28" t="str">
        <f>IF(B423="","",TEXT(AZ423,"00")&amp;"|"&amp;B423&amp;"|"&amp;TEXT(AV423,"yyyymmdd"))</f>
        <v/>
      </c>
      <c r="BC423" s="28">
        <f>IF(OR(AQ423="YES",AQ423="Yes",AQ423="Y",AQ423=1),1,0)</f>
        <v>0</v>
      </c>
    </row>
    <row r="424" spans="1:55" ht="15" customHeight="1">
      <c r="A424" s="27"/>
      <c r="B424" s="28"/>
      <c r="C424" s="29"/>
      <c r="D424" s="30"/>
      <c r="E424" s="30"/>
      <c r="F424" s="28"/>
      <c r="G424" s="28"/>
      <c r="H424" s="28"/>
      <c r="I424" s="13"/>
      <c r="J424" s="28"/>
      <c r="K424" s="13"/>
      <c r="L424" s="28"/>
      <c r="M424" s="13"/>
      <c r="N424" s="28"/>
      <c r="O424" s="13"/>
      <c r="P424" s="28"/>
      <c r="Q424" s="20"/>
      <c r="R424" s="28"/>
      <c r="S424" s="20"/>
      <c r="T424" s="28"/>
      <c r="U424" s="13"/>
      <c r="V424" s="28"/>
      <c r="W424" s="13"/>
      <c r="X424" s="28"/>
      <c r="Y424" s="13"/>
      <c r="Z424" s="28"/>
      <c r="AA424" s="13"/>
      <c r="AB424" s="28"/>
      <c r="AC424" s="13"/>
      <c r="AD424" s="28"/>
      <c r="AE424" s="13"/>
      <c r="AF424" s="28"/>
      <c r="AG424" s="13"/>
      <c r="AH424" s="28"/>
      <c r="AI424" s="13"/>
      <c r="AJ424" s="28"/>
      <c r="AK424" s="13"/>
      <c r="AL424" s="28"/>
      <c r="AM424" s="13"/>
      <c r="AN424" s="28"/>
      <c r="AO424" s="13"/>
      <c r="AP424" s="28"/>
      <c r="AQ424" s="13"/>
      <c r="AR424" s="28"/>
      <c r="AS424" s="19">
        <f>SUM(H424,J424,L424,N424,P424,R424,T424,V424,X424,Z424,AB424,AD424,AF424,AH424,AJ424,AL424,AN424)</f>
        <v>0</v>
      </c>
      <c r="AT424" s="29" t="str">
        <f>IF(C424="","",DATE(YEAR(C424),MONTH(C424),1))</f>
        <v/>
      </c>
      <c r="AU424" s="28" t="str">
        <f>IF(AT424="","",TEXT(AT424,"mmmm yyyy"))</f>
        <v/>
      </c>
      <c r="AV424" s="29" t="str">
        <f>IF(C424="","",C424-WEEKDAY(C424,2)+1)</f>
        <v/>
      </c>
      <c r="AW424" s="29" t="str">
        <f>IF(AV424="","",AV424+6)</f>
        <v/>
      </c>
      <c r="AX424" s="28" t="str">
        <f>IF(AV424="","",TEXT(AV424,"dd/mm/yyyy")&amp;" - "&amp;TEXT(AW424,"dd/mm/yyyy"))</f>
        <v/>
      </c>
      <c r="AY424" s="28" t="str">
        <f>IF(B424="","",COUNTIFS($B$5:B424,B424,$AT$5:AT424,AT424))</f>
        <v/>
      </c>
      <c r="AZ424" s="28" t="str">
        <f>IF(B424="","",COUNTIFS($B$5:B424,B424,$AV$5:AV424,AV424))</f>
        <v/>
      </c>
      <c r="BA424" s="28" t="str">
        <f>IF(B424="","",TEXT(AY424,"00")&amp;"|"&amp;B424&amp;"|"&amp;TEXT(AT424,"yyyymmdd"))</f>
        <v/>
      </c>
      <c r="BB424" s="28" t="str">
        <f>IF(B424="","",TEXT(AZ424,"00")&amp;"|"&amp;B424&amp;"|"&amp;TEXT(AV424,"yyyymmdd"))</f>
        <v/>
      </c>
      <c r="BC424" s="28">
        <f>IF(OR(AQ424="YES",AQ424="Yes",AQ424="Y",AQ424=1),1,0)</f>
        <v>0</v>
      </c>
    </row>
    <row r="425" spans="1:55" ht="15" customHeight="1">
      <c r="A425" s="27"/>
      <c r="B425" s="28"/>
      <c r="C425" s="29"/>
      <c r="D425" s="30"/>
      <c r="E425" s="30"/>
      <c r="F425" s="28"/>
      <c r="G425" s="28"/>
      <c r="H425" s="28"/>
      <c r="I425" s="13"/>
      <c r="J425" s="28"/>
      <c r="K425" s="13"/>
      <c r="L425" s="28"/>
      <c r="M425" s="13"/>
      <c r="N425" s="28"/>
      <c r="O425" s="13"/>
      <c r="P425" s="28"/>
      <c r="Q425" s="20"/>
      <c r="R425" s="28"/>
      <c r="S425" s="20"/>
      <c r="T425" s="28"/>
      <c r="U425" s="13"/>
      <c r="V425" s="28"/>
      <c r="W425" s="13"/>
      <c r="X425" s="28"/>
      <c r="Y425" s="13"/>
      <c r="Z425" s="28"/>
      <c r="AA425" s="13"/>
      <c r="AB425" s="28"/>
      <c r="AC425" s="13"/>
      <c r="AD425" s="28"/>
      <c r="AE425" s="13"/>
      <c r="AF425" s="28"/>
      <c r="AG425" s="13"/>
      <c r="AH425" s="28"/>
      <c r="AI425" s="13"/>
      <c r="AJ425" s="28"/>
      <c r="AK425" s="13"/>
      <c r="AL425" s="28"/>
      <c r="AM425" s="13"/>
      <c r="AN425" s="28"/>
      <c r="AO425" s="13"/>
      <c r="AP425" s="28"/>
      <c r="AQ425" s="13"/>
      <c r="AR425" s="28"/>
      <c r="AS425" s="19">
        <f>SUM(H425,J425,L425,N425,P425,R425,T425,V425,X425,Z425,AB425,AD425,AF425,AH425,AJ425,AL425,AN425)</f>
        <v>0</v>
      </c>
      <c r="AT425" s="29" t="str">
        <f>IF(C425="","",DATE(YEAR(C425),MONTH(C425),1))</f>
        <v/>
      </c>
      <c r="AU425" s="28" t="str">
        <f>IF(AT425="","",TEXT(AT425,"mmmm yyyy"))</f>
        <v/>
      </c>
      <c r="AV425" s="29" t="str">
        <f>IF(C425="","",C425-WEEKDAY(C425,2)+1)</f>
        <v/>
      </c>
      <c r="AW425" s="29" t="str">
        <f>IF(AV425="","",AV425+6)</f>
        <v/>
      </c>
      <c r="AX425" s="28" t="str">
        <f>IF(AV425="","",TEXT(AV425,"dd/mm/yyyy")&amp;" - "&amp;TEXT(AW425,"dd/mm/yyyy"))</f>
        <v/>
      </c>
      <c r="AY425" s="28" t="str">
        <f>IF(B425="","",COUNTIFS($B$5:B425,B425,$AT$5:AT425,AT425))</f>
        <v/>
      </c>
      <c r="AZ425" s="28" t="str">
        <f>IF(B425="","",COUNTIFS($B$5:B425,B425,$AV$5:AV425,AV425))</f>
        <v/>
      </c>
      <c r="BA425" s="28" t="str">
        <f>IF(B425="","",TEXT(AY425,"00")&amp;"|"&amp;B425&amp;"|"&amp;TEXT(AT425,"yyyymmdd"))</f>
        <v/>
      </c>
      <c r="BB425" s="28" t="str">
        <f>IF(B425="","",TEXT(AZ425,"00")&amp;"|"&amp;B425&amp;"|"&amp;TEXT(AV425,"yyyymmdd"))</f>
        <v/>
      </c>
      <c r="BC425" s="28">
        <f>IF(OR(AQ425="YES",AQ425="Yes",AQ425="Y",AQ425=1),1,0)</f>
        <v>0</v>
      </c>
    </row>
    <row r="426" spans="1:55" ht="15" customHeight="1">
      <c r="A426" s="27"/>
      <c r="B426" s="28"/>
      <c r="C426" s="29"/>
      <c r="D426" s="30"/>
      <c r="E426" s="30"/>
      <c r="F426" s="28"/>
      <c r="G426" s="28"/>
      <c r="H426" s="28"/>
      <c r="I426" s="13"/>
      <c r="J426" s="28"/>
      <c r="K426" s="13"/>
      <c r="L426" s="28"/>
      <c r="M426" s="13"/>
      <c r="N426" s="28"/>
      <c r="O426" s="13"/>
      <c r="P426" s="28"/>
      <c r="Q426" s="20"/>
      <c r="R426" s="28"/>
      <c r="S426" s="20"/>
      <c r="T426" s="28"/>
      <c r="U426" s="13"/>
      <c r="V426" s="28"/>
      <c r="W426" s="13"/>
      <c r="X426" s="28"/>
      <c r="Y426" s="13"/>
      <c r="Z426" s="28"/>
      <c r="AA426" s="13"/>
      <c r="AB426" s="28"/>
      <c r="AC426" s="13"/>
      <c r="AD426" s="28"/>
      <c r="AE426" s="13"/>
      <c r="AF426" s="28"/>
      <c r="AG426" s="13"/>
      <c r="AH426" s="28"/>
      <c r="AI426" s="13"/>
      <c r="AJ426" s="28"/>
      <c r="AK426" s="13"/>
      <c r="AL426" s="28"/>
      <c r="AM426" s="13"/>
      <c r="AN426" s="28"/>
      <c r="AO426" s="13"/>
      <c r="AP426" s="28"/>
      <c r="AQ426" s="13"/>
      <c r="AR426" s="28"/>
      <c r="AS426" s="19">
        <f>SUM(H426,J426,L426,N426,P426,R426,T426,V426,X426,Z426,AB426,AD426,AF426,AH426,AJ426,AL426,AN426)</f>
        <v>0</v>
      </c>
      <c r="AT426" s="29" t="str">
        <f>IF(C426="","",DATE(YEAR(C426),MONTH(C426),1))</f>
        <v/>
      </c>
      <c r="AU426" s="28" t="str">
        <f>IF(AT426="","",TEXT(AT426,"mmmm yyyy"))</f>
        <v/>
      </c>
      <c r="AV426" s="29" t="str">
        <f>IF(C426="","",C426-WEEKDAY(C426,2)+1)</f>
        <v/>
      </c>
      <c r="AW426" s="29" t="str">
        <f>IF(AV426="","",AV426+6)</f>
        <v/>
      </c>
      <c r="AX426" s="28" t="str">
        <f>IF(AV426="","",TEXT(AV426,"dd/mm/yyyy")&amp;" - "&amp;TEXT(AW426,"dd/mm/yyyy"))</f>
        <v/>
      </c>
      <c r="AY426" s="28" t="str">
        <f>IF(B426="","",COUNTIFS($B$5:B426,B426,$AT$5:AT426,AT426))</f>
        <v/>
      </c>
      <c r="AZ426" s="28" t="str">
        <f>IF(B426="","",COUNTIFS($B$5:B426,B426,$AV$5:AV426,AV426))</f>
        <v/>
      </c>
      <c r="BA426" s="28" t="str">
        <f>IF(B426="","",TEXT(AY426,"00")&amp;"|"&amp;B426&amp;"|"&amp;TEXT(AT426,"yyyymmdd"))</f>
        <v/>
      </c>
      <c r="BB426" s="28" t="str">
        <f>IF(B426="","",TEXT(AZ426,"00")&amp;"|"&amp;B426&amp;"|"&amp;TEXT(AV426,"yyyymmdd"))</f>
        <v/>
      </c>
      <c r="BC426" s="28">
        <f>IF(OR(AQ426="YES",AQ426="Yes",AQ426="Y",AQ426=1),1,0)</f>
        <v>0</v>
      </c>
    </row>
    <row r="427" spans="1:55" ht="15" customHeight="1">
      <c r="A427" s="27"/>
      <c r="B427" s="28"/>
      <c r="C427" s="29"/>
      <c r="D427" s="30"/>
      <c r="E427" s="30"/>
      <c r="F427" s="28"/>
      <c r="G427" s="28"/>
      <c r="H427" s="28"/>
      <c r="I427" s="13"/>
      <c r="J427" s="28"/>
      <c r="K427" s="13"/>
      <c r="L427" s="28"/>
      <c r="M427" s="13"/>
      <c r="N427" s="28"/>
      <c r="O427" s="13"/>
      <c r="P427" s="28"/>
      <c r="Q427" s="20"/>
      <c r="R427" s="28"/>
      <c r="S427" s="20"/>
      <c r="T427" s="28"/>
      <c r="U427" s="13"/>
      <c r="V427" s="28"/>
      <c r="W427" s="13"/>
      <c r="X427" s="28"/>
      <c r="Y427" s="13"/>
      <c r="Z427" s="28"/>
      <c r="AA427" s="13"/>
      <c r="AB427" s="28"/>
      <c r="AC427" s="13"/>
      <c r="AD427" s="28"/>
      <c r="AE427" s="13"/>
      <c r="AF427" s="28"/>
      <c r="AG427" s="13"/>
      <c r="AH427" s="28"/>
      <c r="AI427" s="13"/>
      <c r="AJ427" s="28"/>
      <c r="AK427" s="13"/>
      <c r="AL427" s="28"/>
      <c r="AM427" s="13"/>
      <c r="AN427" s="28"/>
      <c r="AO427" s="13"/>
      <c r="AP427" s="28"/>
      <c r="AQ427" s="13"/>
      <c r="AR427" s="28"/>
      <c r="AS427" s="19">
        <f>SUM(H427,J427,L427,N427,P427,R427,T427,V427,X427,Z427,AB427,AD427,AF427,AH427,AJ427,AL427,AN427)</f>
        <v>0</v>
      </c>
      <c r="AT427" s="29" t="str">
        <f>IF(C427="","",DATE(YEAR(C427),MONTH(C427),1))</f>
        <v/>
      </c>
      <c r="AU427" s="28" t="str">
        <f>IF(AT427="","",TEXT(AT427,"mmmm yyyy"))</f>
        <v/>
      </c>
      <c r="AV427" s="29" t="str">
        <f>IF(C427="","",C427-WEEKDAY(C427,2)+1)</f>
        <v/>
      </c>
      <c r="AW427" s="29" t="str">
        <f>IF(AV427="","",AV427+6)</f>
        <v/>
      </c>
      <c r="AX427" s="28" t="str">
        <f>IF(AV427="","",TEXT(AV427,"dd/mm/yyyy")&amp;" - "&amp;TEXT(AW427,"dd/mm/yyyy"))</f>
        <v/>
      </c>
      <c r="AY427" s="28" t="str">
        <f>IF(B427="","",COUNTIFS($B$5:B427,B427,$AT$5:AT427,AT427))</f>
        <v/>
      </c>
      <c r="AZ427" s="28" t="str">
        <f>IF(B427="","",COUNTIFS($B$5:B427,B427,$AV$5:AV427,AV427))</f>
        <v/>
      </c>
      <c r="BA427" s="28" t="str">
        <f>IF(B427="","",TEXT(AY427,"00")&amp;"|"&amp;B427&amp;"|"&amp;TEXT(AT427,"yyyymmdd"))</f>
        <v/>
      </c>
      <c r="BB427" s="28" t="str">
        <f>IF(B427="","",TEXT(AZ427,"00")&amp;"|"&amp;B427&amp;"|"&amp;TEXT(AV427,"yyyymmdd"))</f>
        <v/>
      </c>
      <c r="BC427" s="28">
        <f>IF(OR(AQ427="YES",AQ427="Yes",AQ427="Y",AQ427=1),1,0)</f>
        <v>0</v>
      </c>
    </row>
    <row r="428" spans="1:55" ht="15" customHeight="1">
      <c r="A428" s="27"/>
      <c r="B428" s="28"/>
      <c r="C428" s="29"/>
      <c r="D428" s="30"/>
      <c r="E428" s="30"/>
      <c r="F428" s="28"/>
      <c r="G428" s="28"/>
      <c r="H428" s="28"/>
      <c r="I428" s="13"/>
      <c r="J428" s="28"/>
      <c r="K428" s="13"/>
      <c r="L428" s="28"/>
      <c r="M428" s="13"/>
      <c r="N428" s="28"/>
      <c r="O428" s="13"/>
      <c r="P428" s="28"/>
      <c r="Q428" s="20"/>
      <c r="R428" s="28"/>
      <c r="S428" s="20"/>
      <c r="T428" s="28"/>
      <c r="U428" s="13"/>
      <c r="V428" s="28"/>
      <c r="W428" s="13"/>
      <c r="X428" s="28"/>
      <c r="Y428" s="13"/>
      <c r="Z428" s="28"/>
      <c r="AA428" s="13"/>
      <c r="AB428" s="28"/>
      <c r="AC428" s="13"/>
      <c r="AD428" s="28"/>
      <c r="AE428" s="13"/>
      <c r="AF428" s="28"/>
      <c r="AG428" s="13"/>
      <c r="AH428" s="28"/>
      <c r="AI428" s="13"/>
      <c r="AJ428" s="28"/>
      <c r="AK428" s="13"/>
      <c r="AL428" s="28"/>
      <c r="AM428" s="13"/>
      <c r="AN428" s="28"/>
      <c r="AO428" s="13"/>
      <c r="AP428" s="28"/>
      <c r="AQ428" s="13"/>
      <c r="AR428" s="28"/>
      <c r="AS428" s="19">
        <f>SUM(H428,J428,L428,N428,P428,R428,T428,V428,X428,Z428,AB428,AD428,AF428,AH428,AJ428,AL428,AN428)</f>
        <v>0</v>
      </c>
      <c r="AT428" s="29" t="str">
        <f>IF(C428="","",DATE(YEAR(C428),MONTH(C428),1))</f>
        <v/>
      </c>
      <c r="AU428" s="28" t="str">
        <f>IF(AT428="","",TEXT(AT428,"mmmm yyyy"))</f>
        <v/>
      </c>
      <c r="AV428" s="29" t="str">
        <f>IF(C428="","",C428-WEEKDAY(C428,2)+1)</f>
        <v/>
      </c>
      <c r="AW428" s="29" t="str">
        <f>IF(AV428="","",AV428+6)</f>
        <v/>
      </c>
      <c r="AX428" s="28" t="str">
        <f>IF(AV428="","",TEXT(AV428,"dd/mm/yyyy")&amp;" - "&amp;TEXT(AW428,"dd/mm/yyyy"))</f>
        <v/>
      </c>
      <c r="AY428" s="28" t="str">
        <f>IF(B428="","",COUNTIFS($B$5:B428,B428,$AT$5:AT428,AT428))</f>
        <v/>
      </c>
      <c r="AZ428" s="28" t="str">
        <f>IF(B428="","",COUNTIFS($B$5:B428,B428,$AV$5:AV428,AV428))</f>
        <v/>
      </c>
      <c r="BA428" s="28" t="str">
        <f>IF(B428="","",TEXT(AY428,"00")&amp;"|"&amp;B428&amp;"|"&amp;TEXT(AT428,"yyyymmdd"))</f>
        <v/>
      </c>
      <c r="BB428" s="28" t="str">
        <f>IF(B428="","",TEXT(AZ428,"00")&amp;"|"&amp;B428&amp;"|"&amp;TEXT(AV428,"yyyymmdd"))</f>
        <v/>
      </c>
      <c r="BC428" s="28">
        <f>IF(OR(AQ428="YES",AQ428="Yes",AQ428="Y",AQ428=1),1,0)</f>
        <v>0</v>
      </c>
    </row>
    <row r="429" spans="1:55" ht="15" customHeight="1">
      <c r="A429" s="27"/>
      <c r="B429" s="28"/>
      <c r="C429" s="29"/>
      <c r="D429" s="30"/>
      <c r="E429" s="30"/>
      <c r="F429" s="28"/>
      <c r="G429" s="28"/>
      <c r="H429" s="28"/>
      <c r="I429" s="13"/>
      <c r="J429" s="28"/>
      <c r="K429" s="13"/>
      <c r="L429" s="28"/>
      <c r="M429" s="13"/>
      <c r="N429" s="28"/>
      <c r="O429" s="13"/>
      <c r="P429" s="28"/>
      <c r="Q429" s="20"/>
      <c r="R429" s="28"/>
      <c r="S429" s="20"/>
      <c r="T429" s="28"/>
      <c r="U429" s="13"/>
      <c r="V429" s="28"/>
      <c r="W429" s="13"/>
      <c r="X429" s="28"/>
      <c r="Y429" s="13"/>
      <c r="Z429" s="28"/>
      <c r="AA429" s="13"/>
      <c r="AB429" s="28"/>
      <c r="AC429" s="13"/>
      <c r="AD429" s="28"/>
      <c r="AE429" s="13"/>
      <c r="AF429" s="28"/>
      <c r="AG429" s="13"/>
      <c r="AH429" s="28"/>
      <c r="AI429" s="13"/>
      <c r="AJ429" s="28"/>
      <c r="AK429" s="13"/>
      <c r="AL429" s="28"/>
      <c r="AM429" s="13"/>
      <c r="AN429" s="28"/>
      <c r="AO429" s="13"/>
      <c r="AP429" s="28"/>
      <c r="AQ429" s="13"/>
      <c r="AR429" s="28"/>
      <c r="AS429" s="19">
        <f>SUM(H429,J429,L429,N429,P429,R429,T429,V429,X429,Z429,AB429,AD429,AF429,AH429,AJ429,AL429,AN429)</f>
        <v>0</v>
      </c>
      <c r="AT429" s="29" t="str">
        <f>IF(C429="","",DATE(YEAR(C429),MONTH(C429),1))</f>
        <v/>
      </c>
      <c r="AU429" s="28" t="str">
        <f>IF(AT429="","",TEXT(AT429,"mmmm yyyy"))</f>
        <v/>
      </c>
      <c r="AV429" s="29" t="str">
        <f>IF(C429="","",C429-WEEKDAY(C429,2)+1)</f>
        <v/>
      </c>
      <c r="AW429" s="29" t="str">
        <f>IF(AV429="","",AV429+6)</f>
        <v/>
      </c>
      <c r="AX429" s="28" t="str">
        <f>IF(AV429="","",TEXT(AV429,"dd/mm/yyyy")&amp;" - "&amp;TEXT(AW429,"dd/mm/yyyy"))</f>
        <v/>
      </c>
      <c r="AY429" s="28" t="str">
        <f>IF(B429="","",COUNTIFS($B$5:B429,B429,$AT$5:AT429,AT429))</f>
        <v/>
      </c>
      <c r="AZ429" s="28" t="str">
        <f>IF(B429="","",COUNTIFS($B$5:B429,B429,$AV$5:AV429,AV429))</f>
        <v/>
      </c>
      <c r="BA429" s="28" t="str">
        <f>IF(B429="","",TEXT(AY429,"00")&amp;"|"&amp;B429&amp;"|"&amp;TEXT(AT429,"yyyymmdd"))</f>
        <v/>
      </c>
      <c r="BB429" s="28" t="str">
        <f>IF(B429="","",TEXT(AZ429,"00")&amp;"|"&amp;B429&amp;"|"&amp;TEXT(AV429,"yyyymmdd"))</f>
        <v/>
      </c>
      <c r="BC429" s="28">
        <f>IF(OR(AQ429="YES",AQ429="Yes",AQ429="Y",AQ429=1),1,0)</f>
        <v>0</v>
      </c>
    </row>
    <row r="430" spans="1:55" ht="15" customHeight="1">
      <c r="A430" s="27"/>
      <c r="B430" s="28"/>
      <c r="C430" s="29"/>
      <c r="D430" s="30"/>
      <c r="E430" s="30"/>
      <c r="F430" s="28"/>
      <c r="G430" s="28"/>
      <c r="H430" s="28"/>
      <c r="I430" s="13"/>
      <c r="J430" s="28"/>
      <c r="K430" s="13"/>
      <c r="L430" s="28"/>
      <c r="M430" s="13"/>
      <c r="N430" s="28"/>
      <c r="O430" s="13"/>
      <c r="P430" s="28"/>
      <c r="Q430" s="20"/>
      <c r="R430" s="28"/>
      <c r="S430" s="20"/>
      <c r="T430" s="28"/>
      <c r="U430" s="13"/>
      <c r="V430" s="28"/>
      <c r="W430" s="13"/>
      <c r="X430" s="28"/>
      <c r="Y430" s="13"/>
      <c r="Z430" s="28"/>
      <c r="AA430" s="13"/>
      <c r="AB430" s="28"/>
      <c r="AC430" s="13"/>
      <c r="AD430" s="28"/>
      <c r="AE430" s="13"/>
      <c r="AF430" s="28"/>
      <c r="AG430" s="13"/>
      <c r="AH430" s="28"/>
      <c r="AI430" s="13"/>
      <c r="AJ430" s="28"/>
      <c r="AK430" s="13"/>
      <c r="AL430" s="28"/>
      <c r="AM430" s="13"/>
      <c r="AN430" s="28"/>
      <c r="AO430" s="13"/>
      <c r="AP430" s="28"/>
      <c r="AQ430" s="13"/>
      <c r="AR430" s="28"/>
      <c r="AS430" s="19">
        <f>SUM(H430,J430,L430,N430,P430,R430,T430,V430,X430,Z430,AB430,AD430,AF430,AH430,AJ430,AL430,AN430)</f>
        <v>0</v>
      </c>
      <c r="AT430" s="29" t="str">
        <f>IF(C430="","",DATE(YEAR(C430),MONTH(C430),1))</f>
        <v/>
      </c>
      <c r="AU430" s="28" t="str">
        <f>IF(AT430="","",TEXT(AT430,"mmmm yyyy"))</f>
        <v/>
      </c>
      <c r="AV430" s="29" t="str">
        <f>IF(C430="","",C430-WEEKDAY(C430,2)+1)</f>
        <v/>
      </c>
      <c r="AW430" s="29" t="str">
        <f>IF(AV430="","",AV430+6)</f>
        <v/>
      </c>
      <c r="AX430" s="28" t="str">
        <f>IF(AV430="","",TEXT(AV430,"dd/mm/yyyy")&amp;" - "&amp;TEXT(AW430,"dd/mm/yyyy"))</f>
        <v/>
      </c>
      <c r="AY430" s="28" t="str">
        <f>IF(B430="","",COUNTIFS($B$5:B430,B430,$AT$5:AT430,AT430))</f>
        <v/>
      </c>
      <c r="AZ430" s="28" t="str">
        <f>IF(B430="","",COUNTIFS($B$5:B430,B430,$AV$5:AV430,AV430))</f>
        <v/>
      </c>
      <c r="BA430" s="28" t="str">
        <f>IF(B430="","",TEXT(AY430,"00")&amp;"|"&amp;B430&amp;"|"&amp;TEXT(AT430,"yyyymmdd"))</f>
        <v/>
      </c>
      <c r="BB430" s="28" t="str">
        <f>IF(B430="","",TEXT(AZ430,"00")&amp;"|"&amp;B430&amp;"|"&amp;TEXT(AV430,"yyyymmdd"))</f>
        <v/>
      </c>
      <c r="BC430" s="28">
        <f>IF(OR(AQ430="YES",AQ430="Yes",AQ430="Y",AQ430=1),1,0)</f>
        <v>0</v>
      </c>
    </row>
    <row r="431" spans="1:55" ht="15" customHeight="1">
      <c r="A431" s="27"/>
      <c r="B431" s="28"/>
      <c r="C431" s="29"/>
      <c r="D431" s="30"/>
      <c r="E431" s="30"/>
      <c r="F431" s="28"/>
      <c r="G431" s="28"/>
      <c r="H431" s="28"/>
      <c r="I431" s="13"/>
      <c r="J431" s="28"/>
      <c r="K431" s="13"/>
      <c r="L431" s="28"/>
      <c r="M431" s="13"/>
      <c r="N431" s="28"/>
      <c r="O431" s="13"/>
      <c r="P431" s="28"/>
      <c r="Q431" s="20"/>
      <c r="R431" s="28"/>
      <c r="S431" s="20"/>
      <c r="T431" s="28"/>
      <c r="U431" s="13"/>
      <c r="V431" s="28"/>
      <c r="W431" s="13"/>
      <c r="X431" s="28"/>
      <c r="Y431" s="13"/>
      <c r="Z431" s="28"/>
      <c r="AA431" s="13"/>
      <c r="AB431" s="28"/>
      <c r="AC431" s="13"/>
      <c r="AD431" s="28"/>
      <c r="AE431" s="13"/>
      <c r="AF431" s="28"/>
      <c r="AG431" s="13"/>
      <c r="AH431" s="28"/>
      <c r="AI431" s="13"/>
      <c r="AJ431" s="28"/>
      <c r="AK431" s="13"/>
      <c r="AL431" s="28"/>
      <c r="AM431" s="13"/>
      <c r="AN431" s="28"/>
      <c r="AO431" s="13"/>
      <c r="AP431" s="28"/>
      <c r="AQ431" s="13"/>
      <c r="AR431" s="28"/>
      <c r="AS431" s="19">
        <f>SUM(H431,J431,L431,N431,P431,R431,T431,V431,X431,Z431,AB431,AD431,AF431,AH431,AJ431,AL431,AN431)</f>
        <v>0</v>
      </c>
      <c r="AT431" s="29" t="str">
        <f>IF(C431="","",DATE(YEAR(C431),MONTH(C431),1))</f>
        <v/>
      </c>
      <c r="AU431" s="28" t="str">
        <f>IF(AT431="","",TEXT(AT431,"mmmm yyyy"))</f>
        <v/>
      </c>
      <c r="AV431" s="29" t="str">
        <f>IF(C431="","",C431-WEEKDAY(C431,2)+1)</f>
        <v/>
      </c>
      <c r="AW431" s="29" t="str">
        <f>IF(AV431="","",AV431+6)</f>
        <v/>
      </c>
      <c r="AX431" s="28" t="str">
        <f>IF(AV431="","",TEXT(AV431,"dd/mm/yyyy")&amp;" - "&amp;TEXT(AW431,"dd/mm/yyyy"))</f>
        <v/>
      </c>
      <c r="AY431" s="28" t="str">
        <f>IF(B431="","",COUNTIFS($B$5:B431,B431,$AT$5:AT431,AT431))</f>
        <v/>
      </c>
      <c r="AZ431" s="28" t="str">
        <f>IF(B431="","",COUNTIFS($B$5:B431,B431,$AV$5:AV431,AV431))</f>
        <v/>
      </c>
      <c r="BA431" s="28" t="str">
        <f>IF(B431="","",TEXT(AY431,"00")&amp;"|"&amp;B431&amp;"|"&amp;TEXT(AT431,"yyyymmdd"))</f>
        <v/>
      </c>
      <c r="BB431" s="28" t="str">
        <f>IF(B431="","",TEXT(AZ431,"00")&amp;"|"&amp;B431&amp;"|"&amp;TEXT(AV431,"yyyymmdd"))</f>
        <v/>
      </c>
      <c r="BC431" s="28">
        <f>IF(OR(AQ431="YES",AQ431="Yes",AQ431="Y",AQ431=1),1,0)</f>
        <v>0</v>
      </c>
    </row>
    <row r="432" spans="1:55" ht="15" customHeight="1">
      <c r="A432" s="27"/>
      <c r="B432" s="28"/>
      <c r="C432" s="29"/>
      <c r="D432" s="30"/>
      <c r="E432" s="30"/>
      <c r="F432" s="28"/>
      <c r="G432" s="28"/>
      <c r="H432" s="28"/>
      <c r="I432" s="13"/>
      <c r="J432" s="28"/>
      <c r="K432" s="13"/>
      <c r="L432" s="28"/>
      <c r="M432" s="13"/>
      <c r="N432" s="28"/>
      <c r="O432" s="13"/>
      <c r="P432" s="28"/>
      <c r="Q432" s="20"/>
      <c r="R432" s="28"/>
      <c r="S432" s="20"/>
      <c r="T432" s="28"/>
      <c r="U432" s="13"/>
      <c r="V432" s="28"/>
      <c r="W432" s="13"/>
      <c r="X432" s="28"/>
      <c r="Y432" s="13"/>
      <c r="Z432" s="28"/>
      <c r="AA432" s="13"/>
      <c r="AB432" s="28"/>
      <c r="AC432" s="13"/>
      <c r="AD432" s="28"/>
      <c r="AE432" s="13"/>
      <c r="AF432" s="28"/>
      <c r="AG432" s="13"/>
      <c r="AH432" s="28"/>
      <c r="AI432" s="13"/>
      <c r="AJ432" s="28"/>
      <c r="AK432" s="13"/>
      <c r="AL432" s="28"/>
      <c r="AM432" s="13"/>
      <c r="AN432" s="28"/>
      <c r="AO432" s="13"/>
      <c r="AP432" s="28"/>
      <c r="AQ432" s="13"/>
      <c r="AR432" s="28"/>
      <c r="AS432" s="19">
        <f>SUM(H432,J432,L432,N432,P432,R432,T432,V432,X432,Z432,AB432,AD432,AF432,AH432,AJ432,AL432,AN432)</f>
        <v>0</v>
      </c>
      <c r="AT432" s="29" t="str">
        <f>IF(C432="","",DATE(YEAR(C432),MONTH(C432),1))</f>
        <v/>
      </c>
      <c r="AU432" s="28" t="str">
        <f>IF(AT432="","",TEXT(AT432,"mmmm yyyy"))</f>
        <v/>
      </c>
      <c r="AV432" s="29" t="str">
        <f>IF(C432="","",C432-WEEKDAY(C432,2)+1)</f>
        <v/>
      </c>
      <c r="AW432" s="29" t="str">
        <f>IF(AV432="","",AV432+6)</f>
        <v/>
      </c>
      <c r="AX432" s="28" t="str">
        <f>IF(AV432="","",TEXT(AV432,"dd/mm/yyyy")&amp;" - "&amp;TEXT(AW432,"dd/mm/yyyy"))</f>
        <v/>
      </c>
      <c r="AY432" s="28" t="str">
        <f>IF(B432="","",COUNTIFS($B$5:B432,B432,$AT$5:AT432,AT432))</f>
        <v/>
      </c>
      <c r="AZ432" s="28" t="str">
        <f>IF(B432="","",COUNTIFS($B$5:B432,B432,$AV$5:AV432,AV432))</f>
        <v/>
      </c>
      <c r="BA432" s="28" t="str">
        <f>IF(B432="","",TEXT(AY432,"00")&amp;"|"&amp;B432&amp;"|"&amp;TEXT(AT432,"yyyymmdd"))</f>
        <v/>
      </c>
      <c r="BB432" s="28" t="str">
        <f>IF(B432="","",TEXT(AZ432,"00")&amp;"|"&amp;B432&amp;"|"&amp;TEXT(AV432,"yyyymmdd"))</f>
        <v/>
      </c>
      <c r="BC432" s="28">
        <f>IF(OR(AQ432="YES",AQ432="Yes",AQ432="Y",AQ432=1),1,0)</f>
        <v>0</v>
      </c>
    </row>
    <row r="433" spans="1:55" ht="15" customHeight="1">
      <c r="A433" s="27"/>
      <c r="B433" s="28"/>
      <c r="C433" s="29"/>
      <c r="D433" s="30"/>
      <c r="E433" s="30"/>
      <c r="F433" s="28"/>
      <c r="G433" s="28"/>
      <c r="H433" s="28"/>
      <c r="I433" s="13"/>
      <c r="J433" s="28"/>
      <c r="K433" s="13"/>
      <c r="L433" s="28"/>
      <c r="M433" s="13"/>
      <c r="N433" s="28"/>
      <c r="O433" s="13"/>
      <c r="P433" s="28"/>
      <c r="Q433" s="20"/>
      <c r="R433" s="28"/>
      <c r="S433" s="20"/>
      <c r="T433" s="28"/>
      <c r="U433" s="13"/>
      <c r="V433" s="28"/>
      <c r="W433" s="13"/>
      <c r="X433" s="28"/>
      <c r="Y433" s="13"/>
      <c r="Z433" s="28"/>
      <c r="AA433" s="13"/>
      <c r="AB433" s="28"/>
      <c r="AC433" s="13"/>
      <c r="AD433" s="28"/>
      <c r="AE433" s="13"/>
      <c r="AF433" s="28"/>
      <c r="AG433" s="13"/>
      <c r="AH433" s="28"/>
      <c r="AI433" s="13"/>
      <c r="AJ433" s="28"/>
      <c r="AK433" s="13"/>
      <c r="AL433" s="28"/>
      <c r="AM433" s="13"/>
      <c r="AN433" s="28"/>
      <c r="AO433" s="13"/>
      <c r="AP433" s="28"/>
      <c r="AQ433" s="13"/>
      <c r="AR433" s="28"/>
      <c r="AS433" s="19">
        <f>SUM(H433,J433,L433,N433,P433,R433,T433,V433,X433,Z433,AB433,AD433,AF433,AH433,AJ433,AL433,AN433)</f>
        <v>0</v>
      </c>
      <c r="AT433" s="29" t="str">
        <f>IF(C433="","",DATE(YEAR(C433),MONTH(C433),1))</f>
        <v/>
      </c>
      <c r="AU433" s="28" t="str">
        <f>IF(AT433="","",TEXT(AT433,"mmmm yyyy"))</f>
        <v/>
      </c>
      <c r="AV433" s="29" t="str">
        <f>IF(C433="","",C433-WEEKDAY(C433,2)+1)</f>
        <v/>
      </c>
      <c r="AW433" s="29" t="str">
        <f>IF(AV433="","",AV433+6)</f>
        <v/>
      </c>
      <c r="AX433" s="28" t="str">
        <f>IF(AV433="","",TEXT(AV433,"dd/mm/yyyy")&amp;" - "&amp;TEXT(AW433,"dd/mm/yyyy"))</f>
        <v/>
      </c>
      <c r="AY433" s="28" t="str">
        <f>IF(B433="","",COUNTIFS($B$5:B433,B433,$AT$5:AT433,AT433))</f>
        <v/>
      </c>
      <c r="AZ433" s="28" t="str">
        <f>IF(B433="","",COUNTIFS($B$5:B433,B433,$AV$5:AV433,AV433))</f>
        <v/>
      </c>
      <c r="BA433" s="28" t="str">
        <f>IF(B433="","",TEXT(AY433,"00")&amp;"|"&amp;B433&amp;"|"&amp;TEXT(AT433,"yyyymmdd"))</f>
        <v/>
      </c>
      <c r="BB433" s="28" t="str">
        <f>IF(B433="","",TEXT(AZ433,"00")&amp;"|"&amp;B433&amp;"|"&amp;TEXT(AV433,"yyyymmdd"))</f>
        <v/>
      </c>
      <c r="BC433" s="28">
        <f>IF(OR(AQ433="YES",AQ433="Yes",AQ433="Y",AQ433=1),1,0)</f>
        <v>0</v>
      </c>
    </row>
    <row r="434" spans="1:55" ht="15" customHeight="1">
      <c r="A434" s="27"/>
      <c r="B434" s="28"/>
      <c r="C434" s="29"/>
      <c r="D434" s="30"/>
      <c r="E434" s="30"/>
      <c r="F434" s="28"/>
      <c r="G434" s="28"/>
      <c r="H434" s="28"/>
      <c r="I434" s="13"/>
      <c r="J434" s="28"/>
      <c r="K434" s="13"/>
      <c r="L434" s="28"/>
      <c r="M434" s="13"/>
      <c r="N434" s="28"/>
      <c r="O434" s="13"/>
      <c r="P434" s="28"/>
      <c r="Q434" s="20"/>
      <c r="R434" s="28"/>
      <c r="S434" s="20"/>
      <c r="T434" s="28"/>
      <c r="U434" s="13"/>
      <c r="V434" s="28"/>
      <c r="W434" s="13"/>
      <c r="X434" s="28"/>
      <c r="Y434" s="13"/>
      <c r="Z434" s="28"/>
      <c r="AA434" s="13"/>
      <c r="AB434" s="28"/>
      <c r="AC434" s="13"/>
      <c r="AD434" s="28"/>
      <c r="AE434" s="13"/>
      <c r="AF434" s="28"/>
      <c r="AG434" s="13"/>
      <c r="AH434" s="28"/>
      <c r="AI434" s="13"/>
      <c r="AJ434" s="28"/>
      <c r="AK434" s="13"/>
      <c r="AL434" s="28"/>
      <c r="AM434" s="13"/>
      <c r="AN434" s="28"/>
      <c r="AO434" s="13"/>
      <c r="AP434" s="28"/>
      <c r="AQ434" s="13"/>
      <c r="AR434" s="28"/>
      <c r="AS434" s="19">
        <f>SUM(H434,J434,L434,N434,P434,R434,T434,V434,X434,Z434,AB434,AD434,AF434,AH434,AJ434,AL434,AN434)</f>
        <v>0</v>
      </c>
      <c r="AT434" s="29" t="str">
        <f>IF(C434="","",DATE(YEAR(C434),MONTH(C434),1))</f>
        <v/>
      </c>
      <c r="AU434" s="28" t="str">
        <f>IF(AT434="","",TEXT(AT434,"mmmm yyyy"))</f>
        <v/>
      </c>
      <c r="AV434" s="29" t="str">
        <f>IF(C434="","",C434-WEEKDAY(C434,2)+1)</f>
        <v/>
      </c>
      <c r="AW434" s="29" t="str">
        <f>IF(AV434="","",AV434+6)</f>
        <v/>
      </c>
      <c r="AX434" s="28" t="str">
        <f>IF(AV434="","",TEXT(AV434,"dd/mm/yyyy")&amp;" - "&amp;TEXT(AW434,"dd/mm/yyyy"))</f>
        <v/>
      </c>
      <c r="AY434" s="28" t="str">
        <f>IF(B434="","",COUNTIFS($B$5:B434,B434,$AT$5:AT434,AT434))</f>
        <v/>
      </c>
      <c r="AZ434" s="28" t="str">
        <f>IF(B434="","",COUNTIFS($B$5:B434,B434,$AV$5:AV434,AV434))</f>
        <v/>
      </c>
      <c r="BA434" s="28" t="str">
        <f>IF(B434="","",TEXT(AY434,"00")&amp;"|"&amp;B434&amp;"|"&amp;TEXT(AT434,"yyyymmdd"))</f>
        <v/>
      </c>
      <c r="BB434" s="28" t="str">
        <f>IF(B434="","",TEXT(AZ434,"00")&amp;"|"&amp;B434&amp;"|"&amp;TEXT(AV434,"yyyymmdd"))</f>
        <v/>
      </c>
      <c r="BC434" s="28">
        <f>IF(OR(AQ434="YES",AQ434="Yes",AQ434="Y",AQ434=1),1,0)</f>
        <v>0</v>
      </c>
    </row>
    <row r="435" spans="1:55" ht="15" customHeight="1">
      <c r="A435" s="27"/>
      <c r="B435" s="28"/>
      <c r="C435" s="29"/>
      <c r="D435" s="30"/>
      <c r="E435" s="30"/>
      <c r="F435" s="28"/>
      <c r="G435" s="28"/>
      <c r="H435" s="28"/>
      <c r="I435" s="13"/>
      <c r="J435" s="28"/>
      <c r="K435" s="13"/>
      <c r="L435" s="28"/>
      <c r="M435" s="13"/>
      <c r="N435" s="28"/>
      <c r="O435" s="13"/>
      <c r="P435" s="28"/>
      <c r="Q435" s="20"/>
      <c r="R435" s="28"/>
      <c r="S435" s="20"/>
      <c r="T435" s="28"/>
      <c r="U435" s="13"/>
      <c r="V435" s="28"/>
      <c r="W435" s="13"/>
      <c r="X435" s="28"/>
      <c r="Y435" s="13"/>
      <c r="Z435" s="28"/>
      <c r="AA435" s="13"/>
      <c r="AB435" s="28"/>
      <c r="AC435" s="13"/>
      <c r="AD435" s="28"/>
      <c r="AE435" s="13"/>
      <c r="AF435" s="28"/>
      <c r="AG435" s="13"/>
      <c r="AH435" s="28"/>
      <c r="AI435" s="13"/>
      <c r="AJ435" s="28"/>
      <c r="AK435" s="13"/>
      <c r="AL435" s="28"/>
      <c r="AM435" s="13"/>
      <c r="AN435" s="28"/>
      <c r="AO435" s="13"/>
      <c r="AP435" s="28"/>
      <c r="AQ435" s="13"/>
      <c r="AR435" s="28"/>
      <c r="AS435" s="19">
        <f>SUM(H435,J435,L435,N435,P435,R435,T435,V435,X435,Z435,AB435,AD435,AF435,AH435,AJ435,AL435,AN435)</f>
        <v>0</v>
      </c>
      <c r="AT435" s="29" t="str">
        <f>IF(C435="","",DATE(YEAR(C435),MONTH(C435),1))</f>
        <v/>
      </c>
      <c r="AU435" s="28" t="str">
        <f>IF(AT435="","",TEXT(AT435,"mmmm yyyy"))</f>
        <v/>
      </c>
      <c r="AV435" s="29" t="str">
        <f>IF(C435="","",C435-WEEKDAY(C435,2)+1)</f>
        <v/>
      </c>
      <c r="AW435" s="29" t="str">
        <f>IF(AV435="","",AV435+6)</f>
        <v/>
      </c>
      <c r="AX435" s="28" t="str">
        <f>IF(AV435="","",TEXT(AV435,"dd/mm/yyyy")&amp;" - "&amp;TEXT(AW435,"dd/mm/yyyy"))</f>
        <v/>
      </c>
      <c r="AY435" s="28" t="str">
        <f>IF(B435="","",COUNTIFS($B$5:B435,B435,$AT$5:AT435,AT435))</f>
        <v/>
      </c>
      <c r="AZ435" s="28" t="str">
        <f>IF(B435="","",COUNTIFS($B$5:B435,B435,$AV$5:AV435,AV435))</f>
        <v/>
      </c>
      <c r="BA435" s="28" t="str">
        <f>IF(B435="","",TEXT(AY435,"00")&amp;"|"&amp;B435&amp;"|"&amp;TEXT(AT435,"yyyymmdd"))</f>
        <v/>
      </c>
      <c r="BB435" s="28" t="str">
        <f>IF(B435="","",TEXT(AZ435,"00")&amp;"|"&amp;B435&amp;"|"&amp;TEXT(AV435,"yyyymmdd"))</f>
        <v/>
      </c>
      <c r="BC435" s="28">
        <f>IF(OR(AQ435="YES",AQ435="Yes",AQ435="Y",AQ435=1),1,0)</f>
        <v>0</v>
      </c>
    </row>
    <row r="436" spans="1:55" ht="15" customHeight="1">
      <c r="A436" s="27"/>
      <c r="B436" s="28"/>
      <c r="C436" s="29"/>
      <c r="D436" s="30"/>
      <c r="E436" s="30"/>
      <c r="F436" s="28"/>
      <c r="G436" s="28"/>
      <c r="H436" s="28"/>
      <c r="I436" s="13"/>
      <c r="J436" s="28"/>
      <c r="K436" s="13"/>
      <c r="L436" s="28"/>
      <c r="M436" s="13"/>
      <c r="N436" s="28"/>
      <c r="O436" s="13"/>
      <c r="P436" s="28"/>
      <c r="Q436" s="20"/>
      <c r="R436" s="28"/>
      <c r="S436" s="20"/>
      <c r="T436" s="28"/>
      <c r="U436" s="13"/>
      <c r="V436" s="28"/>
      <c r="W436" s="13"/>
      <c r="X436" s="28"/>
      <c r="Y436" s="13"/>
      <c r="Z436" s="28"/>
      <c r="AA436" s="13"/>
      <c r="AB436" s="28"/>
      <c r="AC436" s="13"/>
      <c r="AD436" s="28"/>
      <c r="AE436" s="13"/>
      <c r="AF436" s="28"/>
      <c r="AG436" s="13"/>
      <c r="AH436" s="28"/>
      <c r="AI436" s="13"/>
      <c r="AJ436" s="28"/>
      <c r="AK436" s="13"/>
      <c r="AL436" s="28"/>
      <c r="AM436" s="13"/>
      <c r="AN436" s="28"/>
      <c r="AO436" s="13"/>
      <c r="AP436" s="28"/>
      <c r="AQ436" s="13"/>
      <c r="AR436" s="28"/>
      <c r="AS436" s="19">
        <f>SUM(H436,J436,L436,N436,P436,R436,T436,V436,X436,Z436,AB436,AD436,AF436,AH436,AJ436,AL436,AN436)</f>
        <v>0</v>
      </c>
      <c r="AT436" s="29" t="str">
        <f>IF(C436="","",DATE(YEAR(C436),MONTH(C436),1))</f>
        <v/>
      </c>
      <c r="AU436" s="28" t="str">
        <f>IF(AT436="","",TEXT(AT436,"mmmm yyyy"))</f>
        <v/>
      </c>
      <c r="AV436" s="29" t="str">
        <f>IF(C436="","",C436-WEEKDAY(C436,2)+1)</f>
        <v/>
      </c>
      <c r="AW436" s="29" t="str">
        <f>IF(AV436="","",AV436+6)</f>
        <v/>
      </c>
      <c r="AX436" s="28" t="str">
        <f>IF(AV436="","",TEXT(AV436,"dd/mm/yyyy")&amp;" - "&amp;TEXT(AW436,"dd/mm/yyyy"))</f>
        <v/>
      </c>
      <c r="AY436" s="28" t="str">
        <f>IF(B436="","",COUNTIFS($B$5:B436,B436,$AT$5:AT436,AT436))</f>
        <v/>
      </c>
      <c r="AZ436" s="28" t="str">
        <f>IF(B436="","",COUNTIFS($B$5:B436,B436,$AV$5:AV436,AV436))</f>
        <v/>
      </c>
      <c r="BA436" s="28" t="str">
        <f>IF(B436="","",TEXT(AY436,"00")&amp;"|"&amp;B436&amp;"|"&amp;TEXT(AT436,"yyyymmdd"))</f>
        <v/>
      </c>
      <c r="BB436" s="28" t="str">
        <f>IF(B436="","",TEXT(AZ436,"00")&amp;"|"&amp;B436&amp;"|"&amp;TEXT(AV436,"yyyymmdd"))</f>
        <v/>
      </c>
      <c r="BC436" s="28">
        <f>IF(OR(AQ436="YES",AQ436="Yes",AQ436="Y",AQ436=1),1,0)</f>
        <v>0</v>
      </c>
    </row>
    <row r="437" spans="1:55" ht="15" customHeight="1">
      <c r="A437" s="27"/>
      <c r="B437" s="28"/>
      <c r="C437" s="29"/>
      <c r="D437" s="30"/>
      <c r="E437" s="30"/>
      <c r="F437" s="28"/>
      <c r="G437" s="28"/>
      <c r="H437" s="28"/>
      <c r="I437" s="13"/>
      <c r="J437" s="28"/>
      <c r="K437" s="13"/>
      <c r="L437" s="28"/>
      <c r="M437" s="13"/>
      <c r="N437" s="28"/>
      <c r="O437" s="13"/>
      <c r="P437" s="28"/>
      <c r="Q437" s="20"/>
      <c r="R437" s="28"/>
      <c r="S437" s="20"/>
      <c r="T437" s="28"/>
      <c r="U437" s="13"/>
      <c r="V437" s="28"/>
      <c r="W437" s="13"/>
      <c r="X437" s="28"/>
      <c r="Y437" s="13"/>
      <c r="Z437" s="28"/>
      <c r="AA437" s="13"/>
      <c r="AB437" s="28"/>
      <c r="AC437" s="13"/>
      <c r="AD437" s="28"/>
      <c r="AE437" s="13"/>
      <c r="AF437" s="28"/>
      <c r="AG437" s="13"/>
      <c r="AH437" s="28"/>
      <c r="AI437" s="13"/>
      <c r="AJ437" s="28"/>
      <c r="AK437" s="13"/>
      <c r="AL437" s="28"/>
      <c r="AM437" s="13"/>
      <c r="AN437" s="28"/>
      <c r="AO437" s="13"/>
      <c r="AP437" s="28"/>
      <c r="AQ437" s="13"/>
      <c r="AR437" s="28"/>
      <c r="AS437" s="19">
        <f>SUM(H437,J437,L437,N437,P437,R437,T437,V437,X437,Z437,AB437,AD437,AF437,AH437,AJ437,AL437,AN437)</f>
        <v>0</v>
      </c>
      <c r="AT437" s="29" t="str">
        <f>IF(C437="","",DATE(YEAR(C437),MONTH(C437),1))</f>
        <v/>
      </c>
      <c r="AU437" s="28" t="str">
        <f>IF(AT437="","",TEXT(AT437,"mmmm yyyy"))</f>
        <v/>
      </c>
      <c r="AV437" s="29" t="str">
        <f>IF(C437="","",C437-WEEKDAY(C437,2)+1)</f>
        <v/>
      </c>
      <c r="AW437" s="29" t="str">
        <f>IF(AV437="","",AV437+6)</f>
        <v/>
      </c>
      <c r="AX437" s="28" t="str">
        <f>IF(AV437="","",TEXT(AV437,"dd/mm/yyyy")&amp;" - "&amp;TEXT(AW437,"dd/mm/yyyy"))</f>
        <v/>
      </c>
      <c r="AY437" s="28" t="str">
        <f>IF(B437="","",COUNTIFS($B$5:B437,B437,$AT$5:AT437,AT437))</f>
        <v/>
      </c>
      <c r="AZ437" s="28" t="str">
        <f>IF(B437="","",COUNTIFS($B$5:B437,B437,$AV$5:AV437,AV437))</f>
        <v/>
      </c>
      <c r="BA437" s="28" t="str">
        <f>IF(B437="","",TEXT(AY437,"00")&amp;"|"&amp;B437&amp;"|"&amp;TEXT(AT437,"yyyymmdd"))</f>
        <v/>
      </c>
      <c r="BB437" s="28" t="str">
        <f>IF(B437="","",TEXT(AZ437,"00")&amp;"|"&amp;B437&amp;"|"&amp;TEXT(AV437,"yyyymmdd"))</f>
        <v/>
      </c>
      <c r="BC437" s="28">
        <f>IF(OR(AQ437="YES",AQ437="Yes",AQ437="Y",AQ437=1),1,0)</f>
        <v>0</v>
      </c>
    </row>
    <row r="438" spans="1:55" ht="15" customHeight="1">
      <c r="A438" s="27"/>
      <c r="B438" s="28"/>
      <c r="C438" s="29"/>
      <c r="D438" s="30"/>
      <c r="E438" s="30"/>
      <c r="F438" s="28"/>
      <c r="G438" s="28"/>
      <c r="H438" s="28"/>
      <c r="I438" s="13"/>
      <c r="J438" s="28"/>
      <c r="K438" s="13"/>
      <c r="L438" s="28"/>
      <c r="M438" s="13"/>
      <c r="N438" s="28"/>
      <c r="O438" s="13"/>
      <c r="P438" s="28"/>
      <c r="Q438" s="20"/>
      <c r="R438" s="28"/>
      <c r="S438" s="20"/>
      <c r="T438" s="28"/>
      <c r="U438" s="13"/>
      <c r="V438" s="28"/>
      <c r="W438" s="13"/>
      <c r="X438" s="28"/>
      <c r="Y438" s="13"/>
      <c r="Z438" s="28"/>
      <c r="AA438" s="13"/>
      <c r="AB438" s="28"/>
      <c r="AC438" s="13"/>
      <c r="AD438" s="28"/>
      <c r="AE438" s="13"/>
      <c r="AF438" s="28"/>
      <c r="AG438" s="13"/>
      <c r="AH438" s="28"/>
      <c r="AI438" s="13"/>
      <c r="AJ438" s="28"/>
      <c r="AK438" s="13"/>
      <c r="AL438" s="28"/>
      <c r="AM438" s="13"/>
      <c r="AN438" s="28"/>
      <c r="AO438" s="13"/>
      <c r="AP438" s="28"/>
      <c r="AQ438" s="13"/>
      <c r="AR438" s="28"/>
      <c r="AS438" s="19">
        <f>SUM(H438,J438,L438,N438,P438,R438,T438,V438,X438,Z438,AB438,AD438,AF438,AH438,AJ438,AL438,AN438)</f>
        <v>0</v>
      </c>
      <c r="AT438" s="29" t="str">
        <f>IF(C438="","",DATE(YEAR(C438),MONTH(C438),1))</f>
        <v/>
      </c>
      <c r="AU438" s="28" t="str">
        <f>IF(AT438="","",TEXT(AT438,"mmmm yyyy"))</f>
        <v/>
      </c>
      <c r="AV438" s="29" t="str">
        <f>IF(C438="","",C438-WEEKDAY(C438,2)+1)</f>
        <v/>
      </c>
      <c r="AW438" s="29" t="str">
        <f>IF(AV438="","",AV438+6)</f>
        <v/>
      </c>
      <c r="AX438" s="28" t="str">
        <f>IF(AV438="","",TEXT(AV438,"dd/mm/yyyy")&amp;" - "&amp;TEXT(AW438,"dd/mm/yyyy"))</f>
        <v/>
      </c>
      <c r="AY438" s="28" t="str">
        <f>IF(B438="","",COUNTIFS($B$5:B438,B438,$AT$5:AT438,AT438))</f>
        <v/>
      </c>
      <c r="AZ438" s="28" t="str">
        <f>IF(B438="","",COUNTIFS($B$5:B438,B438,$AV$5:AV438,AV438))</f>
        <v/>
      </c>
      <c r="BA438" s="28" t="str">
        <f>IF(B438="","",TEXT(AY438,"00")&amp;"|"&amp;B438&amp;"|"&amp;TEXT(AT438,"yyyymmdd"))</f>
        <v/>
      </c>
      <c r="BB438" s="28" t="str">
        <f>IF(B438="","",TEXT(AZ438,"00")&amp;"|"&amp;B438&amp;"|"&amp;TEXT(AV438,"yyyymmdd"))</f>
        <v/>
      </c>
      <c r="BC438" s="28">
        <f>IF(OR(AQ438="YES",AQ438="Yes",AQ438="Y",AQ438=1),1,0)</f>
        <v>0</v>
      </c>
    </row>
    <row r="439" spans="1:55" ht="15" customHeight="1">
      <c r="A439" s="27"/>
      <c r="B439" s="28"/>
      <c r="C439" s="29"/>
      <c r="D439" s="30"/>
      <c r="E439" s="30"/>
      <c r="F439" s="28"/>
      <c r="G439" s="28"/>
      <c r="H439" s="28"/>
      <c r="I439" s="13"/>
      <c r="J439" s="28"/>
      <c r="K439" s="13"/>
      <c r="L439" s="28"/>
      <c r="M439" s="13"/>
      <c r="N439" s="28"/>
      <c r="O439" s="13"/>
      <c r="P439" s="28"/>
      <c r="Q439" s="20"/>
      <c r="R439" s="28"/>
      <c r="S439" s="20"/>
      <c r="T439" s="28"/>
      <c r="U439" s="13"/>
      <c r="V439" s="28"/>
      <c r="W439" s="13"/>
      <c r="X439" s="28"/>
      <c r="Y439" s="13"/>
      <c r="Z439" s="28"/>
      <c r="AA439" s="13"/>
      <c r="AB439" s="28"/>
      <c r="AC439" s="13"/>
      <c r="AD439" s="28"/>
      <c r="AE439" s="13"/>
      <c r="AF439" s="28"/>
      <c r="AG439" s="13"/>
      <c r="AH439" s="28"/>
      <c r="AI439" s="13"/>
      <c r="AJ439" s="28"/>
      <c r="AK439" s="13"/>
      <c r="AL439" s="28"/>
      <c r="AM439" s="13"/>
      <c r="AN439" s="28"/>
      <c r="AO439" s="13"/>
      <c r="AP439" s="28"/>
      <c r="AQ439" s="13"/>
      <c r="AR439" s="28"/>
      <c r="AS439" s="19">
        <f>SUM(H439,J439,L439,N439,P439,R439,T439,V439,X439,Z439,AB439,AD439,AF439,AH439,AJ439,AL439,AN439)</f>
        <v>0</v>
      </c>
      <c r="AT439" s="29" t="str">
        <f>IF(C439="","",DATE(YEAR(C439),MONTH(C439),1))</f>
        <v/>
      </c>
      <c r="AU439" s="28" t="str">
        <f>IF(AT439="","",TEXT(AT439,"mmmm yyyy"))</f>
        <v/>
      </c>
      <c r="AV439" s="29" t="str">
        <f>IF(C439="","",C439-WEEKDAY(C439,2)+1)</f>
        <v/>
      </c>
      <c r="AW439" s="29" t="str">
        <f>IF(AV439="","",AV439+6)</f>
        <v/>
      </c>
      <c r="AX439" s="28" t="str">
        <f>IF(AV439="","",TEXT(AV439,"dd/mm/yyyy")&amp;" - "&amp;TEXT(AW439,"dd/mm/yyyy"))</f>
        <v/>
      </c>
      <c r="AY439" s="28" t="str">
        <f>IF(B439="","",COUNTIFS($B$5:B439,B439,$AT$5:AT439,AT439))</f>
        <v/>
      </c>
      <c r="AZ439" s="28" t="str">
        <f>IF(B439="","",COUNTIFS($B$5:B439,B439,$AV$5:AV439,AV439))</f>
        <v/>
      </c>
      <c r="BA439" s="28" t="str">
        <f>IF(B439="","",TEXT(AY439,"00")&amp;"|"&amp;B439&amp;"|"&amp;TEXT(AT439,"yyyymmdd"))</f>
        <v/>
      </c>
      <c r="BB439" s="28" t="str">
        <f>IF(B439="","",TEXT(AZ439,"00")&amp;"|"&amp;B439&amp;"|"&amp;TEXT(AV439,"yyyymmdd"))</f>
        <v/>
      </c>
      <c r="BC439" s="28">
        <f>IF(OR(AQ439="YES",AQ439="Yes",AQ439="Y",AQ439=1),1,0)</f>
        <v>0</v>
      </c>
    </row>
    <row r="440" spans="1:55" ht="15" customHeight="1">
      <c r="A440" s="27"/>
      <c r="B440" s="28"/>
      <c r="C440" s="29"/>
      <c r="D440" s="30"/>
      <c r="E440" s="30"/>
      <c r="F440" s="28"/>
      <c r="G440" s="28"/>
      <c r="H440" s="28"/>
      <c r="I440" s="13"/>
      <c r="J440" s="28"/>
      <c r="K440" s="13"/>
      <c r="L440" s="28"/>
      <c r="M440" s="13"/>
      <c r="N440" s="28"/>
      <c r="O440" s="13"/>
      <c r="P440" s="28"/>
      <c r="Q440" s="20"/>
      <c r="R440" s="28"/>
      <c r="S440" s="20"/>
      <c r="T440" s="28"/>
      <c r="U440" s="13"/>
      <c r="V440" s="28"/>
      <c r="W440" s="13"/>
      <c r="X440" s="28"/>
      <c r="Y440" s="13"/>
      <c r="Z440" s="28"/>
      <c r="AA440" s="13"/>
      <c r="AB440" s="28"/>
      <c r="AC440" s="13"/>
      <c r="AD440" s="28"/>
      <c r="AE440" s="13"/>
      <c r="AF440" s="28"/>
      <c r="AG440" s="13"/>
      <c r="AH440" s="28"/>
      <c r="AI440" s="13"/>
      <c r="AJ440" s="28"/>
      <c r="AK440" s="13"/>
      <c r="AL440" s="28"/>
      <c r="AM440" s="13"/>
      <c r="AN440" s="28"/>
      <c r="AO440" s="13"/>
      <c r="AP440" s="28"/>
      <c r="AQ440" s="13"/>
      <c r="AR440" s="28"/>
      <c r="AS440" s="19">
        <f>SUM(H440,J440,L440,N440,P440,R440,T440,V440,X440,Z440,AB440,AD440,AF440,AH440,AJ440,AL440,AN440)</f>
        <v>0</v>
      </c>
      <c r="AT440" s="29" t="str">
        <f>IF(C440="","",DATE(YEAR(C440),MONTH(C440),1))</f>
        <v/>
      </c>
      <c r="AU440" s="28" t="str">
        <f>IF(AT440="","",TEXT(AT440,"mmmm yyyy"))</f>
        <v/>
      </c>
      <c r="AV440" s="29" t="str">
        <f>IF(C440="","",C440-WEEKDAY(C440,2)+1)</f>
        <v/>
      </c>
      <c r="AW440" s="29" t="str">
        <f>IF(AV440="","",AV440+6)</f>
        <v/>
      </c>
      <c r="AX440" s="28" t="str">
        <f>IF(AV440="","",TEXT(AV440,"dd/mm/yyyy")&amp;" - "&amp;TEXT(AW440,"dd/mm/yyyy"))</f>
        <v/>
      </c>
      <c r="AY440" s="28" t="str">
        <f>IF(B440="","",COUNTIFS($B$5:B440,B440,$AT$5:AT440,AT440))</f>
        <v/>
      </c>
      <c r="AZ440" s="28" t="str">
        <f>IF(B440="","",COUNTIFS($B$5:B440,B440,$AV$5:AV440,AV440))</f>
        <v/>
      </c>
      <c r="BA440" s="28" t="str">
        <f>IF(B440="","",TEXT(AY440,"00")&amp;"|"&amp;B440&amp;"|"&amp;TEXT(AT440,"yyyymmdd"))</f>
        <v/>
      </c>
      <c r="BB440" s="28" t="str">
        <f>IF(B440="","",TEXT(AZ440,"00")&amp;"|"&amp;B440&amp;"|"&amp;TEXT(AV440,"yyyymmdd"))</f>
        <v/>
      </c>
      <c r="BC440" s="28">
        <f>IF(OR(AQ440="YES",AQ440="Yes",AQ440="Y",AQ440=1),1,0)</f>
        <v>0</v>
      </c>
    </row>
    <row r="441" spans="1:55" ht="15" customHeight="1">
      <c r="A441" s="27"/>
      <c r="B441" s="28"/>
      <c r="C441" s="29"/>
      <c r="D441" s="30"/>
      <c r="E441" s="30"/>
      <c r="F441" s="28"/>
      <c r="G441" s="28"/>
      <c r="H441" s="28"/>
      <c r="I441" s="13"/>
      <c r="J441" s="28"/>
      <c r="K441" s="13"/>
      <c r="L441" s="28"/>
      <c r="M441" s="13"/>
      <c r="N441" s="28"/>
      <c r="O441" s="13"/>
      <c r="P441" s="28"/>
      <c r="Q441" s="20"/>
      <c r="R441" s="28"/>
      <c r="S441" s="20"/>
      <c r="T441" s="28"/>
      <c r="U441" s="13"/>
      <c r="V441" s="28"/>
      <c r="W441" s="13"/>
      <c r="X441" s="28"/>
      <c r="Y441" s="13"/>
      <c r="Z441" s="28"/>
      <c r="AA441" s="13"/>
      <c r="AB441" s="28"/>
      <c r="AC441" s="13"/>
      <c r="AD441" s="28"/>
      <c r="AE441" s="13"/>
      <c r="AF441" s="28"/>
      <c r="AG441" s="13"/>
      <c r="AH441" s="28"/>
      <c r="AI441" s="13"/>
      <c r="AJ441" s="28"/>
      <c r="AK441" s="13"/>
      <c r="AL441" s="28"/>
      <c r="AM441" s="13"/>
      <c r="AN441" s="28"/>
      <c r="AO441" s="13"/>
      <c r="AP441" s="28"/>
      <c r="AQ441" s="13"/>
      <c r="AR441" s="28"/>
      <c r="AS441" s="19">
        <f>SUM(H441,J441,L441,N441,P441,R441,T441,V441,X441,Z441,AB441,AD441,AF441,AH441,AJ441,AL441,AN441)</f>
        <v>0</v>
      </c>
      <c r="AT441" s="29" t="str">
        <f>IF(C441="","",DATE(YEAR(C441),MONTH(C441),1))</f>
        <v/>
      </c>
      <c r="AU441" s="28" t="str">
        <f>IF(AT441="","",TEXT(AT441,"mmmm yyyy"))</f>
        <v/>
      </c>
      <c r="AV441" s="29" t="str">
        <f>IF(C441="","",C441-WEEKDAY(C441,2)+1)</f>
        <v/>
      </c>
      <c r="AW441" s="29" t="str">
        <f>IF(AV441="","",AV441+6)</f>
        <v/>
      </c>
      <c r="AX441" s="28" t="str">
        <f>IF(AV441="","",TEXT(AV441,"dd/mm/yyyy")&amp;" - "&amp;TEXT(AW441,"dd/mm/yyyy"))</f>
        <v/>
      </c>
      <c r="AY441" s="28" t="str">
        <f>IF(B441="","",COUNTIFS($B$5:B441,B441,$AT$5:AT441,AT441))</f>
        <v/>
      </c>
      <c r="AZ441" s="28" t="str">
        <f>IF(B441="","",COUNTIFS($B$5:B441,B441,$AV$5:AV441,AV441))</f>
        <v/>
      </c>
      <c r="BA441" s="28" t="str">
        <f>IF(B441="","",TEXT(AY441,"00")&amp;"|"&amp;B441&amp;"|"&amp;TEXT(AT441,"yyyymmdd"))</f>
        <v/>
      </c>
      <c r="BB441" s="28" t="str">
        <f>IF(B441="","",TEXT(AZ441,"00")&amp;"|"&amp;B441&amp;"|"&amp;TEXT(AV441,"yyyymmdd"))</f>
        <v/>
      </c>
      <c r="BC441" s="28">
        <f>IF(OR(AQ441="YES",AQ441="Yes",AQ441="Y",AQ441=1),1,0)</f>
        <v>0</v>
      </c>
    </row>
    <row r="442" spans="1:55" ht="15" customHeight="1">
      <c r="A442" s="27"/>
      <c r="B442" s="28"/>
      <c r="C442" s="29"/>
      <c r="D442" s="30"/>
      <c r="E442" s="30"/>
      <c r="F442" s="28"/>
      <c r="G442" s="28"/>
      <c r="H442" s="28"/>
      <c r="I442" s="13"/>
      <c r="J442" s="28"/>
      <c r="K442" s="13"/>
      <c r="L442" s="28"/>
      <c r="M442" s="13"/>
      <c r="N442" s="28"/>
      <c r="O442" s="13"/>
      <c r="P442" s="28"/>
      <c r="Q442" s="20"/>
      <c r="R442" s="28"/>
      <c r="S442" s="20"/>
      <c r="T442" s="28"/>
      <c r="U442" s="13"/>
      <c r="V442" s="28"/>
      <c r="W442" s="13"/>
      <c r="X442" s="28"/>
      <c r="Y442" s="13"/>
      <c r="Z442" s="28"/>
      <c r="AA442" s="13"/>
      <c r="AB442" s="28"/>
      <c r="AC442" s="13"/>
      <c r="AD442" s="28"/>
      <c r="AE442" s="13"/>
      <c r="AF442" s="28"/>
      <c r="AG442" s="13"/>
      <c r="AH442" s="28"/>
      <c r="AI442" s="13"/>
      <c r="AJ442" s="28"/>
      <c r="AK442" s="13"/>
      <c r="AL442" s="28"/>
      <c r="AM442" s="13"/>
      <c r="AN442" s="28"/>
      <c r="AO442" s="13"/>
      <c r="AP442" s="28"/>
      <c r="AQ442" s="13"/>
      <c r="AR442" s="28"/>
      <c r="AS442" s="19">
        <f>SUM(H442,J442,L442,N442,P442,R442,T442,V442,X442,Z442,AB442,AD442,AF442,AH442,AJ442,AL442,AN442)</f>
        <v>0</v>
      </c>
      <c r="AT442" s="29" t="str">
        <f>IF(C442="","",DATE(YEAR(C442),MONTH(C442),1))</f>
        <v/>
      </c>
      <c r="AU442" s="28" t="str">
        <f>IF(AT442="","",TEXT(AT442,"mmmm yyyy"))</f>
        <v/>
      </c>
      <c r="AV442" s="29" t="str">
        <f>IF(C442="","",C442-WEEKDAY(C442,2)+1)</f>
        <v/>
      </c>
      <c r="AW442" s="29" t="str">
        <f>IF(AV442="","",AV442+6)</f>
        <v/>
      </c>
      <c r="AX442" s="28" t="str">
        <f>IF(AV442="","",TEXT(AV442,"dd/mm/yyyy")&amp;" - "&amp;TEXT(AW442,"dd/mm/yyyy"))</f>
        <v/>
      </c>
      <c r="AY442" s="28" t="str">
        <f>IF(B442="","",COUNTIFS($B$5:B442,B442,$AT$5:AT442,AT442))</f>
        <v/>
      </c>
      <c r="AZ442" s="28" t="str">
        <f>IF(B442="","",COUNTIFS($B$5:B442,B442,$AV$5:AV442,AV442))</f>
        <v/>
      </c>
      <c r="BA442" s="28" t="str">
        <f>IF(B442="","",TEXT(AY442,"00")&amp;"|"&amp;B442&amp;"|"&amp;TEXT(AT442,"yyyymmdd"))</f>
        <v/>
      </c>
      <c r="BB442" s="28" t="str">
        <f>IF(B442="","",TEXT(AZ442,"00")&amp;"|"&amp;B442&amp;"|"&amp;TEXT(AV442,"yyyymmdd"))</f>
        <v/>
      </c>
      <c r="BC442" s="28">
        <f>IF(OR(AQ442="YES",AQ442="Yes",AQ442="Y",AQ442=1),1,0)</f>
        <v>0</v>
      </c>
    </row>
    <row r="443" spans="1:55" ht="15" customHeight="1">
      <c r="A443" s="27"/>
      <c r="B443" s="28"/>
      <c r="C443" s="29"/>
      <c r="D443" s="30"/>
      <c r="E443" s="30"/>
      <c r="F443" s="28"/>
      <c r="G443" s="28"/>
      <c r="H443" s="28"/>
      <c r="I443" s="13"/>
      <c r="J443" s="28"/>
      <c r="K443" s="13"/>
      <c r="L443" s="28"/>
      <c r="M443" s="13"/>
      <c r="N443" s="28"/>
      <c r="O443" s="13"/>
      <c r="P443" s="28"/>
      <c r="Q443" s="20"/>
      <c r="R443" s="28"/>
      <c r="S443" s="20"/>
      <c r="T443" s="28"/>
      <c r="U443" s="13"/>
      <c r="V443" s="28"/>
      <c r="W443" s="13"/>
      <c r="X443" s="28"/>
      <c r="Y443" s="13"/>
      <c r="Z443" s="28"/>
      <c r="AA443" s="13"/>
      <c r="AB443" s="28"/>
      <c r="AC443" s="13"/>
      <c r="AD443" s="28"/>
      <c r="AE443" s="13"/>
      <c r="AF443" s="28"/>
      <c r="AG443" s="13"/>
      <c r="AH443" s="28"/>
      <c r="AI443" s="13"/>
      <c r="AJ443" s="28"/>
      <c r="AK443" s="13"/>
      <c r="AL443" s="28"/>
      <c r="AM443" s="13"/>
      <c r="AN443" s="28"/>
      <c r="AO443" s="13"/>
      <c r="AP443" s="28"/>
      <c r="AQ443" s="13"/>
      <c r="AR443" s="28"/>
      <c r="AS443" s="19">
        <f>SUM(H443,J443,L443,N443,P443,R443,T443,V443,X443,Z443,AB443,AD443,AF443,AH443,AJ443,AL443,AN443)</f>
        <v>0</v>
      </c>
      <c r="AT443" s="29" t="str">
        <f>IF(C443="","",DATE(YEAR(C443),MONTH(C443),1))</f>
        <v/>
      </c>
      <c r="AU443" s="28" t="str">
        <f>IF(AT443="","",TEXT(AT443,"mmmm yyyy"))</f>
        <v/>
      </c>
      <c r="AV443" s="29" t="str">
        <f>IF(C443="","",C443-WEEKDAY(C443,2)+1)</f>
        <v/>
      </c>
      <c r="AW443" s="29" t="str">
        <f>IF(AV443="","",AV443+6)</f>
        <v/>
      </c>
      <c r="AX443" s="28" t="str">
        <f>IF(AV443="","",TEXT(AV443,"dd/mm/yyyy")&amp;" - "&amp;TEXT(AW443,"dd/mm/yyyy"))</f>
        <v/>
      </c>
      <c r="AY443" s="28" t="str">
        <f>IF(B443="","",COUNTIFS($B$5:B443,B443,$AT$5:AT443,AT443))</f>
        <v/>
      </c>
      <c r="AZ443" s="28" t="str">
        <f>IF(B443="","",COUNTIFS($B$5:B443,B443,$AV$5:AV443,AV443))</f>
        <v/>
      </c>
      <c r="BA443" s="28" t="str">
        <f>IF(B443="","",TEXT(AY443,"00")&amp;"|"&amp;B443&amp;"|"&amp;TEXT(AT443,"yyyymmdd"))</f>
        <v/>
      </c>
      <c r="BB443" s="28" t="str">
        <f>IF(B443="","",TEXT(AZ443,"00")&amp;"|"&amp;B443&amp;"|"&amp;TEXT(AV443,"yyyymmdd"))</f>
        <v/>
      </c>
      <c r="BC443" s="28">
        <f>IF(OR(AQ443="YES",AQ443="Yes",AQ443="Y",AQ443=1),1,0)</f>
        <v>0</v>
      </c>
    </row>
    <row r="444" spans="1:55" ht="15" customHeight="1">
      <c r="A444" s="27"/>
      <c r="B444" s="28"/>
      <c r="C444" s="29"/>
      <c r="D444" s="30"/>
      <c r="E444" s="30"/>
      <c r="F444" s="28"/>
      <c r="G444" s="28"/>
      <c r="H444" s="28"/>
      <c r="I444" s="13"/>
      <c r="J444" s="28"/>
      <c r="K444" s="13"/>
      <c r="L444" s="28"/>
      <c r="M444" s="13"/>
      <c r="N444" s="28"/>
      <c r="O444" s="13"/>
      <c r="P444" s="28"/>
      <c r="Q444" s="20"/>
      <c r="R444" s="28"/>
      <c r="S444" s="20"/>
      <c r="T444" s="28"/>
      <c r="U444" s="13"/>
      <c r="V444" s="28"/>
      <c r="W444" s="13"/>
      <c r="X444" s="28"/>
      <c r="Y444" s="13"/>
      <c r="Z444" s="28"/>
      <c r="AA444" s="13"/>
      <c r="AB444" s="28"/>
      <c r="AC444" s="13"/>
      <c r="AD444" s="28"/>
      <c r="AE444" s="13"/>
      <c r="AF444" s="28"/>
      <c r="AG444" s="13"/>
      <c r="AH444" s="28"/>
      <c r="AI444" s="13"/>
      <c r="AJ444" s="28"/>
      <c r="AK444" s="13"/>
      <c r="AL444" s="28"/>
      <c r="AM444" s="13"/>
      <c r="AN444" s="28"/>
      <c r="AO444" s="13"/>
      <c r="AP444" s="28"/>
      <c r="AQ444" s="13"/>
      <c r="AR444" s="28"/>
      <c r="AS444" s="19">
        <f>SUM(H444,J444,L444,N444,P444,R444,T444,V444,X444,Z444,AB444,AD444,AF444,AH444,AJ444,AL444,AN444)</f>
        <v>0</v>
      </c>
      <c r="AT444" s="29" t="str">
        <f>IF(C444="","",DATE(YEAR(C444),MONTH(C444),1))</f>
        <v/>
      </c>
      <c r="AU444" s="28" t="str">
        <f>IF(AT444="","",TEXT(AT444,"mmmm yyyy"))</f>
        <v/>
      </c>
      <c r="AV444" s="29" t="str">
        <f>IF(C444="","",C444-WEEKDAY(C444,2)+1)</f>
        <v/>
      </c>
      <c r="AW444" s="29" t="str">
        <f>IF(AV444="","",AV444+6)</f>
        <v/>
      </c>
      <c r="AX444" s="28" t="str">
        <f>IF(AV444="","",TEXT(AV444,"dd/mm/yyyy")&amp;" - "&amp;TEXT(AW444,"dd/mm/yyyy"))</f>
        <v/>
      </c>
      <c r="AY444" s="28" t="str">
        <f>IF(B444="","",COUNTIFS($B$5:B444,B444,$AT$5:AT444,AT444))</f>
        <v/>
      </c>
      <c r="AZ444" s="28" t="str">
        <f>IF(B444="","",COUNTIFS($B$5:B444,B444,$AV$5:AV444,AV444))</f>
        <v/>
      </c>
      <c r="BA444" s="28" t="str">
        <f>IF(B444="","",TEXT(AY444,"00")&amp;"|"&amp;B444&amp;"|"&amp;TEXT(AT444,"yyyymmdd"))</f>
        <v/>
      </c>
      <c r="BB444" s="28" t="str">
        <f>IF(B444="","",TEXT(AZ444,"00")&amp;"|"&amp;B444&amp;"|"&amp;TEXT(AV444,"yyyymmdd"))</f>
        <v/>
      </c>
      <c r="BC444" s="28">
        <f>IF(OR(AQ444="YES",AQ444="Yes",AQ444="Y",AQ444=1),1,0)</f>
        <v>0</v>
      </c>
    </row>
    <row r="445" spans="1:55" ht="15" customHeight="1">
      <c r="A445" s="27"/>
      <c r="B445" s="28"/>
      <c r="C445" s="29"/>
      <c r="D445" s="30"/>
      <c r="E445" s="30"/>
      <c r="F445" s="28"/>
      <c r="G445" s="28"/>
      <c r="H445" s="28"/>
      <c r="I445" s="13"/>
      <c r="J445" s="28"/>
      <c r="K445" s="13"/>
      <c r="L445" s="28"/>
      <c r="M445" s="13"/>
      <c r="N445" s="28"/>
      <c r="O445" s="13"/>
      <c r="P445" s="28"/>
      <c r="Q445" s="20"/>
      <c r="R445" s="28"/>
      <c r="S445" s="20"/>
      <c r="T445" s="28"/>
      <c r="U445" s="13"/>
      <c r="V445" s="28"/>
      <c r="W445" s="13"/>
      <c r="X445" s="28"/>
      <c r="Y445" s="13"/>
      <c r="Z445" s="28"/>
      <c r="AA445" s="13"/>
      <c r="AB445" s="28"/>
      <c r="AC445" s="13"/>
      <c r="AD445" s="28"/>
      <c r="AE445" s="13"/>
      <c r="AF445" s="28"/>
      <c r="AG445" s="13"/>
      <c r="AH445" s="28"/>
      <c r="AI445" s="13"/>
      <c r="AJ445" s="28"/>
      <c r="AK445" s="13"/>
      <c r="AL445" s="28"/>
      <c r="AM445" s="13"/>
      <c r="AN445" s="28"/>
      <c r="AO445" s="13"/>
      <c r="AP445" s="28"/>
      <c r="AQ445" s="13"/>
      <c r="AR445" s="28"/>
      <c r="AS445" s="19">
        <f>SUM(H445,J445,L445,N445,P445,R445,T445,V445,X445,Z445,AB445,AD445,AF445,AH445,AJ445,AL445,AN445)</f>
        <v>0</v>
      </c>
      <c r="AT445" s="29" t="str">
        <f>IF(C445="","",DATE(YEAR(C445),MONTH(C445),1))</f>
        <v/>
      </c>
      <c r="AU445" s="28" t="str">
        <f>IF(AT445="","",TEXT(AT445,"mmmm yyyy"))</f>
        <v/>
      </c>
      <c r="AV445" s="29" t="str">
        <f>IF(C445="","",C445-WEEKDAY(C445,2)+1)</f>
        <v/>
      </c>
      <c r="AW445" s="29" t="str">
        <f>IF(AV445="","",AV445+6)</f>
        <v/>
      </c>
      <c r="AX445" s="28" t="str">
        <f>IF(AV445="","",TEXT(AV445,"dd/mm/yyyy")&amp;" - "&amp;TEXT(AW445,"dd/mm/yyyy"))</f>
        <v/>
      </c>
      <c r="AY445" s="28" t="str">
        <f>IF(B445="","",COUNTIFS($B$5:B445,B445,$AT$5:AT445,AT445))</f>
        <v/>
      </c>
      <c r="AZ445" s="28" t="str">
        <f>IF(B445="","",COUNTIFS($B$5:B445,B445,$AV$5:AV445,AV445))</f>
        <v/>
      </c>
      <c r="BA445" s="28" t="str">
        <f>IF(B445="","",TEXT(AY445,"00")&amp;"|"&amp;B445&amp;"|"&amp;TEXT(AT445,"yyyymmdd"))</f>
        <v/>
      </c>
      <c r="BB445" s="28" t="str">
        <f>IF(B445="","",TEXT(AZ445,"00")&amp;"|"&amp;B445&amp;"|"&amp;TEXT(AV445,"yyyymmdd"))</f>
        <v/>
      </c>
      <c r="BC445" s="28">
        <f>IF(OR(AQ445="YES",AQ445="Yes",AQ445="Y",AQ445=1),1,0)</f>
        <v>0</v>
      </c>
    </row>
    <row r="446" spans="1:55" ht="15" customHeight="1">
      <c r="A446" s="27"/>
      <c r="B446" s="28"/>
      <c r="C446" s="29"/>
      <c r="D446" s="30"/>
      <c r="E446" s="30"/>
      <c r="F446" s="28"/>
      <c r="G446" s="28"/>
      <c r="H446" s="28"/>
      <c r="I446" s="13"/>
      <c r="J446" s="28"/>
      <c r="K446" s="13"/>
      <c r="L446" s="28"/>
      <c r="M446" s="13"/>
      <c r="N446" s="28"/>
      <c r="O446" s="13"/>
      <c r="P446" s="28"/>
      <c r="Q446" s="20"/>
      <c r="R446" s="28"/>
      <c r="S446" s="20"/>
      <c r="T446" s="28"/>
      <c r="U446" s="13"/>
      <c r="V446" s="28"/>
      <c r="W446" s="13"/>
      <c r="X446" s="28"/>
      <c r="Y446" s="13"/>
      <c r="Z446" s="28"/>
      <c r="AA446" s="13"/>
      <c r="AB446" s="28"/>
      <c r="AC446" s="13"/>
      <c r="AD446" s="28"/>
      <c r="AE446" s="13"/>
      <c r="AF446" s="28"/>
      <c r="AG446" s="13"/>
      <c r="AH446" s="28"/>
      <c r="AI446" s="13"/>
      <c r="AJ446" s="28"/>
      <c r="AK446" s="13"/>
      <c r="AL446" s="28"/>
      <c r="AM446" s="13"/>
      <c r="AN446" s="28"/>
      <c r="AO446" s="13"/>
      <c r="AP446" s="28"/>
      <c r="AQ446" s="13"/>
      <c r="AR446" s="28"/>
      <c r="AS446" s="19">
        <f>SUM(H446,J446,L446,N446,P446,R446,T446,V446,X446,Z446,AB446,AD446,AF446,AH446,AJ446,AL446,AN446)</f>
        <v>0</v>
      </c>
      <c r="AT446" s="29" t="str">
        <f>IF(C446="","",DATE(YEAR(C446),MONTH(C446),1))</f>
        <v/>
      </c>
      <c r="AU446" s="28" t="str">
        <f>IF(AT446="","",TEXT(AT446,"mmmm yyyy"))</f>
        <v/>
      </c>
      <c r="AV446" s="29" t="str">
        <f>IF(C446="","",C446-WEEKDAY(C446,2)+1)</f>
        <v/>
      </c>
      <c r="AW446" s="29" t="str">
        <f>IF(AV446="","",AV446+6)</f>
        <v/>
      </c>
      <c r="AX446" s="28" t="str">
        <f>IF(AV446="","",TEXT(AV446,"dd/mm/yyyy")&amp;" - "&amp;TEXT(AW446,"dd/mm/yyyy"))</f>
        <v/>
      </c>
      <c r="AY446" s="28" t="str">
        <f>IF(B446="","",COUNTIFS($B$5:B446,B446,$AT$5:AT446,AT446))</f>
        <v/>
      </c>
      <c r="AZ446" s="28" t="str">
        <f>IF(B446="","",COUNTIFS($B$5:B446,B446,$AV$5:AV446,AV446))</f>
        <v/>
      </c>
      <c r="BA446" s="28" t="str">
        <f>IF(B446="","",TEXT(AY446,"00")&amp;"|"&amp;B446&amp;"|"&amp;TEXT(AT446,"yyyymmdd"))</f>
        <v/>
      </c>
      <c r="BB446" s="28" t="str">
        <f>IF(B446="","",TEXT(AZ446,"00")&amp;"|"&amp;B446&amp;"|"&amp;TEXT(AV446,"yyyymmdd"))</f>
        <v/>
      </c>
      <c r="BC446" s="28">
        <f>IF(OR(AQ446="YES",AQ446="Yes",AQ446="Y",AQ446=1),1,0)</f>
        <v>0</v>
      </c>
    </row>
    <row r="447" spans="1:55" ht="15" customHeight="1">
      <c r="A447" s="27"/>
      <c r="B447" s="28"/>
      <c r="C447" s="29"/>
      <c r="D447" s="30"/>
      <c r="E447" s="30"/>
      <c r="F447" s="28"/>
      <c r="G447" s="28"/>
      <c r="H447" s="28"/>
      <c r="I447" s="13"/>
      <c r="J447" s="28"/>
      <c r="K447" s="13"/>
      <c r="L447" s="28"/>
      <c r="M447" s="13"/>
      <c r="N447" s="28"/>
      <c r="O447" s="13"/>
      <c r="P447" s="28"/>
      <c r="Q447" s="20"/>
      <c r="R447" s="28"/>
      <c r="S447" s="20"/>
      <c r="T447" s="28"/>
      <c r="U447" s="13"/>
      <c r="V447" s="28"/>
      <c r="W447" s="13"/>
      <c r="X447" s="28"/>
      <c r="Y447" s="13"/>
      <c r="Z447" s="28"/>
      <c r="AA447" s="13"/>
      <c r="AB447" s="28"/>
      <c r="AC447" s="13"/>
      <c r="AD447" s="28"/>
      <c r="AE447" s="13"/>
      <c r="AF447" s="28"/>
      <c r="AG447" s="13"/>
      <c r="AH447" s="28"/>
      <c r="AI447" s="13"/>
      <c r="AJ447" s="28"/>
      <c r="AK447" s="13"/>
      <c r="AL447" s="28"/>
      <c r="AM447" s="13"/>
      <c r="AN447" s="28"/>
      <c r="AO447" s="13"/>
      <c r="AP447" s="28"/>
      <c r="AQ447" s="13"/>
      <c r="AR447" s="28"/>
      <c r="AS447" s="19">
        <f>SUM(H447,J447,L447,N447,P447,R447,T447,V447,X447,Z447,AB447,AD447,AF447,AH447,AJ447,AL447,AN447)</f>
        <v>0</v>
      </c>
      <c r="AT447" s="29" t="str">
        <f>IF(C447="","",DATE(YEAR(C447),MONTH(C447),1))</f>
        <v/>
      </c>
      <c r="AU447" s="28" t="str">
        <f>IF(AT447="","",TEXT(AT447,"mmmm yyyy"))</f>
        <v/>
      </c>
      <c r="AV447" s="29" t="str">
        <f>IF(C447="","",C447-WEEKDAY(C447,2)+1)</f>
        <v/>
      </c>
      <c r="AW447" s="29" t="str">
        <f>IF(AV447="","",AV447+6)</f>
        <v/>
      </c>
      <c r="AX447" s="28" t="str">
        <f>IF(AV447="","",TEXT(AV447,"dd/mm/yyyy")&amp;" - "&amp;TEXT(AW447,"dd/mm/yyyy"))</f>
        <v/>
      </c>
      <c r="AY447" s="28" t="str">
        <f>IF(B447="","",COUNTIFS($B$5:B447,B447,$AT$5:AT447,AT447))</f>
        <v/>
      </c>
      <c r="AZ447" s="28" t="str">
        <f>IF(B447="","",COUNTIFS($B$5:B447,B447,$AV$5:AV447,AV447))</f>
        <v/>
      </c>
      <c r="BA447" s="28" t="str">
        <f>IF(B447="","",TEXT(AY447,"00")&amp;"|"&amp;B447&amp;"|"&amp;TEXT(AT447,"yyyymmdd"))</f>
        <v/>
      </c>
      <c r="BB447" s="28" t="str">
        <f>IF(B447="","",TEXT(AZ447,"00")&amp;"|"&amp;B447&amp;"|"&amp;TEXT(AV447,"yyyymmdd"))</f>
        <v/>
      </c>
      <c r="BC447" s="28">
        <f>IF(OR(AQ447="YES",AQ447="Yes",AQ447="Y",AQ447=1),1,0)</f>
        <v>0</v>
      </c>
    </row>
    <row r="448" spans="1:55" ht="15" customHeight="1">
      <c r="A448" s="27"/>
      <c r="B448" s="28"/>
      <c r="C448" s="29"/>
      <c r="D448" s="30"/>
      <c r="E448" s="30"/>
      <c r="F448" s="28"/>
      <c r="G448" s="28"/>
      <c r="H448" s="28"/>
      <c r="I448" s="13"/>
      <c r="J448" s="28"/>
      <c r="K448" s="13"/>
      <c r="L448" s="28"/>
      <c r="M448" s="13"/>
      <c r="N448" s="28"/>
      <c r="O448" s="13"/>
      <c r="P448" s="28"/>
      <c r="Q448" s="20"/>
      <c r="R448" s="28"/>
      <c r="S448" s="20"/>
      <c r="T448" s="28"/>
      <c r="U448" s="13"/>
      <c r="V448" s="28"/>
      <c r="W448" s="13"/>
      <c r="X448" s="28"/>
      <c r="Y448" s="13"/>
      <c r="Z448" s="28"/>
      <c r="AA448" s="13"/>
      <c r="AB448" s="28"/>
      <c r="AC448" s="13"/>
      <c r="AD448" s="28"/>
      <c r="AE448" s="13"/>
      <c r="AF448" s="28"/>
      <c r="AG448" s="13"/>
      <c r="AH448" s="28"/>
      <c r="AI448" s="13"/>
      <c r="AJ448" s="28"/>
      <c r="AK448" s="13"/>
      <c r="AL448" s="28"/>
      <c r="AM448" s="13"/>
      <c r="AN448" s="28"/>
      <c r="AO448" s="13"/>
      <c r="AP448" s="28"/>
      <c r="AQ448" s="13"/>
      <c r="AR448" s="28"/>
      <c r="AS448" s="19">
        <f>SUM(H448,J448,L448,N448,P448,R448,T448,V448,X448,Z448,AB448,AD448,AF448,AH448,AJ448,AL448,AN448)</f>
        <v>0</v>
      </c>
      <c r="AT448" s="29" t="str">
        <f>IF(C448="","",DATE(YEAR(C448),MONTH(C448),1))</f>
        <v/>
      </c>
      <c r="AU448" s="28" t="str">
        <f>IF(AT448="","",TEXT(AT448,"mmmm yyyy"))</f>
        <v/>
      </c>
      <c r="AV448" s="29" t="str">
        <f>IF(C448="","",C448-WEEKDAY(C448,2)+1)</f>
        <v/>
      </c>
      <c r="AW448" s="29" t="str">
        <f>IF(AV448="","",AV448+6)</f>
        <v/>
      </c>
      <c r="AX448" s="28" t="str">
        <f>IF(AV448="","",TEXT(AV448,"dd/mm/yyyy")&amp;" - "&amp;TEXT(AW448,"dd/mm/yyyy"))</f>
        <v/>
      </c>
      <c r="AY448" s="28" t="str">
        <f>IF(B448="","",COUNTIFS($B$5:B448,B448,$AT$5:AT448,AT448))</f>
        <v/>
      </c>
      <c r="AZ448" s="28" t="str">
        <f>IF(B448="","",COUNTIFS($B$5:B448,B448,$AV$5:AV448,AV448))</f>
        <v/>
      </c>
      <c r="BA448" s="28" t="str">
        <f>IF(B448="","",TEXT(AY448,"00")&amp;"|"&amp;B448&amp;"|"&amp;TEXT(AT448,"yyyymmdd"))</f>
        <v/>
      </c>
      <c r="BB448" s="28" t="str">
        <f>IF(B448="","",TEXT(AZ448,"00")&amp;"|"&amp;B448&amp;"|"&amp;TEXT(AV448,"yyyymmdd"))</f>
        <v/>
      </c>
      <c r="BC448" s="28">
        <f>IF(OR(AQ448="YES",AQ448="Yes",AQ448="Y",AQ448=1),1,0)</f>
        <v>0</v>
      </c>
    </row>
    <row r="449" spans="1:55" ht="15" customHeight="1">
      <c r="A449" s="27"/>
      <c r="B449" s="28"/>
      <c r="C449" s="29"/>
      <c r="D449" s="30"/>
      <c r="E449" s="30"/>
      <c r="F449" s="28"/>
      <c r="G449" s="28"/>
      <c r="H449" s="28"/>
      <c r="I449" s="13"/>
      <c r="J449" s="28"/>
      <c r="K449" s="13"/>
      <c r="L449" s="28"/>
      <c r="M449" s="13"/>
      <c r="N449" s="28"/>
      <c r="O449" s="13"/>
      <c r="P449" s="28"/>
      <c r="Q449" s="20"/>
      <c r="R449" s="28"/>
      <c r="S449" s="20"/>
      <c r="T449" s="28"/>
      <c r="U449" s="13"/>
      <c r="V449" s="28"/>
      <c r="W449" s="13"/>
      <c r="X449" s="28"/>
      <c r="Y449" s="13"/>
      <c r="Z449" s="28"/>
      <c r="AA449" s="13"/>
      <c r="AB449" s="28"/>
      <c r="AC449" s="13"/>
      <c r="AD449" s="28"/>
      <c r="AE449" s="13"/>
      <c r="AF449" s="28"/>
      <c r="AG449" s="13"/>
      <c r="AH449" s="28"/>
      <c r="AI449" s="13"/>
      <c r="AJ449" s="28"/>
      <c r="AK449" s="13"/>
      <c r="AL449" s="28"/>
      <c r="AM449" s="13"/>
      <c r="AN449" s="28"/>
      <c r="AO449" s="13"/>
      <c r="AP449" s="28"/>
      <c r="AQ449" s="13"/>
      <c r="AR449" s="28"/>
      <c r="AS449" s="19">
        <f>SUM(H449,J449,L449,N449,P449,R449,T449,V449,X449,Z449,AB449,AD449,AF449,AH449,AJ449,AL449,AN449)</f>
        <v>0</v>
      </c>
      <c r="AT449" s="29" t="str">
        <f>IF(C449="","",DATE(YEAR(C449),MONTH(C449),1))</f>
        <v/>
      </c>
      <c r="AU449" s="28" t="str">
        <f>IF(AT449="","",TEXT(AT449,"mmmm yyyy"))</f>
        <v/>
      </c>
      <c r="AV449" s="29" t="str">
        <f>IF(C449="","",C449-WEEKDAY(C449,2)+1)</f>
        <v/>
      </c>
      <c r="AW449" s="29" t="str">
        <f>IF(AV449="","",AV449+6)</f>
        <v/>
      </c>
      <c r="AX449" s="28" t="str">
        <f>IF(AV449="","",TEXT(AV449,"dd/mm/yyyy")&amp;" - "&amp;TEXT(AW449,"dd/mm/yyyy"))</f>
        <v/>
      </c>
      <c r="AY449" s="28" t="str">
        <f>IF(B449="","",COUNTIFS($B$5:B449,B449,$AT$5:AT449,AT449))</f>
        <v/>
      </c>
      <c r="AZ449" s="28" t="str">
        <f>IF(B449="","",COUNTIFS($B$5:B449,B449,$AV$5:AV449,AV449))</f>
        <v/>
      </c>
      <c r="BA449" s="28" t="str">
        <f>IF(B449="","",TEXT(AY449,"00")&amp;"|"&amp;B449&amp;"|"&amp;TEXT(AT449,"yyyymmdd"))</f>
        <v/>
      </c>
      <c r="BB449" s="28" t="str">
        <f>IF(B449="","",TEXT(AZ449,"00")&amp;"|"&amp;B449&amp;"|"&amp;TEXT(AV449,"yyyymmdd"))</f>
        <v/>
      </c>
      <c r="BC449" s="28">
        <f>IF(OR(AQ449="YES",AQ449="Yes",AQ449="Y",AQ449=1),1,0)</f>
        <v>0</v>
      </c>
    </row>
    <row r="450" spans="1:55" ht="15" customHeight="1">
      <c r="A450" s="27"/>
      <c r="B450" s="28"/>
      <c r="C450" s="29"/>
      <c r="D450" s="30"/>
      <c r="E450" s="30"/>
      <c r="F450" s="28"/>
      <c r="G450" s="28"/>
      <c r="H450" s="28"/>
      <c r="I450" s="13"/>
      <c r="J450" s="28"/>
      <c r="K450" s="13"/>
      <c r="L450" s="28"/>
      <c r="M450" s="13"/>
      <c r="N450" s="28"/>
      <c r="O450" s="13"/>
      <c r="P450" s="28"/>
      <c r="Q450" s="20"/>
      <c r="R450" s="28"/>
      <c r="S450" s="20"/>
      <c r="T450" s="28"/>
      <c r="U450" s="13"/>
      <c r="V450" s="28"/>
      <c r="W450" s="13"/>
      <c r="X450" s="28"/>
      <c r="Y450" s="13"/>
      <c r="Z450" s="28"/>
      <c r="AA450" s="13"/>
      <c r="AB450" s="28"/>
      <c r="AC450" s="13"/>
      <c r="AD450" s="28"/>
      <c r="AE450" s="13"/>
      <c r="AF450" s="28"/>
      <c r="AG450" s="13"/>
      <c r="AH450" s="28"/>
      <c r="AI450" s="13"/>
      <c r="AJ450" s="28"/>
      <c r="AK450" s="13"/>
      <c r="AL450" s="28"/>
      <c r="AM450" s="13"/>
      <c r="AN450" s="28"/>
      <c r="AO450" s="13"/>
      <c r="AP450" s="28"/>
      <c r="AQ450" s="13"/>
      <c r="AR450" s="28"/>
      <c r="AS450" s="19">
        <f>SUM(H450,J450,L450,N450,P450,R450,T450,V450,X450,Z450,AB450,AD450,AF450,AH450,AJ450,AL450,AN450)</f>
        <v>0</v>
      </c>
      <c r="AT450" s="29" t="str">
        <f>IF(C450="","",DATE(YEAR(C450),MONTH(C450),1))</f>
        <v/>
      </c>
      <c r="AU450" s="28" t="str">
        <f>IF(AT450="","",TEXT(AT450,"mmmm yyyy"))</f>
        <v/>
      </c>
      <c r="AV450" s="29" t="str">
        <f>IF(C450="","",C450-WEEKDAY(C450,2)+1)</f>
        <v/>
      </c>
      <c r="AW450" s="29" t="str">
        <f>IF(AV450="","",AV450+6)</f>
        <v/>
      </c>
      <c r="AX450" s="28" t="str">
        <f>IF(AV450="","",TEXT(AV450,"dd/mm/yyyy")&amp;" - "&amp;TEXT(AW450,"dd/mm/yyyy"))</f>
        <v/>
      </c>
      <c r="AY450" s="28" t="str">
        <f>IF(B450="","",COUNTIFS($B$5:B450,B450,$AT$5:AT450,AT450))</f>
        <v/>
      </c>
      <c r="AZ450" s="28" t="str">
        <f>IF(B450="","",COUNTIFS($B$5:B450,B450,$AV$5:AV450,AV450))</f>
        <v/>
      </c>
      <c r="BA450" s="28" t="str">
        <f>IF(B450="","",TEXT(AY450,"00")&amp;"|"&amp;B450&amp;"|"&amp;TEXT(AT450,"yyyymmdd"))</f>
        <v/>
      </c>
      <c r="BB450" s="28" t="str">
        <f>IF(B450="","",TEXT(AZ450,"00")&amp;"|"&amp;B450&amp;"|"&amp;TEXT(AV450,"yyyymmdd"))</f>
        <v/>
      </c>
      <c r="BC450" s="28">
        <f>IF(OR(AQ450="YES",AQ450="Yes",AQ450="Y",AQ450=1),1,0)</f>
        <v>0</v>
      </c>
    </row>
    <row r="451" spans="1:55" ht="15" customHeight="1">
      <c r="A451" s="27"/>
      <c r="B451" s="28"/>
      <c r="C451" s="29"/>
      <c r="D451" s="30"/>
      <c r="E451" s="30"/>
      <c r="F451" s="28"/>
      <c r="G451" s="28"/>
      <c r="H451" s="28"/>
      <c r="I451" s="13"/>
      <c r="J451" s="28"/>
      <c r="K451" s="13"/>
      <c r="L451" s="28"/>
      <c r="M451" s="13"/>
      <c r="N451" s="28"/>
      <c r="O451" s="13"/>
      <c r="P451" s="28"/>
      <c r="Q451" s="20"/>
      <c r="R451" s="28"/>
      <c r="S451" s="20"/>
      <c r="T451" s="28"/>
      <c r="U451" s="13"/>
      <c r="V451" s="28"/>
      <c r="W451" s="13"/>
      <c r="X451" s="28"/>
      <c r="Y451" s="13"/>
      <c r="Z451" s="28"/>
      <c r="AA451" s="13"/>
      <c r="AB451" s="28"/>
      <c r="AC451" s="13"/>
      <c r="AD451" s="28"/>
      <c r="AE451" s="13"/>
      <c r="AF451" s="28"/>
      <c r="AG451" s="13"/>
      <c r="AH451" s="28"/>
      <c r="AI451" s="13"/>
      <c r="AJ451" s="28"/>
      <c r="AK451" s="13"/>
      <c r="AL451" s="28"/>
      <c r="AM451" s="13"/>
      <c r="AN451" s="28"/>
      <c r="AO451" s="13"/>
      <c r="AP451" s="28"/>
      <c r="AQ451" s="13"/>
      <c r="AR451" s="28"/>
      <c r="AS451" s="19">
        <f>SUM(H451,J451,L451,N451,P451,R451,T451,V451,X451,Z451,AB451,AD451,AF451,AH451,AJ451,AL451,AN451)</f>
        <v>0</v>
      </c>
      <c r="AT451" s="29" t="str">
        <f>IF(C451="","",DATE(YEAR(C451),MONTH(C451),1))</f>
        <v/>
      </c>
      <c r="AU451" s="28" t="str">
        <f>IF(AT451="","",TEXT(AT451,"mmmm yyyy"))</f>
        <v/>
      </c>
      <c r="AV451" s="29" t="str">
        <f>IF(C451="","",C451-WEEKDAY(C451,2)+1)</f>
        <v/>
      </c>
      <c r="AW451" s="29" t="str">
        <f>IF(AV451="","",AV451+6)</f>
        <v/>
      </c>
      <c r="AX451" s="28" t="str">
        <f>IF(AV451="","",TEXT(AV451,"dd/mm/yyyy")&amp;" - "&amp;TEXT(AW451,"dd/mm/yyyy"))</f>
        <v/>
      </c>
      <c r="AY451" s="28" t="str">
        <f>IF(B451="","",COUNTIFS($B$5:B451,B451,$AT$5:AT451,AT451))</f>
        <v/>
      </c>
      <c r="AZ451" s="28" t="str">
        <f>IF(B451="","",COUNTIFS($B$5:B451,B451,$AV$5:AV451,AV451))</f>
        <v/>
      </c>
      <c r="BA451" s="28" t="str">
        <f>IF(B451="","",TEXT(AY451,"00")&amp;"|"&amp;B451&amp;"|"&amp;TEXT(AT451,"yyyymmdd"))</f>
        <v/>
      </c>
      <c r="BB451" s="28" t="str">
        <f>IF(B451="","",TEXT(AZ451,"00")&amp;"|"&amp;B451&amp;"|"&amp;TEXT(AV451,"yyyymmdd"))</f>
        <v/>
      </c>
      <c r="BC451" s="28">
        <f>IF(OR(AQ451="YES",AQ451="Yes",AQ451="Y",AQ451=1),1,0)</f>
        <v>0</v>
      </c>
    </row>
    <row r="452" spans="1:55" ht="15" customHeight="1">
      <c r="A452" s="27"/>
      <c r="B452" s="28"/>
      <c r="C452" s="29"/>
      <c r="D452" s="30"/>
      <c r="E452" s="30"/>
      <c r="F452" s="28"/>
      <c r="G452" s="28"/>
      <c r="H452" s="28"/>
      <c r="I452" s="13"/>
      <c r="J452" s="28"/>
      <c r="K452" s="13"/>
      <c r="L452" s="28"/>
      <c r="M452" s="13"/>
      <c r="N452" s="28"/>
      <c r="O452" s="13"/>
      <c r="P452" s="28"/>
      <c r="Q452" s="20"/>
      <c r="R452" s="28"/>
      <c r="S452" s="20"/>
      <c r="T452" s="28"/>
      <c r="U452" s="13"/>
      <c r="V452" s="28"/>
      <c r="W452" s="13"/>
      <c r="X452" s="28"/>
      <c r="Y452" s="13"/>
      <c r="Z452" s="28"/>
      <c r="AA452" s="13"/>
      <c r="AB452" s="28"/>
      <c r="AC452" s="13"/>
      <c r="AD452" s="28"/>
      <c r="AE452" s="13"/>
      <c r="AF452" s="28"/>
      <c r="AG452" s="13"/>
      <c r="AH452" s="28"/>
      <c r="AI452" s="13"/>
      <c r="AJ452" s="28"/>
      <c r="AK452" s="13"/>
      <c r="AL452" s="28"/>
      <c r="AM452" s="13"/>
      <c r="AN452" s="28"/>
      <c r="AO452" s="13"/>
      <c r="AP452" s="28"/>
      <c r="AQ452" s="13"/>
      <c r="AR452" s="28"/>
      <c r="AS452" s="19">
        <f>SUM(H452,J452,L452,N452,P452,R452,T452,V452,X452,Z452,AB452,AD452,AF452,AH452,AJ452,AL452,AN452)</f>
        <v>0</v>
      </c>
      <c r="AT452" s="29" t="str">
        <f>IF(C452="","",DATE(YEAR(C452),MONTH(C452),1))</f>
        <v/>
      </c>
      <c r="AU452" s="28" t="str">
        <f>IF(AT452="","",TEXT(AT452,"mmmm yyyy"))</f>
        <v/>
      </c>
      <c r="AV452" s="29" t="str">
        <f>IF(C452="","",C452-WEEKDAY(C452,2)+1)</f>
        <v/>
      </c>
      <c r="AW452" s="29" t="str">
        <f>IF(AV452="","",AV452+6)</f>
        <v/>
      </c>
      <c r="AX452" s="28" t="str">
        <f>IF(AV452="","",TEXT(AV452,"dd/mm/yyyy")&amp;" - "&amp;TEXT(AW452,"dd/mm/yyyy"))</f>
        <v/>
      </c>
      <c r="AY452" s="28" t="str">
        <f>IF(B452="","",COUNTIFS($B$5:B452,B452,$AT$5:AT452,AT452))</f>
        <v/>
      </c>
      <c r="AZ452" s="28" t="str">
        <f>IF(B452="","",COUNTIFS($B$5:B452,B452,$AV$5:AV452,AV452))</f>
        <v/>
      </c>
      <c r="BA452" s="28" t="str">
        <f>IF(B452="","",TEXT(AY452,"00")&amp;"|"&amp;B452&amp;"|"&amp;TEXT(AT452,"yyyymmdd"))</f>
        <v/>
      </c>
      <c r="BB452" s="28" t="str">
        <f>IF(B452="","",TEXT(AZ452,"00")&amp;"|"&amp;B452&amp;"|"&amp;TEXT(AV452,"yyyymmdd"))</f>
        <v/>
      </c>
      <c r="BC452" s="28">
        <f>IF(OR(AQ452="YES",AQ452="Yes",AQ452="Y",AQ452=1),1,0)</f>
        <v>0</v>
      </c>
    </row>
    <row r="453" spans="1:55" ht="15" customHeight="1">
      <c r="A453" s="27"/>
      <c r="B453" s="28"/>
      <c r="C453" s="29"/>
      <c r="D453" s="30"/>
      <c r="E453" s="30"/>
      <c r="F453" s="28"/>
      <c r="G453" s="28"/>
      <c r="H453" s="28"/>
      <c r="I453" s="13"/>
      <c r="J453" s="28"/>
      <c r="K453" s="13"/>
      <c r="L453" s="28"/>
      <c r="M453" s="13"/>
      <c r="N453" s="28"/>
      <c r="O453" s="13"/>
      <c r="P453" s="28"/>
      <c r="Q453" s="20"/>
      <c r="R453" s="28"/>
      <c r="S453" s="20"/>
      <c r="T453" s="28"/>
      <c r="U453" s="13"/>
      <c r="V453" s="28"/>
      <c r="W453" s="13"/>
      <c r="X453" s="28"/>
      <c r="Y453" s="13"/>
      <c r="Z453" s="28"/>
      <c r="AA453" s="13"/>
      <c r="AB453" s="28"/>
      <c r="AC453" s="13"/>
      <c r="AD453" s="28"/>
      <c r="AE453" s="13"/>
      <c r="AF453" s="28"/>
      <c r="AG453" s="13"/>
      <c r="AH453" s="28"/>
      <c r="AI453" s="13"/>
      <c r="AJ453" s="28"/>
      <c r="AK453" s="13"/>
      <c r="AL453" s="28"/>
      <c r="AM453" s="13"/>
      <c r="AN453" s="28"/>
      <c r="AO453" s="13"/>
      <c r="AP453" s="28"/>
      <c r="AQ453" s="13"/>
      <c r="AR453" s="28"/>
      <c r="AS453" s="19">
        <f>SUM(H453,J453,L453,N453,P453,R453,T453,V453,X453,Z453,AB453,AD453,AF453,AH453,AJ453,AL453,AN453)</f>
        <v>0</v>
      </c>
      <c r="AT453" s="29" t="str">
        <f>IF(C453="","",DATE(YEAR(C453),MONTH(C453),1))</f>
        <v/>
      </c>
      <c r="AU453" s="28" t="str">
        <f>IF(AT453="","",TEXT(AT453,"mmmm yyyy"))</f>
        <v/>
      </c>
      <c r="AV453" s="29" t="str">
        <f>IF(C453="","",C453-WEEKDAY(C453,2)+1)</f>
        <v/>
      </c>
      <c r="AW453" s="29" t="str">
        <f>IF(AV453="","",AV453+6)</f>
        <v/>
      </c>
      <c r="AX453" s="28" t="str">
        <f>IF(AV453="","",TEXT(AV453,"dd/mm/yyyy")&amp;" - "&amp;TEXT(AW453,"dd/mm/yyyy"))</f>
        <v/>
      </c>
      <c r="AY453" s="28" t="str">
        <f>IF(B453="","",COUNTIFS($B$5:B453,B453,$AT$5:AT453,AT453))</f>
        <v/>
      </c>
      <c r="AZ453" s="28" t="str">
        <f>IF(B453="","",COUNTIFS($B$5:B453,B453,$AV$5:AV453,AV453))</f>
        <v/>
      </c>
      <c r="BA453" s="28" t="str">
        <f>IF(B453="","",TEXT(AY453,"00")&amp;"|"&amp;B453&amp;"|"&amp;TEXT(AT453,"yyyymmdd"))</f>
        <v/>
      </c>
      <c r="BB453" s="28" t="str">
        <f>IF(B453="","",TEXT(AZ453,"00")&amp;"|"&amp;B453&amp;"|"&amp;TEXT(AV453,"yyyymmdd"))</f>
        <v/>
      </c>
      <c r="BC453" s="28">
        <f>IF(OR(AQ453="YES",AQ453="Yes",AQ453="Y",AQ453=1),1,0)</f>
        <v>0</v>
      </c>
    </row>
    <row r="454" spans="1:55" ht="15" customHeight="1">
      <c r="A454" s="27"/>
      <c r="B454" s="28"/>
      <c r="C454" s="29"/>
      <c r="D454" s="30"/>
      <c r="E454" s="30"/>
      <c r="F454" s="28"/>
      <c r="G454" s="28"/>
      <c r="H454" s="28"/>
      <c r="I454" s="13"/>
      <c r="J454" s="28"/>
      <c r="K454" s="13"/>
      <c r="L454" s="28"/>
      <c r="M454" s="13"/>
      <c r="N454" s="28"/>
      <c r="O454" s="13"/>
      <c r="P454" s="28"/>
      <c r="Q454" s="20"/>
      <c r="R454" s="28"/>
      <c r="S454" s="20"/>
      <c r="T454" s="28"/>
      <c r="U454" s="13"/>
      <c r="V454" s="28"/>
      <c r="W454" s="13"/>
      <c r="X454" s="28"/>
      <c r="Y454" s="13"/>
      <c r="Z454" s="28"/>
      <c r="AA454" s="13"/>
      <c r="AB454" s="28"/>
      <c r="AC454" s="13"/>
      <c r="AD454" s="28"/>
      <c r="AE454" s="13"/>
      <c r="AF454" s="28"/>
      <c r="AG454" s="13"/>
      <c r="AH454" s="28"/>
      <c r="AI454" s="13"/>
      <c r="AJ454" s="28"/>
      <c r="AK454" s="13"/>
      <c r="AL454" s="28"/>
      <c r="AM454" s="13"/>
      <c r="AN454" s="28"/>
      <c r="AO454" s="13"/>
      <c r="AP454" s="28"/>
      <c r="AQ454" s="13"/>
      <c r="AR454" s="28"/>
      <c r="AS454" s="19">
        <f>SUM(H454,J454,L454,N454,P454,R454,T454,V454,X454,Z454,AB454,AD454,AF454,AH454,AJ454,AL454,AN454)</f>
        <v>0</v>
      </c>
      <c r="AT454" s="29" t="str">
        <f>IF(C454="","",DATE(YEAR(C454),MONTH(C454),1))</f>
        <v/>
      </c>
      <c r="AU454" s="28" t="str">
        <f>IF(AT454="","",TEXT(AT454,"mmmm yyyy"))</f>
        <v/>
      </c>
      <c r="AV454" s="29" t="str">
        <f>IF(C454="","",C454-WEEKDAY(C454,2)+1)</f>
        <v/>
      </c>
      <c r="AW454" s="29" t="str">
        <f>IF(AV454="","",AV454+6)</f>
        <v/>
      </c>
      <c r="AX454" s="28" t="str">
        <f>IF(AV454="","",TEXT(AV454,"dd/mm/yyyy")&amp;" - "&amp;TEXT(AW454,"dd/mm/yyyy"))</f>
        <v/>
      </c>
      <c r="AY454" s="28" t="str">
        <f>IF(B454="","",COUNTIFS($B$5:B454,B454,$AT$5:AT454,AT454))</f>
        <v/>
      </c>
      <c r="AZ454" s="28" t="str">
        <f>IF(B454="","",COUNTIFS($B$5:B454,B454,$AV$5:AV454,AV454))</f>
        <v/>
      </c>
      <c r="BA454" s="28" t="str">
        <f>IF(B454="","",TEXT(AY454,"00")&amp;"|"&amp;B454&amp;"|"&amp;TEXT(AT454,"yyyymmdd"))</f>
        <v/>
      </c>
      <c r="BB454" s="28" t="str">
        <f>IF(B454="","",TEXT(AZ454,"00")&amp;"|"&amp;B454&amp;"|"&amp;TEXT(AV454,"yyyymmdd"))</f>
        <v/>
      </c>
      <c r="BC454" s="28">
        <f>IF(OR(AQ454="YES",AQ454="Yes",AQ454="Y",AQ454=1),1,0)</f>
        <v>0</v>
      </c>
    </row>
    <row r="455" spans="1:55" ht="15" customHeight="1">
      <c r="A455" s="27"/>
      <c r="B455" s="28"/>
      <c r="C455" s="29"/>
      <c r="D455" s="30"/>
      <c r="E455" s="30"/>
      <c r="F455" s="28"/>
      <c r="G455" s="28"/>
      <c r="H455" s="28"/>
      <c r="I455" s="13"/>
      <c r="J455" s="28"/>
      <c r="K455" s="13"/>
      <c r="L455" s="28"/>
      <c r="M455" s="13"/>
      <c r="N455" s="28"/>
      <c r="O455" s="13"/>
      <c r="P455" s="28"/>
      <c r="Q455" s="20"/>
      <c r="R455" s="28"/>
      <c r="S455" s="20"/>
      <c r="T455" s="28"/>
      <c r="U455" s="13"/>
      <c r="V455" s="28"/>
      <c r="W455" s="13"/>
      <c r="X455" s="28"/>
      <c r="Y455" s="13"/>
      <c r="Z455" s="28"/>
      <c r="AA455" s="13"/>
      <c r="AB455" s="28"/>
      <c r="AC455" s="13"/>
      <c r="AD455" s="28"/>
      <c r="AE455" s="13"/>
      <c r="AF455" s="28"/>
      <c r="AG455" s="13"/>
      <c r="AH455" s="28"/>
      <c r="AI455" s="13"/>
      <c r="AJ455" s="28"/>
      <c r="AK455" s="13"/>
      <c r="AL455" s="28"/>
      <c r="AM455" s="13"/>
      <c r="AN455" s="28"/>
      <c r="AO455" s="13"/>
      <c r="AP455" s="28"/>
      <c r="AQ455" s="13"/>
      <c r="AR455" s="28"/>
      <c r="AS455" s="19">
        <f>SUM(H455,J455,L455,N455,P455,R455,T455,V455,X455,Z455,AB455,AD455,AF455,AH455,AJ455,AL455,AN455)</f>
        <v>0</v>
      </c>
      <c r="AT455" s="29" t="str">
        <f>IF(C455="","",DATE(YEAR(C455),MONTH(C455),1))</f>
        <v/>
      </c>
      <c r="AU455" s="28" t="str">
        <f>IF(AT455="","",TEXT(AT455,"mmmm yyyy"))</f>
        <v/>
      </c>
      <c r="AV455" s="29" t="str">
        <f>IF(C455="","",C455-WEEKDAY(C455,2)+1)</f>
        <v/>
      </c>
      <c r="AW455" s="29" t="str">
        <f>IF(AV455="","",AV455+6)</f>
        <v/>
      </c>
      <c r="AX455" s="28" t="str">
        <f>IF(AV455="","",TEXT(AV455,"dd/mm/yyyy")&amp;" - "&amp;TEXT(AW455,"dd/mm/yyyy"))</f>
        <v/>
      </c>
      <c r="AY455" s="28" t="str">
        <f>IF(B455="","",COUNTIFS($B$5:B455,B455,$AT$5:AT455,AT455))</f>
        <v/>
      </c>
      <c r="AZ455" s="28" t="str">
        <f>IF(B455="","",COUNTIFS($B$5:B455,B455,$AV$5:AV455,AV455))</f>
        <v/>
      </c>
      <c r="BA455" s="28" t="str">
        <f>IF(B455="","",TEXT(AY455,"00")&amp;"|"&amp;B455&amp;"|"&amp;TEXT(AT455,"yyyymmdd"))</f>
        <v/>
      </c>
      <c r="BB455" s="28" t="str">
        <f>IF(B455="","",TEXT(AZ455,"00")&amp;"|"&amp;B455&amp;"|"&amp;TEXT(AV455,"yyyymmdd"))</f>
        <v/>
      </c>
      <c r="BC455" s="28">
        <f>IF(OR(AQ455="YES",AQ455="Yes",AQ455="Y",AQ455=1),1,0)</f>
        <v>0</v>
      </c>
    </row>
    <row r="456" spans="1:55" ht="15" customHeight="1">
      <c r="A456" s="27"/>
      <c r="B456" s="28"/>
      <c r="C456" s="29"/>
      <c r="D456" s="30"/>
      <c r="E456" s="30"/>
      <c r="F456" s="28"/>
      <c r="G456" s="28"/>
      <c r="H456" s="28"/>
      <c r="I456" s="13"/>
      <c r="J456" s="28"/>
      <c r="K456" s="13"/>
      <c r="L456" s="28"/>
      <c r="M456" s="13"/>
      <c r="N456" s="28"/>
      <c r="O456" s="13"/>
      <c r="P456" s="28"/>
      <c r="Q456" s="20"/>
      <c r="R456" s="28"/>
      <c r="S456" s="20"/>
      <c r="T456" s="28"/>
      <c r="U456" s="13"/>
      <c r="V456" s="28"/>
      <c r="W456" s="13"/>
      <c r="X456" s="28"/>
      <c r="Y456" s="13"/>
      <c r="Z456" s="28"/>
      <c r="AA456" s="13"/>
      <c r="AB456" s="28"/>
      <c r="AC456" s="13"/>
      <c r="AD456" s="28"/>
      <c r="AE456" s="13"/>
      <c r="AF456" s="28"/>
      <c r="AG456" s="13"/>
      <c r="AH456" s="28"/>
      <c r="AI456" s="13"/>
      <c r="AJ456" s="28"/>
      <c r="AK456" s="13"/>
      <c r="AL456" s="28"/>
      <c r="AM456" s="13"/>
      <c r="AN456" s="28"/>
      <c r="AO456" s="13"/>
      <c r="AP456" s="28"/>
      <c r="AQ456" s="13"/>
      <c r="AR456" s="28"/>
      <c r="AS456" s="19">
        <f>SUM(H456,J456,L456,N456,P456,R456,T456,V456,X456,Z456,AB456,AD456,AF456,AH456,AJ456,AL456,AN456)</f>
        <v>0</v>
      </c>
      <c r="AT456" s="29" t="str">
        <f>IF(C456="","",DATE(YEAR(C456),MONTH(C456),1))</f>
        <v/>
      </c>
      <c r="AU456" s="28" t="str">
        <f>IF(AT456="","",TEXT(AT456,"mmmm yyyy"))</f>
        <v/>
      </c>
      <c r="AV456" s="29" t="str">
        <f>IF(C456="","",C456-WEEKDAY(C456,2)+1)</f>
        <v/>
      </c>
      <c r="AW456" s="29" t="str">
        <f>IF(AV456="","",AV456+6)</f>
        <v/>
      </c>
      <c r="AX456" s="28" t="str">
        <f>IF(AV456="","",TEXT(AV456,"dd/mm/yyyy")&amp;" - "&amp;TEXT(AW456,"dd/mm/yyyy"))</f>
        <v/>
      </c>
      <c r="AY456" s="28" t="str">
        <f>IF(B456="","",COUNTIFS($B$5:B456,B456,$AT$5:AT456,AT456))</f>
        <v/>
      </c>
      <c r="AZ456" s="28" t="str">
        <f>IF(B456="","",COUNTIFS($B$5:B456,B456,$AV$5:AV456,AV456))</f>
        <v/>
      </c>
      <c r="BA456" s="28" t="str">
        <f>IF(B456="","",TEXT(AY456,"00")&amp;"|"&amp;B456&amp;"|"&amp;TEXT(AT456,"yyyymmdd"))</f>
        <v/>
      </c>
      <c r="BB456" s="28" t="str">
        <f>IF(B456="","",TEXT(AZ456,"00")&amp;"|"&amp;B456&amp;"|"&amp;TEXT(AV456,"yyyymmdd"))</f>
        <v/>
      </c>
      <c r="BC456" s="28">
        <f>IF(OR(AQ456="YES",AQ456="Yes",AQ456="Y",AQ456=1),1,0)</f>
        <v>0</v>
      </c>
    </row>
    <row r="457" spans="1:55" ht="15" customHeight="1">
      <c r="A457" s="27"/>
      <c r="B457" s="28"/>
      <c r="C457" s="29"/>
      <c r="D457" s="30"/>
      <c r="E457" s="30"/>
      <c r="F457" s="28"/>
      <c r="G457" s="28"/>
      <c r="H457" s="28"/>
      <c r="I457" s="13"/>
      <c r="J457" s="28"/>
      <c r="K457" s="13"/>
      <c r="L457" s="28"/>
      <c r="M457" s="13"/>
      <c r="N457" s="28"/>
      <c r="O457" s="13"/>
      <c r="P457" s="28"/>
      <c r="Q457" s="20"/>
      <c r="R457" s="28"/>
      <c r="S457" s="20"/>
      <c r="T457" s="28"/>
      <c r="U457" s="13"/>
      <c r="V457" s="28"/>
      <c r="W457" s="13"/>
      <c r="X457" s="28"/>
      <c r="Y457" s="13"/>
      <c r="Z457" s="28"/>
      <c r="AA457" s="13"/>
      <c r="AB457" s="28"/>
      <c r="AC457" s="13"/>
      <c r="AD457" s="28"/>
      <c r="AE457" s="13"/>
      <c r="AF457" s="28"/>
      <c r="AG457" s="13"/>
      <c r="AH457" s="28"/>
      <c r="AI457" s="13"/>
      <c r="AJ457" s="28"/>
      <c r="AK457" s="13"/>
      <c r="AL457" s="28"/>
      <c r="AM457" s="13"/>
      <c r="AN457" s="28"/>
      <c r="AO457" s="13"/>
      <c r="AP457" s="28"/>
      <c r="AQ457" s="13"/>
      <c r="AR457" s="28"/>
      <c r="AS457" s="19">
        <f>SUM(H457,J457,L457,N457,P457,R457,T457,V457,X457,Z457,AB457,AD457,AF457,AH457,AJ457,AL457,AN457)</f>
        <v>0</v>
      </c>
      <c r="AT457" s="29" t="str">
        <f>IF(C457="","",DATE(YEAR(C457),MONTH(C457),1))</f>
        <v/>
      </c>
      <c r="AU457" s="28" t="str">
        <f>IF(AT457="","",TEXT(AT457,"mmmm yyyy"))</f>
        <v/>
      </c>
      <c r="AV457" s="29" t="str">
        <f>IF(C457="","",C457-WEEKDAY(C457,2)+1)</f>
        <v/>
      </c>
      <c r="AW457" s="29" t="str">
        <f>IF(AV457="","",AV457+6)</f>
        <v/>
      </c>
      <c r="AX457" s="28" t="str">
        <f>IF(AV457="","",TEXT(AV457,"dd/mm/yyyy")&amp;" - "&amp;TEXT(AW457,"dd/mm/yyyy"))</f>
        <v/>
      </c>
      <c r="AY457" s="28" t="str">
        <f>IF(B457="","",COUNTIFS($B$5:B457,B457,$AT$5:AT457,AT457))</f>
        <v/>
      </c>
      <c r="AZ457" s="28" t="str">
        <f>IF(B457="","",COUNTIFS($B$5:B457,B457,$AV$5:AV457,AV457))</f>
        <v/>
      </c>
      <c r="BA457" s="28" t="str">
        <f>IF(B457="","",TEXT(AY457,"00")&amp;"|"&amp;B457&amp;"|"&amp;TEXT(AT457,"yyyymmdd"))</f>
        <v/>
      </c>
      <c r="BB457" s="28" t="str">
        <f>IF(B457="","",TEXT(AZ457,"00")&amp;"|"&amp;B457&amp;"|"&amp;TEXT(AV457,"yyyymmdd"))</f>
        <v/>
      </c>
      <c r="BC457" s="28">
        <f>IF(OR(AQ457="YES",AQ457="Yes",AQ457="Y",AQ457=1),1,0)</f>
        <v>0</v>
      </c>
    </row>
    <row r="458" spans="1:55" ht="15" customHeight="1">
      <c r="A458" s="27"/>
      <c r="B458" s="28"/>
      <c r="C458" s="29"/>
      <c r="D458" s="30"/>
      <c r="E458" s="30"/>
      <c r="F458" s="28"/>
      <c r="G458" s="28"/>
      <c r="H458" s="28"/>
      <c r="I458" s="13"/>
      <c r="J458" s="28"/>
      <c r="K458" s="13"/>
      <c r="L458" s="28"/>
      <c r="M458" s="13"/>
      <c r="N458" s="28"/>
      <c r="O458" s="13"/>
      <c r="P458" s="28"/>
      <c r="Q458" s="20"/>
      <c r="R458" s="28"/>
      <c r="S458" s="20"/>
      <c r="T458" s="28"/>
      <c r="U458" s="13"/>
      <c r="V458" s="28"/>
      <c r="W458" s="13"/>
      <c r="X458" s="28"/>
      <c r="Y458" s="13"/>
      <c r="Z458" s="28"/>
      <c r="AA458" s="13"/>
      <c r="AB458" s="28"/>
      <c r="AC458" s="13"/>
      <c r="AD458" s="28"/>
      <c r="AE458" s="13"/>
      <c r="AF458" s="28"/>
      <c r="AG458" s="13"/>
      <c r="AH458" s="28"/>
      <c r="AI458" s="13"/>
      <c r="AJ458" s="28"/>
      <c r="AK458" s="13"/>
      <c r="AL458" s="28"/>
      <c r="AM458" s="13"/>
      <c r="AN458" s="28"/>
      <c r="AO458" s="13"/>
      <c r="AP458" s="28"/>
      <c r="AQ458" s="13"/>
      <c r="AR458" s="28"/>
      <c r="AS458" s="19">
        <f>SUM(H458,J458,L458,N458,P458,R458,T458,V458,X458,Z458,AB458,AD458,AF458,AH458,AJ458,AL458,AN458)</f>
        <v>0</v>
      </c>
      <c r="AT458" s="29" t="str">
        <f>IF(C458="","",DATE(YEAR(C458),MONTH(C458),1))</f>
        <v/>
      </c>
      <c r="AU458" s="28" t="str">
        <f>IF(AT458="","",TEXT(AT458,"mmmm yyyy"))</f>
        <v/>
      </c>
      <c r="AV458" s="29" t="str">
        <f>IF(C458="","",C458-WEEKDAY(C458,2)+1)</f>
        <v/>
      </c>
      <c r="AW458" s="29" t="str">
        <f>IF(AV458="","",AV458+6)</f>
        <v/>
      </c>
      <c r="AX458" s="28" t="str">
        <f>IF(AV458="","",TEXT(AV458,"dd/mm/yyyy")&amp;" - "&amp;TEXT(AW458,"dd/mm/yyyy"))</f>
        <v/>
      </c>
      <c r="AY458" s="28" t="str">
        <f>IF(B458="","",COUNTIFS($B$5:B458,B458,$AT$5:AT458,AT458))</f>
        <v/>
      </c>
      <c r="AZ458" s="28" t="str">
        <f>IF(B458="","",COUNTIFS($B$5:B458,B458,$AV$5:AV458,AV458))</f>
        <v/>
      </c>
      <c r="BA458" s="28" t="str">
        <f>IF(B458="","",TEXT(AY458,"00")&amp;"|"&amp;B458&amp;"|"&amp;TEXT(AT458,"yyyymmdd"))</f>
        <v/>
      </c>
      <c r="BB458" s="28" t="str">
        <f>IF(B458="","",TEXT(AZ458,"00")&amp;"|"&amp;B458&amp;"|"&amp;TEXT(AV458,"yyyymmdd"))</f>
        <v/>
      </c>
      <c r="BC458" s="28">
        <f>IF(OR(AQ458="YES",AQ458="Yes",AQ458="Y",AQ458=1),1,0)</f>
        <v>0</v>
      </c>
    </row>
    <row r="459" spans="1:55" ht="15" customHeight="1">
      <c r="A459" s="27"/>
      <c r="B459" s="28"/>
      <c r="C459" s="29"/>
      <c r="D459" s="30"/>
      <c r="E459" s="30"/>
      <c r="F459" s="28"/>
      <c r="G459" s="28"/>
      <c r="H459" s="28"/>
      <c r="I459" s="13"/>
      <c r="J459" s="28"/>
      <c r="K459" s="13"/>
      <c r="L459" s="28"/>
      <c r="M459" s="13"/>
      <c r="N459" s="28"/>
      <c r="O459" s="13"/>
      <c r="P459" s="28"/>
      <c r="Q459" s="20"/>
      <c r="R459" s="28"/>
      <c r="S459" s="20"/>
      <c r="T459" s="28"/>
      <c r="U459" s="13"/>
      <c r="V459" s="28"/>
      <c r="W459" s="13"/>
      <c r="X459" s="28"/>
      <c r="Y459" s="13"/>
      <c r="Z459" s="28"/>
      <c r="AA459" s="13"/>
      <c r="AB459" s="28"/>
      <c r="AC459" s="13"/>
      <c r="AD459" s="28"/>
      <c r="AE459" s="13"/>
      <c r="AF459" s="28"/>
      <c r="AG459" s="13"/>
      <c r="AH459" s="28"/>
      <c r="AI459" s="13"/>
      <c r="AJ459" s="28"/>
      <c r="AK459" s="13"/>
      <c r="AL459" s="28"/>
      <c r="AM459" s="13"/>
      <c r="AN459" s="28"/>
      <c r="AO459" s="13"/>
      <c r="AP459" s="28"/>
      <c r="AQ459" s="13"/>
      <c r="AR459" s="28"/>
      <c r="AS459" s="19">
        <f>SUM(H459,J459,L459,N459,P459,R459,T459,V459,X459,Z459,AB459,AD459,AF459,AH459,AJ459,AL459,AN459)</f>
        <v>0</v>
      </c>
      <c r="AT459" s="29" t="str">
        <f>IF(C459="","",DATE(YEAR(C459),MONTH(C459),1))</f>
        <v/>
      </c>
      <c r="AU459" s="28" t="str">
        <f>IF(AT459="","",TEXT(AT459,"mmmm yyyy"))</f>
        <v/>
      </c>
      <c r="AV459" s="29" t="str">
        <f>IF(C459="","",C459-WEEKDAY(C459,2)+1)</f>
        <v/>
      </c>
      <c r="AW459" s="29" t="str">
        <f>IF(AV459="","",AV459+6)</f>
        <v/>
      </c>
      <c r="AX459" s="28" t="str">
        <f>IF(AV459="","",TEXT(AV459,"dd/mm/yyyy")&amp;" - "&amp;TEXT(AW459,"dd/mm/yyyy"))</f>
        <v/>
      </c>
      <c r="AY459" s="28" t="str">
        <f>IF(B459="","",COUNTIFS($B$5:B459,B459,$AT$5:AT459,AT459))</f>
        <v/>
      </c>
      <c r="AZ459" s="28" t="str">
        <f>IF(B459="","",COUNTIFS($B$5:B459,B459,$AV$5:AV459,AV459))</f>
        <v/>
      </c>
      <c r="BA459" s="28" t="str">
        <f>IF(B459="","",TEXT(AY459,"00")&amp;"|"&amp;B459&amp;"|"&amp;TEXT(AT459,"yyyymmdd"))</f>
        <v/>
      </c>
      <c r="BB459" s="28" t="str">
        <f>IF(B459="","",TEXT(AZ459,"00")&amp;"|"&amp;B459&amp;"|"&amp;TEXT(AV459,"yyyymmdd"))</f>
        <v/>
      </c>
      <c r="BC459" s="28">
        <f>IF(OR(AQ459="YES",AQ459="Yes",AQ459="Y",AQ459=1),1,0)</f>
        <v>0</v>
      </c>
    </row>
    <row r="460" spans="1:55" ht="15" customHeight="1">
      <c r="A460" s="27"/>
      <c r="B460" s="28"/>
      <c r="C460" s="29"/>
      <c r="D460" s="30"/>
      <c r="E460" s="30"/>
      <c r="F460" s="28"/>
      <c r="G460" s="28"/>
      <c r="H460" s="28"/>
      <c r="I460" s="13"/>
      <c r="J460" s="28"/>
      <c r="K460" s="13"/>
      <c r="L460" s="28"/>
      <c r="M460" s="13"/>
      <c r="N460" s="28"/>
      <c r="O460" s="13"/>
      <c r="P460" s="28"/>
      <c r="Q460" s="20"/>
      <c r="R460" s="28"/>
      <c r="S460" s="20"/>
      <c r="T460" s="28"/>
      <c r="U460" s="13"/>
      <c r="V460" s="28"/>
      <c r="W460" s="13"/>
      <c r="X460" s="28"/>
      <c r="Y460" s="13"/>
      <c r="Z460" s="28"/>
      <c r="AA460" s="13"/>
      <c r="AB460" s="28"/>
      <c r="AC460" s="13"/>
      <c r="AD460" s="28"/>
      <c r="AE460" s="13"/>
      <c r="AF460" s="28"/>
      <c r="AG460" s="13"/>
      <c r="AH460" s="28"/>
      <c r="AI460" s="13"/>
      <c r="AJ460" s="28"/>
      <c r="AK460" s="13"/>
      <c r="AL460" s="28"/>
      <c r="AM460" s="13"/>
      <c r="AN460" s="28"/>
      <c r="AO460" s="13"/>
      <c r="AP460" s="28"/>
      <c r="AQ460" s="13"/>
      <c r="AR460" s="28"/>
      <c r="AS460" s="19">
        <f>SUM(H460,J460,L460,N460,P460,R460,T460,V460,X460,Z460,AB460,AD460,AF460,AH460,AJ460,AL460,AN460)</f>
        <v>0</v>
      </c>
      <c r="AT460" s="29" t="str">
        <f>IF(C460="","",DATE(YEAR(C460),MONTH(C460),1))</f>
        <v/>
      </c>
      <c r="AU460" s="28" t="str">
        <f>IF(AT460="","",TEXT(AT460,"mmmm yyyy"))</f>
        <v/>
      </c>
      <c r="AV460" s="29" t="str">
        <f>IF(C460="","",C460-WEEKDAY(C460,2)+1)</f>
        <v/>
      </c>
      <c r="AW460" s="29" t="str">
        <f>IF(AV460="","",AV460+6)</f>
        <v/>
      </c>
      <c r="AX460" s="28" t="str">
        <f>IF(AV460="","",TEXT(AV460,"dd/mm/yyyy")&amp;" - "&amp;TEXT(AW460,"dd/mm/yyyy"))</f>
        <v/>
      </c>
      <c r="AY460" s="28" t="str">
        <f>IF(B460="","",COUNTIFS($B$5:B460,B460,$AT$5:AT460,AT460))</f>
        <v/>
      </c>
      <c r="AZ460" s="28" t="str">
        <f>IF(B460="","",COUNTIFS($B$5:B460,B460,$AV$5:AV460,AV460))</f>
        <v/>
      </c>
      <c r="BA460" s="28" t="str">
        <f>IF(B460="","",TEXT(AY460,"00")&amp;"|"&amp;B460&amp;"|"&amp;TEXT(AT460,"yyyymmdd"))</f>
        <v/>
      </c>
      <c r="BB460" s="28" t="str">
        <f>IF(B460="","",TEXT(AZ460,"00")&amp;"|"&amp;B460&amp;"|"&amp;TEXT(AV460,"yyyymmdd"))</f>
        <v/>
      </c>
      <c r="BC460" s="28">
        <f>IF(OR(AQ460="YES",AQ460="Yes",AQ460="Y",AQ460=1),1,0)</f>
        <v>0</v>
      </c>
    </row>
    <row r="461" spans="1:55" ht="15" customHeight="1">
      <c r="A461" s="27"/>
      <c r="B461" s="28"/>
      <c r="C461" s="29"/>
      <c r="D461" s="30"/>
      <c r="E461" s="30"/>
      <c r="F461" s="28"/>
      <c r="G461" s="28"/>
      <c r="H461" s="28"/>
      <c r="I461" s="13"/>
      <c r="J461" s="28"/>
      <c r="K461" s="13"/>
      <c r="L461" s="28"/>
      <c r="M461" s="13"/>
      <c r="N461" s="28"/>
      <c r="O461" s="13"/>
      <c r="P461" s="28"/>
      <c r="Q461" s="20"/>
      <c r="R461" s="28"/>
      <c r="S461" s="20"/>
      <c r="T461" s="28"/>
      <c r="U461" s="13"/>
      <c r="V461" s="28"/>
      <c r="W461" s="13"/>
      <c r="X461" s="28"/>
      <c r="Y461" s="13"/>
      <c r="Z461" s="28"/>
      <c r="AA461" s="13"/>
      <c r="AB461" s="28"/>
      <c r="AC461" s="13"/>
      <c r="AD461" s="28"/>
      <c r="AE461" s="13"/>
      <c r="AF461" s="28"/>
      <c r="AG461" s="13"/>
      <c r="AH461" s="28"/>
      <c r="AI461" s="13"/>
      <c r="AJ461" s="28"/>
      <c r="AK461" s="13"/>
      <c r="AL461" s="28"/>
      <c r="AM461" s="13"/>
      <c r="AN461" s="28"/>
      <c r="AO461" s="13"/>
      <c r="AP461" s="28"/>
      <c r="AQ461" s="13"/>
      <c r="AR461" s="28"/>
      <c r="AS461" s="19">
        <f>SUM(H461,J461,L461,N461,P461,R461,T461,V461,X461,Z461,AB461,AD461,AF461,AH461,AJ461,AL461,AN461)</f>
        <v>0</v>
      </c>
      <c r="AT461" s="29" t="str">
        <f>IF(C461="","",DATE(YEAR(C461),MONTH(C461),1))</f>
        <v/>
      </c>
      <c r="AU461" s="28" t="str">
        <f>IF(AT461="","",TEXT(AT461,"mmmm yyyy"))</f>
        <v/>
      </c>
      <c r="AV461" s="29" t="str">
        <f>IF(C461="","",C461-WEEKDAY(C461,2)+1)</f>
        <v/>
      </c>
      <c r="AW461" s="29" t="str">
        <f>IF(AV461="","",AV461+6)</f>
        <v/>
      </c>
      <c r="AX461" s="28" t="str">
        <f>IF(AV461="","",TEXT(AV461,"dd/mm/yyyy")&amp;" - "&amp;TEXT(AW461,"dd/mm/yyyy"))</f>
        <v/>
      </c>
      <c r="AY461" s="28" t="str">
        <f>IF(B461="","",COUNTIFS($B$5:B461,B461,$AT$5:AT461,AT461))</f>
        <v/>
      </c>
      <c r="AZ461" s="28" t="str">
        <f>IF(B461="","",COUNTIFS($B$5:B461,B461,$AV$5:AV461,AV461))</f>
        <v/>
      </c>
      <c r="BA461" s="28" t="str">
        <f>IF(B461="","",TEXT(AY461,"00")&amp;"|"&amp;B461&amp;"|"&amp;TEXT(AT461,"yyyymmdd"))</f>
        <v/>
      </c>
      <c r="BB461" s="28" t="str">
        <f>IF(B461="","",TEXT(AZ461,"00")&amp;"|"&amp;B461&amp;"|"&amp;TEXT(AV461,"yyyymmdd"))</f>
        <v/>
      </c>
      <c r="BC461" s="28">
        <f>IF(OR(AQ461="YES",AQ461="Yes",AQ461="Y",AQ461=1),1,0)</f>
        <v>0</v>
      </c>
    </row>
    <row r="462" spans="1:55" ht="15" customHeight="1">
      <c r="A462" s="27"/>
      <c r="B462" s="28"/>
      <c r="C462" s="29"/>
      <c r="D462" s="30"/>
      <c r="E462" s="30"/>
      <c r="F462" s="28"/>
      <c r="G462" s="28"/>
      <c r="H462" s="28"/>
      <c r="I462" s="13"/>
      <c r="J462" s="28"/>
      <c r="K462" s="13"/>
      <c r="L462" s="28"/>
      <c r="M462" s="13"/>
      <c r="N462" s="28"/>
      <c r="O462" s="13"/>
      <c r="P462" s="28"/>
      <c r="Q462" s="20"/>
      <c r="R462" s="28"/>
      <c r="S462" s="20"/>
      <c r="T462" s="28"/>
      <c r="U462" s="13"/>
      <c r="V462" s="28"/>
      <c r="W462" s="13"/>
      <c r="X462" s="28"/>
      <c r="Y462" s="13"/>
      <c r="Z462" s="28"/>
      <c r="AA462" s="13"/>
      <c r="AB462" s="28"/>
      <c r="AC462" s="13"/>
      <c r="AD462" s="28"/>
      <c r="AE462" s="13"/>
      <c r="AF462" s="28"/>
      <c r="AG462" s="13"/>
      <c r="AH462" s="28"/>
      <c r="AI462" s="13"/>
      <c r="AJ462" s="28"/>
      <c r="AK462" s="13"/>
      <c r="AL462" s="28"/>
      <c r="AM462" s="13"/>
      <c r="AN462" s="28"/>
      <c r="AO462" s="13"/>
      <c r="AP462" s="28"/>
      <c r="AQ462" s="13"/>
      <c r="AR462" s="28"/>
      <c r="AS462" s="19">
        <f>SUM(H462,J462,L462,N462,P462,R462,T462,V462,X462,Z462,AB462,AD462,AF462,AH462,AJ462,AL462,AN462)</f>
        <v>0</v>
      </c>
      <c r="AT462" s="29" t="str">
        <f>IF(C462="","",DATE(YEAR(C462),MONTH(C462),1))</f>
        <v/>
      </c>
      <c r="AU462" s="28" t="str">
        <f>IF(AT462="","",TEXT(AT462,"mmmm yyyy"))</f>
        <v/>
      </c>
      <c r="AV462" s="29" t="str">
        <f>IF(C462="","",C462-WEEKDAY(C462,2)+1)</f>
        <v/>
      </c>
      <c r="AW462" s="29" t="str">
        <f>IF(AV462="","",AV462+6)</f>
        <v/>
      </c>
      <c r="AX462" s="28" t="str">
        <f>IF(AV462="","",TEXT(AV462,"dd/mm/yyyy")&amp;" - "&amp;TEXT(AW462,"dd/mm/yyyy"))</f>
        <v/>
      </c>
      <c r="AY462" s="28" t="str">
        <f>IF(B462="","",COUNTIFS($B$5:B462,B462,$AT$5:AT462,AT462))</f>
        <v/>
      </c>
      <c r="AZ462" s="28" t="str">
        <f>IF(B462="","",COUNTIFS($B$5:B462,B462,$AV$5:AV462,AV462))</f>
        <v/>
      </c>
      <c r="BA462" s="28" t="str">
        <f>IF(B462="","",TEXT(AY462,"00")&amp;"|"&amp;B462&amp;"|"&amp;TEXT(AT462,"yyyymmdd"))</f>
        <v/>
      </c>
      <c r="BB462" s="28" t="str">
        <f>IF(B462="","",TEXT(AZ462,"00")&amp;"|"&amp;B462&amp;"|"&amp;TEXT(AV462,"yyyymmdd"))</f>
        <v/>
      </c>
      <c r="BC462" s="28">
        <f>IF(OR(AQ462="YES",AQ462="Yes",AQ462="Y",AQ462=1),1,0)</f>
        <v>0</v>
      </c>
    </row>
    <row r="463" spans="1:55" ht="15" customHeight="1">
      <c r="A463" s="27"/>
      <c r="B463" s="28"/>
      <c r="C463" s="29"/>
      <c r="D463" s="30"/>
      <c r="E463" s="30"/>
      <c r="F463" s="28"/>
      <c r="G463" s="28"/>
      <c r="H463" s="28"/>
      <c r="I463" s="13"/>
      <c r="J463" s="28"/>
      <c r="K463" s="13"/>
      <c r="L463" s="28"/>
      <c r="M463" s="13"/>
      <c r="N463" s="28"/>
      <c r="O463" s="13"/>
      <c r="P463" s="28"/>
      <c r="Q463" s="20"/>
      <c r="R463" s="28"/>
      <c r="S463" s="20"/>
      <c r="T463" s="28"/>
      <c r="U463" s="13"/>
      <c r="V463" s="28"/>
      <c r="W463" s="13"/>
      <c r="X463" s="28"/>
      <c r="Y463" s="13"/>
      <c r="Z463" s="28"/>
      <c r="AA463" s="13"/>
      <c r="AB463" s="28"/>
      <c r="AC463" s="13"/>
      <c r="AD463" s="28"/>
      <c r="AE463" s="13"/>
      <c r="AF463" s="28"/>
      <c r="AG463" s="13"/>
      <c r="AH463" s="28"/>
      <c r="AI463" s="13"/>
      <c r="AJ463" s="28"/>
      <c r="AK463" s="13"/>
      <c r="AL463" s="28"/>
      <c r="AM463" s="13"/>
      <c r="AN463" s="28"/>
      <c r="AO463" s="13"/>
      <c r="AP463" s="28"/>
      <c r="AQ463" s="13"/>
      <c r="AR463" s="28"/>
      <c r="AS463" s="19">
        <f>SUM(H463,J463,L463,N463,P463,R463,T463,V463,X463,Z463,AB463,AD463,AF463,AH463,AJ463,AL463,AN463)</f>
        <v>0</v>
      </c>
      <c r="AT463" s="29" t="str">
        <f>IF(C463="","",DATE(YEAR(C463),MONTH(C463),1))</f>
        <v/>
      </c>
      <c r="AU463" s="28" t="str">
        <f>IF(AT463="","",TEXT(AT463,"mmmm yyyy"))</f>
        <v/>
      </c>
      <c r="AV463" s="29" t="str">
        <f>IF(C463="","",C463-WEEKDAY(C463,2)+1)</f>
        <v/>
      </c>
      <c r="AW463" s="29" t="str">
        <f>IF(AV463="","",AV463+6)</f>
        <v/>
      </c>
      <c r="AX463" s="28" t="str">
        <f>IF(AV463="","",TEXT(AV463,"dd/mm/yyyy")&amp;" - "&amp;TEXT(AW463,"dd/mm/yyyy"))</f>
        <v/>
      </c>
      <c r="AY463" s="28" t="str">
        <f>IF(B463="","",COUNTIFS($B$5:B463,B463,$AT$5:AT463,AT463))</f>
        <v/>
      </c>
      <c r="AZ463" s="28" t="str">
        <f>IF(B463="","",COUNTIFS($B$5:B463,B463,$AV$5:AV463,AV463))</f>
        <v/>
      </c>
      <c r="BA463" s="28" t="str">
        <f>IF(B463="","",TEXT(AY463,"00")&amp;"|"&amp;B463&amp;"|"&amp;TEXT(AT463,"yyyymmdd"))</f>
        <v/>
      </c>
      <c r="BB463" s="28" t="str">
        <f>IF(B463="","",TEXT(AZ463,"00")&amp;"|"&amp;B463&amp;"|"&amp;TEXT(AV463,"yyyymmdd"))</f>
        <v/>
      </c>
      <c r="BC463" s="28">
        <f>IF(OR(AQ463="YES",AQ463="Yes",AQ463="Y",AQ463=1),1,0)</f>
        <v>0</v>
      </c>
    </row>
    <row r="464" spans="1:55" ht="15" customHeight="1">
      <c r="A464" s="27"/>
      <c r="B464" s="28"/>
      <c r="C464" s="29"/>
      <c r="D464" s="30"/>
      <c r="E464" s="30"/>
      <c r="F464" s="28"/>
      <c r="G464" s="28"/>
      <c r="H464" s="28"/>
      <c r="I464" s="13"/>
      <c r="J464" s="28"/>
      <c r="K464" s="13"/>
      <c r="L464" s="28"/>
      <c r="M464" s="13"/>
      <c r="N464" s="28"/>
      <c r="O464" s="13"/>
      <c r="P464" s="28"/>
      <c r="Q464" s="20"/>
      <c r="R464" s="28"/>
      <c r="S464" s="20"/>
      <c r="T464" s="28"/>
      <c r="U464" s="13"/>
      <c r="V464" s="28"/>
      <c r="W464" s="13"/>
      <c r="X464" s="28"/>
      <c r="Y464" s="13"/>
      <c r="Z464" s="28"/>
      <c r="AA464" s="13"/>
      <c r="AB464" s="28"/>
      <c r="AC464" s="13"/>
      <c r="AD464" s="28"/>
      <c r="AE464" s="13"/>
      <c r="AF464" s="28"/>
      <c r="AG464" s="13"/>
      <c r="AH464" s="28"/>
      <c r="AI464" s="13"/>
      <c r="AJ464" s="28"/>
      <c r="AK464" s="13"/>
      <c r="AL464" s="28"/>
      <c r="AM464" s="13"/>
      <c r="AN464" s="28"/>
      <c r="AO464" s="13"/>
      <c r="AP464" s="28"/>
      <c r="AQ464" s="13"/>
      <c r="AR464" s="28"/>
      <c r="AS464" s="19">
        <f>SUM(H464,J464,L464,N464,P464,R464,T464,V464,X464,Z464,AB464,AD464,AF464,AH464,AJ464,AL464,AN464)</f>
        <v>0</v>
      </c>
      <c r="AT464" s="29" t="str">
        <f>IF(C464="","",DATE(YEAR(C464),MONTH(C464),1))</f>
        <v/>
      </c>
      <c r="AU464" s="28" t="str">
        <f>IF(AT464="","",TEXT(AT464,"mmmm yyyy"))</f>
        <v/>
      </c>
      <c r="AV464" s="29" t="str">
        <f>IF(C464="","",C464-WEEKDAY(C464,2)+1)</f>
        <v/>
      </c>
      <c r="AW464" s="29" t="str">
        <f>IF(AV464="","",AV464+6)</f>
        <v/>
      </c>
      <c r="AX464" s="28" t="str">
        <f>IF(AV464="","",TEXT(AV464,"dd/mm/yyyy")&amp;" - "&amp;TEXT(AW464,"dd/mm/yyyy"))</f>
        <v/>
      </c>
      <c r="AY464" s="28" t="str">
        <f>IF(B464="","",COUNTIFS($B$5:B464,B464,$AT$5:AT464,AT464))</f>
        <v/>
      </c>
      <c r="AZ464" s="28" t="str">
        <f>IF(B464="","",COUNTIFS($B$5:B464,B464,$AV$5:AV464,AV464))</f>
        <v/>
      </c>
      <c r="BA464" s="28" t="str">
        <f>IF(B464="","",TEXT(AY464,"00")&amp;"|"&amp;B464&amp;"|"&amp;TEXT(AT464,"yyyymmdd"))</f>
        <v/>
      </c>
      <c r="BB464" s="28" t="str">
        <f>IF(B464="","",TEXT(AZ464,"00")&amp;"|"&amp;B464&amp;"|"&amp;TEXT(AV464,"yyyymmdd"))</f>
        <v/>
      </c>
      <c r="BC464" s="28">
        <f>IF(OR(AQ464="YES",AQ464="Yes",AQ464="Y",AQ464=1),1,0)</f>
        <v>0</v>
      </c>
    </row>
    <row r="465" spans="1:55" ht="15" customHeight="1">
      <c r="A465" s="27"/>
      <c r="B465" s="28"/>
      <c r="C465" s="29"/>
      <c r="D465" s="30"/>
      <c r="E465" s="30"/>
      <c r="F465" s="28"/>
      <c r="G465" s="28"/>
      <c r="H465" s="28"/>
      <c r="I465" s="13"/>
      <c r="J465" s="28"/>
      <c r="K465" s="13"/>
      <c r="L465" s="28"/>
      <c r="M465" s="13"/>
      <c r="N465" s="28"/>
      <c r="O465" s="13"/>
      <c r="P465" s="28"/>
      <c r="Q465" s="20"/>
      <c r="R465" s="28"/>
      <c r="S465" s="20"/>
      <c r="T465" s="28"/>
      <c r="U465" s="13"/>
      <c r="V465" s="28"/>
      <c r="W465" s="13"/>
      <c r="X465" s="28"/>
      <c r="Y465" s="13"/>
      <c r="Z465" s="28"/>
      <c r="AA465" s="13"/>
      <c r="AB465" s="28"/>
      <c r="AC465" s="13"/>
      <c r="AD465" s="28"/>
      <c r="AE465" s="13"/>
      <c r="AF465" s="28"/>
      <c r="AG465" s="13"/>
      <c r="AH465" s="28"/>
      <c r="AI465" s="13"/>
      <c r="AJ465" s="28"/>
      <c r="AK465" s="13"/>
      <c r="AL465" s="28"/>
      <c r="AM465" s="13"/>
      <c r="AN465" s="28"/>
      <c r="AO465" s="13"/>
      <c r="AP465" s="28"/>
      <c r="AQ465" s="13"/>
      <c r="AR465" s="28"/>
      <c r="AS465" s="19">
        <f>SUM(H465,J465,L465,N465,P465,R465,T465,V465,X465,Z465,AB465,AD465,AF465,AH465,AJ465,AL465,AN465)</f>
        <v>0</v>
      </c>
      <c r="AT465" s="29" t="str">
        <f>IF(C465="","",DATE(YEAR(C465),MONTH(C465),1))</f>
        <v/>
      </c>
      <c r="AU465" s="28" t="str">
        <f>IF(AT465="","",TEXT(AT465,"mmmm yyyy"))</f>
        <v/>
      </c>
      <c r="AV465" s="29" t="str">
        <f>IF(C465="","",C465-WEEKDAY(C465,2)+1)</f>
        <v/>
      </c>
      <c r="AW465" s="29" t="str">
        <f>IF(AV465="","",AV465+6)</f>
        <v/>
      </c>
      <c r="AX465" s="28" t="str">
        <f>IF(AV465="","",TEXT(AV465,"dd/mm/yyyy")&amp;" - "&amp;TEXT(AW465,"dd/mm/yyyy"))</f>
        <v/>
      </c>
      <c r="AY465" s="28" t="str">
        <f>IF(B465="","",COUNTIFS($B$5:B465,B465,$AT$5:AT465,AT465))</f>
        <v/>
      </c>
      <c r="AZ465" s="28" t="str">
        <f>IF(B465="","",COUNTIFS($B$5:B465,B465,$AV$5:AV465,AV465))</f>
        <v/>
      </c>
      <c r="BA465" s="28" t="str">
        <f>IF(B465="","",TEXT(AY465,"00")&amp;"|"&amp;B465&amp;"|"&amp;TEXT(AT465,"yyyymmdd"))</f>
        <v/>
      </c>
      <c r="BB465" s="28" t="str">
        <f>IF(B465="","",TEXT(AZ465,"00")&amp;"|"&amp;B465&amp;"|"&amp;TEXT(AV465,"yyyymmdd"))</f>
        <v/>
      </c>
      <c r="BC465" s="28">
        <f>IF(OR(AQ465="YES",AQ465="Yes",AQ465="Y",AQ465=1),1,0)</f>
        <v>0</v>
      </c>
    </row>
    <row r="466" spans="1:55" ht="15" customHeight="1">
      <c r="A466" s="27"/>
      <c r="B466" s="28"/>
      <c r="C466" s="29"/>
      <c r="D466" s="30"/>
      <c r="E466" s="30"/>
      <c r="F466" s="28"/>
      <c r="G466" s="28"/>
      <c r="H466" s="28"/>
      <c r="I466" s="13"/>
      <c r="J466" s="28"/>
      <c r="K466" s="13"/>
      <c r="L466" s="28"/>
      <c r="M466" s="13"/>
      <c r="N466" s="28"/>
      <c r="O466" s="13"/>
      <c r="P466" s="28"/>
      <c r="Q466" s="20"/>
      <c r="R466" s="28"/>
      <c r="S466" s="20"/>
      <c r="T466" s="28"/>
      <c r="U466" s="13"/>
      <c r="V466" s="28"/>
      <c r="W466" s="13"/>
      <c r="X466" s="28"/>
      <c r="Y466" s="13"/>
      <c r="Z466" s="28"/>
      <c r="AA466" s="13"/>
      <c r="AB466" s="28"/>
      <c r="AC466" s="13"/>
      <c r="AD466" s="28"/>
      <c r="AE466" s="13"/>
      <c r="AF466" s="28"/>
      <c r="AG466" s="13"/>
      <c r="AH466" s="28"/>
      <c r="AI466" s="13"/>
      <c r="AJ466" s="28"/>
      <c r="AK466" s="13"/>
      <c r="AL466" s="28"/>
      <c r="AM466" s="13"/>
      <c r="AN466" s="28"/>
      <c r="AO466" s="13"/>
      <c r="AP466" s="28"/>
      <c r="AQ466" s="13"/>
      <c r="AR466" s="28"/>
      <c r="AS466" s="19">
        <f>SUM(H466,J466,L466,N466,P466,R466,T466,V466,X466,Z466,AB466,AD466,AF466,AH466,AJ466,AL466,AN466)</f>
        <v>0</v>
      </c>
      <c r="AT466" s="29" t="str">
        <f>IF(C466="","",DATE(YEAR(C466),MONTH(C466),1))</f>
        <v/>
      </c>
      <c r="AU466" s="28" t="str">
        <f>IF(AT466="","",TEXT(AT466,"mmmm yyyy"))</f>
        <v/>
      </c>
      <c r="AV466" s="29" t="str">
        <f>IF(C466="","",C466-WEEKDAY(C466,2)+1)</f>
        <v/>
      </c>
      <c r="AW466" s="29" t="str">
        <f>IF(AV466="","",AV466+6)</f>
        <v/>
      </c>
      <c r="AX466" s="28" t="str">
        <f>IF(AV466="","",TEXT(AV466,"dd/mm/yyyy")&amp;" - "&amp;TEXT(AW466,"dd/mm/yyyy"))</f>
        <v/>
      </c>
      <c r="AY466" s="28" t="str">
        <f>IF(B466="","",COUNTIFS($B$5:B466,B466,$AT$5:AT466,AT466))</f>
        <v/>
      </c>
      <c r="AZ466" s="28" t="str">
        <f>IF(B466="","",COUNTIFS($B$5:B466,B466,$AV$5:AV466,AV466))</f>
        <v/>
      </c>
      <c r="BA466" s="28" t="str">
        <f>IF(B466="","",TEXT(AY466,"00")&amp;"|"&amp;B466&amp;"|"&amp;TEXT(AT466,"yyyymmdd"))</f>
        <v/>
      </c>
      <c r="BB466" s="28" t="str">
        <f>IF(B466="","",TEXT(AZ466,"00")&amp;"|"&amp;B466&amp;"|"&amp;TEXT(AV466,"yyyymmdd"))</f>
        <v/>
      </c>
      <c r="BC466" s="28">
        <f>IF(OR(AQ466="YES",AQ466="Yes",AQ466="Y",AQ466=1),1,0)</f>
        <v>0</v>
      </c>
    </row>
    <row r="467" spans="1:55" ht="15" customHeight="1">
      <c r="A467" s="27"/>
      <c r="B467" s="28"/>
      <c r="C467" s="29"/>
      <c r="D467" s="30"/>
      <c r="E467" s="30"/>
      <c r="F467" s="28"/>
      <c r="G467" s="28"/>
      <c r="H467" s="28"/>
      <c r="I467" s="13"/>
      <c r="J467" s="28"/>
      <c r="K467" s="13"/>
      <c r="L467" s="28"/>
      <c r="M467" s="13"/>
      <c r="N467" s="28"/>
      <c r="O467" s="13"/>
      <c r="P467" s="28"/>
      <c r="Q467" s="20"/>
      <c r="R467" s="28"/>
      <c r="S467" s="20"/>
      <c r="T467" s="28"/>
      <c r="U467" s="13"/>
      <c r="V467" s="28"/>
      <c r="W467" s="13"/>
      <c r="X467" s="28"/>
      <c r="Y467" s="13"/>
      <c r="Z467" s="28"/>
      <c r="AA467" s="13"/>
      <c r="AB467" s="28"/>
      <c r="AC467" s="13"/>
      <c r="AD467" s="28"/>
      <c r="AE467" s="13"/>
      <c r="AF467" s="28"/>
      <c r="AG467" s="13"/>
      <c r="AH467" s="28"/>
      <c r="AI467" s="13"/>
      <c r="AJ467" s="28"/>
      <c r="AK467" s="13"/>
      <c r="AL467" s="28"/>
      <c r="AM467" s="13"/>
      <c r="AN467" s="28"/>
      <c r="AO467" s="13"/>
      <c r="AP467" s="28"/>
      <c r="AQ467" s="13"/>
      <c r="AR467" s="28"/>
      <c r="AS467" s="19">
        <f>SUM(H467,J467,L467,N467,P467,R467,T467,V467,X467,Z467,AB467,AD467,AF467,AH467,AJ467,AL467,AN467)</f>
        <v>0</v>
      </c>
      <c r="AT467" s="29" t="str">
        <f>IF(C467="","",DATE(YEAR(C467),MONTH(C467),1))</f>
        <v/>
      </c>
      <c r="AU467" s="28" t="str">
        <f>IF(AT467="","",TEXT(AT467,"mmmm yyyy"))</f>
        <v/>
      </c>
      <c r="AV467" s="29" t="str">
        <f>IF(C467="","",C467-WEEKDAY(C467,2)+1)</f>
        <v/>
      </c>
      <c r="AW467" s="29" t="str">
        <f>IF(AV467="","",AV467+6)</f>
        <v/>
      </c>
      <c r="AX467" s="28" t="str">
        <f>IF(AV467="","",TEXT(AV467,"dd/mm/yyyy")&amp;" - "&amp;TEXT(AW467,"dd/mm/yyyy"))</f>
        <v/>
      </c>
      <c r="AY467" s="28" t="str">
        <f>IF(B467="","",COUNTIFS($B$5:B467,B467,$AT$5:AT467,AT467))</f>
        <v/>
      </c>
      <c r="AZ467" s="28" t="str">
        <f>IF(B467="","",COUNTIFS($B$5:B467,B467,$AV$5:AV467,AV467))</f>
        <v/>
      </c>
      <c r="BA467" s="28" t="str">
        <f>IF(B467="","",TEXT(AY467,"00")&amp;"|"&amp;B467&amp;"|"&amp;TEXT(AT467,"yyyymmdd"))</f>
        <v/>
      </c>
      <c r="BB467" s="28" t="str">
        <f>IF(B467="","",TEXT(AZ467,"00")&amp;"|"&amp;B467&amp;"|"&amp;TEXT(AV467,"yyyymmdd"))</f>
        <v/>
      </c>
      <c r="BC467" s="28">
        <f>IF(OR(AQ467="YES",AQ467="Yes",AQ467="Y",AQ467=1),1,0)</f>
        <v>0</v>
      </c>
    </row>
    <row r="468" spans="1:55" ht="15" customHeight="1">
      <c r="A468" s="27"/>
      <c r="B468" s="28"/>
      <c r="C468" s="29"/>
      <c r="D468" s="30"/>
      <c r="E468" s="30"/>
      <c r="F468" s="28"/>
      <c r="G468" s="28"/>
      <c r="H468" s="28"/>
      <c r="I468" s="13"/>
      <c r="J468" s="28"/>
      <c r="K468" s="13"/>
      <c r="L468" s="28"/>
      <c r="M468" s="13"/>
      <c r="N468" s="28"/>
      <c r="O468" s="13"/>
      <c r="P468" s="28"/>
      <c r="Q468" s="20"/>
      <c r="R468" s="28"/>
      <c r="S468" s="20"/>
      <c r="T468" s="28"/>
      <c r="U468" s="13"/>
      <c r="V468" s="28"/>
      <c r="W468" s="13"/>
      <c r="X468" s="28"/>
      <c r="Y468" s="13"/>
      <c r="Z468" s="28"/>
      <c r="AA468" s="13"/>
      <c r="AB468" s="28"/>
      <c r="AC468" s="13"/>
      <c r="AD468" s="28"/>
      <c r="AE468" s="13"/>
      <c r="AF468" s="28"/>
      <c r="AG468" s="13"/>
      <c r="AH468" s="28"/>
      <c r="AI468" s="13"/>
      <c r="AJ468" s="28"/>
      <c r="AK468" s="13"/>
      <c r="AL468" s="28"/>
      <c r="AM468" s="13"/>
      <c r="AN468" s="28"/>
      <c r="AO468" s="13"/>
      <c r="AP468" s="28"/>
      <c r="AQ468" s="13"/>
      <c r="AR468" s="28"/>
      <c r="AS468" s="19">
        <f>SUM(H468,J468,L468,N468,P468,R468,T468,V468,X468,Z468,AB468,AD468,AF468,AH468,AJ468,AL468,AN468)</f>
        <v>0</v>
      </c>
      <c r="AT468" s="29" t="str">
        <f>IF(C468="","",DATE(YEAR(C468),MONTH(C468),1))</f>
        <v/>
      </c>
      <c r="AU468" s="28" t="str">
        <f>IF(AT468="","",TEXT(AT468,"mmmm yyyy"))</f>
        <v/>
      </c>
      <c r="AV468" s="29" t="str">
        <f>IF(C468="","",C468-WEEKDAY(C468,2)+1)</f>
        <v/>
      </c>
      <c r="AW468" s="29" t="str">
        <f>IF(AV468="","",AV468+6)</f>
        <v/>
      </c>
      <c r="AX468" s="28" t="str">
        <f>IF(AV468="","",TEXT(AV468,"dd/mm/yyyy")&amp;" - "&amp;TEXT(AW468,"dd/mm/yyyy"))</f>
        <v/>
      </c>
      <c r="AY468" s="28" t="str">
        <f>IF(B468="","",COUNTIFS($B$5:B468,B468,$AT$5:AT468,AT468))</f>
        <v/>
      </c>
      <c r="AZ468" s="28" t="str">
        <f>IF(B468="","",COUNTIFS($B$5:B468,B468,$AV$5:AV468,AV468))</f>
        <v/>
      </c>
      <c r="BA468" s="28" t="str">
        <f>IF(B468="","",TEXT(AY468,"00")&amp;"|"&amp;B468&amp;"|"&amp;TEXT(AT468,"yyyymmdd"))</f>
        <v/>
      </c>
      <c r="BB468" s="28" t="str">
        <f>IF(B468="","",TEXT(AZ468,"00")&amp;"|"&amp;B468&amp;"|"&amp;TEXT(AV468,"yyyymmdd"))</f>
        <v/>
      </c>
      <c r="BC468" s="28">
        <f>IF(OR(AQ468="YES",AQ468="Yes",AQ468="Y",AQ468=1),1,0)</f>
        <v>0</v>
      </c>
    </row>
    <row r="469" spans="1:55" ht="15" customHeight="1">
      <c r="A469" s="27"/>
      <c r="B469" s="28"/>
      <c r="C469" s="29"/>
      <c r="D469" s="30"/>
      <c r="E469" s="30"/>
      <c r="F469" s="28"/>
      <c r="G469" s="28"/>
      <c r="H469" s="28"/>
      <c r="I469" s="13"/>
      <c r="J469" s="28"/>
      <c r="K469" s="13"/>
      <c r="L469" s="28"/>
      <c r="M469" s="13"/>
      <c r="N469" s="28"/>
      <c r="O469" s="13"/>
      <c r="P469" s="28"/>
      <c r="Q469" s="20"/>
      <c r="R469" s="28"/>
      <c r="S469" s="20"/>
      <c r="T469" s="28"/>
      <c r="U469" s="13"/>
      <c r="V469" s="28"/>
      <c r="W469" s="13"/>
      <c r="X469" s="28"/>
      <c r="Y469" s="13"/>
      <c r="Z469" s="28"/>
      <c r="AA469" s="13"/>
      <c r="AB469" s="28"/>
      <c r="AC469" s="13"/>
      <c r="AD469" s="28"/>
      <c r="AE469" s="13"/>
      <c r="AF469" s="28"/>
      <c r="AG469" s="13"/>
      <c r="AH469" s="28"/>
      <c r="AI469" s="13"/>
      <c r="AJ469" s="28"/>
      <c r="AK469" s="13"/>
      <c r="AL469" s="28"/>
      <c r="AM469" s="13"/>
      <c r="AN469" s="28"/>
      <c r="AO469" s="13"/>
      <c r="AP469" s="28"/>
      <c r="AQ469" s="13"/>
      <c r="AR469" s="28"/>
      <c r="AS469" s="19">
        <f>SUM(H469,J469,L469,N469,P469,R469,T469,V469,X469,Z469,AB469,AD469,AF469,AH469,AJ469,AL469,AN469)</f>
        <v>0</v>
      </c>
      <c r="AT469" s="29" t="str">
        <f>IF(C469="","",DATE(YEAR(C469),MONTH(C469),1))</f>
        <v/>
      </c>
      <c r="AU469" s="28" t="str">
        <f>IF(AT469="","",TEXT(AT469,"mmmm yyyy"))</f>
        <v/>
      </c>
      <c r="AV469" s="29" t="str">
        <f>IF(C469="","",C469-WEEKDAY(C469,2)+1)</f>
        <v/>
      </c>
      <c r="AW469" s="29" t="str">
        <f>IF(AV469="","",AV469+6)</f>
        <v/>
      </c>
      <c r="AX469" s="28" t="str">
        <f>IF(AV469="","",TEXT(AV469,"dd/mm/yyyy")&amp;" - "&amp;TEXT(AW469,"dd/mm/yyyy"))</f>
        <v/>
      </c>
      <c r="AY469" s="28" t="str">
        <f>IF(B469="","",COUNTIFS($B$5:B469,B469,$AT$5:AT469,AT469))</f>
        <v/>
      </c>
      <c r="AZ469" s="28" t="str">
        <f>IF(B469="","",COUNTIFS($B$5:B469,B469,$AV$5:AV469,AV469))</f>
        <v/>
      </c>
      <c r="BA469" s="28" t="str">
        <f>IF(B469="","",TEXT(AY469,"00")&amp;"|"&amp;B469&amp;"|"&amp;TEXT(AT469,"yyyymmdd"))</f>
        <v/>
      </c>
      <c r="BB469" s="28" t="str">
        <f>IF(B469="","",TEXT(AZ469,"00")&amp;"|"&amp;B469&amp;"|"&amp;TEXT(AV469,"yyyymmdd"))</f>
        <v/>
      </c>
      <c r="BC469" s="28">
        <f>IF(OR(AQ469="YES",AQ469="Yes",AQ469="Y",AQ469=1),1,0)</f>
        <v>0</v>
      </c>
    </row>
    <row r="470" spans="1:55" ht="15" customHeight="1">
      <c r="A470" s="27"/>
      <c r="B470" s="28"/>
      <c r="C470" s="29"/>
      <c r="D470" s="30"/>
      <c r="E470" s="30"/>
      <c r="F470" s="28"/>
      <c r="G470" s="28"/>
      <c r="H470" s="28"/>
      <c r="I470" s="13"/>
      <c r="J470" s="28"/>
      <c r="K470" s="13"/>
      <c r="L470" s="28"/>
      <c r="M470" s="13"/>
      <c r="N470" s="28"/>
      <c r="O470" s="13"/>
      <c r="P470" s="28"/>
      <c r="Q470" s="20"/>
      <c r="R470" s="28"/>
      <c r="S470" s="20"/>
      <c r="T470" s="28"/>
      <c r="U470" s="13"/>
      <c r="V470" s="28"/>
      <c r="W470" s="13"/>
      <c r="X470" s="28"/>
      <c r="Y470" s="13"/>
      <c r="Z470" s="28"/>
      <c r="AA470" s="13"/>
      <c r="AB470" s="28"/>
      <c r="AC470" s="13"/>
      <c r="AD470" s="28"/>
      <c r="AE470" s="13"/>
      <c r="AF470" s="28"/>
      <c r="AG470" s="13"/>
      <c r="AH470" s="28"/>
      <c r="AI470" s="13"/>
      <c r="AJ470" s="28"/>
      <c r="AK470" s="13"/>
      <c r="AL470" s="28"/>
      <c r="AM470" s="13"/>
      <c r="AN470" s="28"/>
      <c r="AO470" s="13"/>
      <c r="AP470" s="28"/>
      <c r="AQ470" s="13"/>
      <c r="AR470" s="28"/>
      <c r="AS470" s="19">
        <f>SUM(H470,J470,L470,N470,P470,R470,T470,V470,X470,Z470,AB470,AD470,AF470,AH470,AJ470,AL470,AN470)</f>
        <v>0</v>
      </c>
      <c r="AT470" s="29" t="str">
        <f>IF(C470="","",DATE(YEAR(C470),MONTH(C470),1))</f>
        <v/>
      </c>
      <c r="AU470" s="28" t="str">
        <f>IF(AT470="","",TEXT(AT470,"mmmm yyyy"))</f>
        <v/>
      </c>
      <c r="AV470" s="29" t="str">
        <f>IF(C470="","",C470-WEEKDAY(C470,2)+1)</f>
        <v/>
      </c>
      <c r="AW470" s="29" t="str">
        <f>IF(AV470="","",AV470+6)</f>
        <v/>
      </c>
      <c r="AX470" s="28" t="str">
        <f>IF(AV470="","",TEXT(AV470,"dd/mm/yyyy")&amp;" - "&amp;TEXT(AW470,"dd/mm/yyyy"))</f>
        <v/>
      </c>
      <c r="AY470" s="28" t="str">
        <f>IF(B470="","",COUNTIFS($B$5:B470,B470,$AT$5:AT470,AT470))</f>
        <v/>
      </c>
      <c r="AZ470" s="28" t="str">
        <f>IF(B470="","",COUNTIFS($B$5:B470,B470,$AV$5:AV470,AV470))</f>
        <v/>
      </c>
      <c r="BA470" s="28" t="str">
        <f>IF(B470="","",TEXT(AY470,"00")&amp;"|"&amp;B470&amp;"|"&amp;TEXT(AT470,"yyyymmdd"))</f>
        <v/>
      </c>
      <c r="BB470" s="28" t="str">
        <f>IF(B470="","",TEXT(AZ470,"00")&amp;"|"&amp;B470&amp;"|"&amp;TEXT(AV470,"yyyymmdd"))</f>
        <v/>
      </c>
      <c r="BC470" s="28">
        <f>IF(OR(AQ470="YES",AQ470="Yes",AQ470="Y",AQ470=1),1,0)</f>
        <v>0</v>
      </c>
    </row>
    <row r="471" spans="1:55" ht="15" customHeight="1">
      <c r="A471" s="27"/>
      <c r="B471" s="28"/>
      <c r="C471" s="29"/>
      <c r="D471" s="30"/>
      <c r="E471" s="30"/>
      <c r="F471" s="28"/>
      <c r="G471" s="28"/>
      <c r="H471" s="28"/>
      <c r="I471" s="13"/>
      <c r="J471" s="28"/>
      <c r="K471" s="13"/>
      <c r="L471" s="28"/>
      <c r="M471" s="13"/>
      <c r="N471" s="28"/>
      <c r="O471" s="13"/>
      <c r="P471" s="28"/>
      <c r="Q471" s="20"/>
      <c r="R471" s="28"/>
      <c r="S471" s="20"/>
      <c r="T471" s="28"/>
      <c r="U471" s="13"/>
      <c r="V471" s="28"/>
      <c r="W471" s="13"/>
      <c r="X471" s="28"/>
      <c r="Y471" s="13"/>
      <c r="Z471" s="28"/>
      <c r="AA471" s="13"/>
      <c r="AB471" s="28"/>
      <c r="AC471" s="13"/>
      <c r="AD471" s="28"/>
      <c r="AE471" s="13"/>
      <c r="AF471" s="28"/>
      <c r="AG471" s="13"/>
      <c r="AH471" s="28"/>
      <c r="AI471" s="13"/>
      <c r="AJ471" s="28"/>
      <c r="AK471" s="13"/>
      <c r="AL471" s="28"/>
      <c r="AM471" s="13"/>
      <c r="AN471" s="28"/>
      <c r="AO471" s="13"/>
      <c r="AP471" s="28"/>
      <c r="AQ471" s="13"/>
      <c r="AR471" s="28"/>
      <c r="AS471" s="19">
        <f>SUM(H471,J471,L471,N471,P471,R471,T471,V471,X471,Z471,AB471,AD471,AF471,AH471,AJ471,AL471,AN471)</f>
        <v>0</v>
      </c>
      <c r="AT471" s="29" t="str">
        <f>IF(C471="","",DATE(YEAR(C471),MONTH(C471),1))</f>
        <v/>
      </c>
      <c r="AU471" s="28" t="str">
        <f>IF(AT471="","",TEXT(AT471,"mmmm yyyy"))</f>
        <v/>
      </c>
      <c r="AV471" s="29" t="str">
        <f>IF(C471="","",C471-WEEKDAY(C471,2)+1)</f>
        <v/>
      </c>
      <c r="AW471" s="29" t="str">
        <f>IF(AV471="","",AV471+6)</f>
        <v/>
      </c>
      <c r="AX471" s="28" t="str">
        <f>IF(AV471="","",TEXT(AV471,"dd/mm/yyyy")&amp;" - "&amp;TEXT(AW471,"dd/mm/yyyy"))</f>
        <v/>
      </c>
      <c r="AY471" s="28" t="str">
        <f>IF(B471="","",COUNTIFS($B$5:B471,B471,$AT$5:AT471,AT471))</f>
        <v/>
      </c>
      <c r="AZ471" s="28" t="str">
        <f>IF(B471="","",COUNTIFS($B$5:B471,B471,$AV$5:AV471,AV471))</f>
        <v/>
      </c>
      <c r="BA471" s="28" t="str">
        <f>IF(B471="","",TEXT(AY471,"00")&amp;"|"&amp;B471&amp;"|"&amp;TEXT(AT471,"yyyymmdd"))</f>
        <v/>
      </c>
      <c r="BB471" s="28" t="str">
        <f>IF(B471="","",TEXT(AZ471,"00")&amp;"|"&amp;B471&amp;"|"&amp;TEXT(AV471,"yyyymmdd"))</f>
        <v/>
      </c>
      <c r="BC471" s="28">
        <f>IF(OR(AQ471="YES",AQ471="Yes",AQ471="Y",AQ471=1),1,0)</f>
        <v>0</v>
      </c>
    </row>
    <row r="472" spans="1:55" ht="15" customHeight="1">
      <c r="A472" s="27"/>
      <c r="B472" s="28"/>
      <c r="C472" s="29"/>
      <c r="D472" s="30"/>
      <c r="E472" s="30"/>
      <c r="F472" s="28"/>
      <c r="G472" s="28"/>
      <c r="H472" s="28"/>
      <c r="I472" s="13"/>
      <c r="J472" s="28"/>
      <c r="K472" s="13"/>
      <c r="L472" s="28"/>
      <c r="M472" s="13"/>
      <c r="N472" s="28"/>
      <c r="O472" s="13"/>
      <c r="P472" s="28"/>
      <c r="Q472" s="20"/>
      <c r="R472" s="28"/>
      <c r="S472" s="20"/>
      <c r="T472" s="28"/>
      <c r="U472" s="13"/>
      <c r="V472" s="28"/>
      <c r="W472" s="13"/>
      <c r="X472" s="28"/>
      <c r="Y472" s="13"/>
      <c r="Z472" s="28"/>
      <c r="AA472" s="13"/>
      <c r="AB472" s="28"/>
      <c r="AC472" s="13"/>
      <c r="AD472" s="28"/>
      <c r="AE472" s="13"/>
      <c r="AF472" s="28"/>
      <c r="AG472" s="13"/>
      <c r="AH472" s="28"/>
      <c r="AI472" s="13"/>
      <c r="AJ472" s="28"/>
      <c r="AK472" s="13"/>
      <c r="AL472" s="28"/>
      <c r="AM472" s="13"/>
      <c r="AN472" s="28"/>
      <c r="AO472" s="13"/>
      <c r="AP472" s="28"/>
      <c r="AQ472" s="13"/>
      <c r="AR472" s="28"/>
      <c r="AS472" s="19">
        <f>SUM(H472,J472,L472,N472,P472,R472,T472,V472,X472,Z472,AB472,AD472,AF472,AH472,AJ472,AL472,AN472)</f>
        <v>0</v>
      </c>
      <c r="AT472" s="29" t="str">
        <f>IF(C472="","",DATE(YEAR(C472),MONTH(C472),1))</f>
        <v/>
      </c>
      <c r="AU472" s="28" t="str">
        <f>IF(AT472="","",TEXT(AT472,"mmmm yyyy"))</f>
        <v/>
      </c>
      <c r="AV472" s="29" t="str">
        <f>IF(C472="","",C472-WEEKDAY(C472,2)+1)</f>
        <v/>
      </c>
      <c r="AW472" s="29" t="str">
        <f>IF(AV472="","",AV472+6)</f>
        <v/>
      </c>
      <c r="AX472" s="28" t="str">
        <f>IF(AV472="","",TEXT(AV472,"dd/mm/yyyy")&amp;" - "&amp;TEXT(AW472,"dd/mm/yyyy"))</f>
        <v/>
      </c>
      <c r="AY472" s="28" t="str">
        <f>IF(B472="","",COUNTIFS($B$5:B472,B472,$AT$5:AT472,AT472))</f>
        <v/>
      </c>
      <c r="AZ472" s="28" t="str">
        <f>IF(B472="","",COUNTIFS($B$5:B472,B472,$AV$5:AV472,AV472))</f>
        <v/>
      </c>
      <c r="BA472" s="28" t="str">
        <f>IF(B472="","",TEXT(AY472,"00")&amp;"|"&amp;B472&amp;"|"&amp;TEXT(AT472,"yyyymmdd"))</f>
        <v/>
      </c>
      <c r="BB472" s="28" t="str">
        <f>IF(B472="","",TEXT(AZ472,"00")&amp;"|"&amp;B472&amp;"|"&amp;TEXT(AV472,"yyyymmdd"))</f>
        <v/>
      </c>
      <c r="BC472" s="28">
        <f>IF(OR(AQ472="YES",AQ472="Yes",AQ472="Y",AQ472=1),1,0)</f>
        <v>0</v>
      </c>
    </row>
    <row r="473" spans="1:55" ht="15" customHeight="1">
      <c r="A473" s="27"/>
      <c r="B473" s="28"/>
      <c r="C473" s="29"/>
      <c r="D473" s="30"/>
      <c r="E473" s="30"/>
      <c r="F473" s="28"/>
      <c r="G473" s="28"/>
      <c r="H473" s="28"/>
      <c r="I473" s="13"/>
      <c r="J473" s="28"/>
      <c r="K473" s="13"/>
      <c r="L473" s="28"/>
      <c r="M473" s="13"/>
      <c r="N473" s="28"/>
      <c r="O473" s="13"/>
      <c r="P473" s="28"/>
      <c r="Q473" s="20"/>
      <c r="R473" s="28"/>
      <c r="S473" s="20"/>
      <c r="T473" s="28"/>
      <c r="U473" s="13"/>
      <c r="V473" s="28"/>
      <c r="W473" s="13"/>
      <c r="X473" s="28"/>
      <c r="Y473" s="13"/>
      <c r="Z473" s="28"/>
      <c r="AA473" s="13"/>
      <c r="AB473" s="28"/>
      <c r="AC473" s="13"/>
      <c r="AD473" s="28"/>
      <c r="AE473" s="13"/>
      <c r="AF473" s="28"/>
      <c r="AG473" s="13"/>
      <c r="AH473" s="28"/>
      <c r="AI473" s="13"/>
      <c r="AJ473" s="28"/>
      <c r="AK473" s="13"/>
      <c r="AL473" s="28"/>
      <c r="AM473" s="13"/>
      <c r="AN473" s="28"/>
      <c r="AO473" s="13"/>
      <c r="AP473" s="28"/>
      <c r="AQ473" s="13"/>
      <c r="AR473" s="28"/>
      <c r="AS473" s="19">
        <f>SUM(H473,J473,L473,N473,P473,R473,T473,V473,X473,Z473,AB473,AD473,AF473,AH473,AJ473,AL473,AN473)</f>
        <v>0</v>
      </c>
      <c r="AT473" s="29" t="str">
        <f>IF(C473="","",DATE(YEAR(C473),MONTH(C473),1))</f>
        <v/>
      </c>
      <c r="AU473" s="28" t="str">
        <f>IF(AT473="","",TEXT(AT473,"mmmm yyyy"))</f>
        <v/>
      </c>
      <c r="AV473" s="29" t="str">
        <f>IF(C473="","",C473-WEEKDAY(C473,2)+1)</f>
        <v/>
      </c>
      <c r="AW473" s="29" t="str">
        <f>IF(AV473="","",AV473+6)</f>
        <v/>
      </c>
      <c r="AX473" s="28" t="str">
        <f>IF(AV473="","",TEXT(AV473,"dd/mm/yyyy")&amp;" - "&amp;TEXT(AW473,"dd/mm/yyyy"))</f>
        <v/>
      </c>
      <c r="AY473" s="28" t="str">
        <f>IF(B473="","",COUNTIFS($B$5:B473,B473,$AT$5:AT473,AT473))</f>
        <v/>
      </c>
      <c r="AZ473" s="28" t="str">
        <f>IF(B473="","",COUNTIFS($B$5:B473,B473,$AV$5:AV473,AV473))</f>
        <v/>
      </c>
      <c r="BA473" s="28" t="str">
        <f>IF(B473="","",TEXT(AY473,"00")&amp;"|"&amp;B473&amp;"|"&amp;TEXT(AT473,"yyyymmdd"))</f>
        <v/>
      </c>
      <c r="BB473" s="28" t="str">
        <f>IF(B473="","",TEXT(AZ473,"00")&amp;"|"&amp;B473&amp;"|"&amp;TEXT(AV473,"yyyymmdd"))</f>
        <v/>
      </c>
      <c r="BC473" s="28">
        <f>IF(OR(AQ473="YES",AQ473="Yes",AQ473="Y",AQ473=1),1,0)</f>
        <v>0</v>
      </c>
    </row>
    <row r="474" spans="1:55" ht="15" customHeight="1">
      <c r="A474" s="27"/>
      <c r="B474" s="28"/>
      <c r="C474" s="29"/>
      <c r="D474" s="30"/>
      <c r="E474" s="30"/>
      <c r="F474" s="28"/>
      <c r="G474" s="28"/>
      <c r="H474" s="28"/>
      <c r="I474" s="13"/>
      <c r="J474" s="28"/>
      <c r="K474" s="13"/>
      <c r="L474" s="28"/>
      <c r="M474" s="13"/>
      <c r="N474" s="28"/>
      <c r="O474" s="13"/>
      <c r="P474" s="28"/>
      <c r="Q474" s="20"/>
      <c r="R474" s="28"/>
      <c r="S474" s="20"/>
      <c r="T474" s="28"/>
      <c r="U474" s="13"/>
      <c r="V474" s="28"/>
      <c r="W474" s="13"/>
      <c r="X474" s="28"/>
      <c r="Y474" s="13"/>
      <c r="Z474" s="28"/>
      <c r="AA474" s="13"/>
      <c r="AB474" s="28"/>
      <c r="AC474" s="13"/>
      <c r="AD474" s="28"/>
      <c r="AE474" s="13"/>
      <c r="AF474" s="28"/>
      <c r="AG474" s="13"/>
      <c r="AH474" s="28"/>
      <c r="AI474" s="13"/>
      <c r="AJ474" s="28"/>
      <c r="AK474" s="13"/>
      <c r="AL474" s="28"/>
      <c r="AM474" s="13"/>
      <c r="AN474" s="28"/>
      <c r="AO474" s="13"/>
      <c r="AP474" s="28"/>
      <c r="AQ474" s="13"/>
      <c r="AR474" s="28"/>
      <c r="AS474" s="19">
        <f>SUM(H474,J474,L474,N474,P474,R474,T474,V474,X474,Z474,AB474,AD474,AF474,AH474,AJ474,AL474,AN474)</f>
        <v>0</v>
      </c>
      <c r="AT474" s="29" t="str">
        <f>IF(C474="","",DATE(YEAR(C474),MONTH(C474),1))</f>
        <v/>
      </c>
      <c r="AU474" s="28" t="str">
        <f>IF(AT474="","",TEXT(AT474,"mmmm yyyy"))</f>
        <v/>
      </c>
      <c r="AV474" s="29" t="str">
        <f>IF(C474="","",C474-WEEKDAY(C474,2)+1)</f>
        <v/>
      </c>
      <c r="AW474" s="29" t="str">
        <f>IF(AV474="","",AV474+6)</f>
        <v/>
      </c>
      <c r="AX474" s="28" t="str">
        <f>IF(AV474="","",TEXT(AV474,"dd/mm/yyyy")&amp;" - "&amp;TEXT(AW474,"dd/mm/yyyy"))</f>
        <v/>
      </c>
      <c r="AY474" s="28" t="str">
        <f>IF(B474="","",COUNTIFS($B$5:B474,B474,$AT$5:AT474,AT474))</f>
        <v/>
      </c>
      <c r="AZ474" s="28" t="str">
        <f>IF(B474="","",COUNTIFS($B$5:B474,B474,$AV$5:AV474,AV474))</f>
        <v/>
      </c>
      <c r="BA474" s="28" t="str">
        <f>IF(B474="","",TEXT(AY474,"00")&amp;"|"&amp;B474&amp;"|"&amp;TEXT(AT474,"yyyymmdd"))</f>
        <v/>
      </c>
      <c r="BB474" s="28" t="str">
        <f>IF(B474="","",TEXT(AZ474,"00")&amp;"|"&amp;B474&amp;"|"&amp;TEXT(AV474,"yyyymmdd"))</f>
        <v/>
      </c>
      <c r="BC474" s="28">
        <f>IF(OR(AQ474="YES",AQ474="Yes",AQ474="Y",AQ474=1),1,0)</f>
        <v>0</v>
      </c>
    </row>
    <row r="475" spans="1:55" ht="15" customHeight="1">
      <c r="A475" s="27"/>
      <c r="B475" s="28"/>
      <c r="C475" s="29"/>
      <c r="D475" s="30"/>
      <c r="E475" s="30"/>
      <c r="F475" s="28"/>
      <c r="G475" s="28"/>
      <c r="H475" s="28"/>
      <c r="I475" s="13"/>
      <c r="J475" s="28"/>
      <c r="K475" s="13"/>
      <c r="L475" s="28"/>
      <c r="M475" s="13"/>
      <c r="N475" s="28"/>
      <c r="O475" s="13"/>
      <c r="P475" s="28"/>
      <c r="Q475" s="20"/>
      <c r="R475" s="28"/>
      <c r="S475" s="20"/>
      <c r="T475" s="28"/>
      <c r="U475" s="13"/>
      <c r="V475" s="28"/>
      <c r="W475" s="13"/>
      <c r="X475" s="28"/>
      <c r="Y475" s="13"/>
      <c r="Z475" s="28"/>
      <c r="AA475" s="13"/>
      <c r="AB475" s="28"/>
      <c r="AC475" s="13"/>
      <c r="AD475" s="28"/>
      <c r="AE475" s="13"/>
      <c r="AF475" s="28"/>
      <c r="AG475" s="13"/>
      <c r="AH475" s="28"/>
      <c r="AI475" s="13"/>
      <c r="AJ475" s="28"/>
      <c r="AK475" s="13"/>
      <c r="AL475" s="28"/>
      <c r="AM475" s="13"/>
      <c r="AN475" s="28"/>
      <c r="AO475" s="13"/>
      <c r="AP475" s="28"/>
      <c r="AQ475" s="13"/>
      <c r="AR475" s="28"/>
      <c r="AS475" s="19">
        <f>SUM(H475,J475,L475,N475,P475,R475,T475,V475,X475,Z475,AB475,AD475,AF475,AH475,AJ475,AL475,AN475)</f>
        <v>0</v>
      </c>
      <c r="AT475" s="29" t="str">
        <f>IF(C475="","",DATE(YEAR(C475),MONTH(C475),1))</f>
        <v/>
      </c>
      <c r="AU475" s="28" t="str">
        <f>IF(AT475="","",TEXT(AT475,"mmmm yyyy"))</f>
        <v/>
      </c>
      <c r="AV475" s="29" t="str">
        <f>IF(C475="","",C475-WEEKDAY(C475,2)+1)</f>
        <v/>
      </c>
      <c r="AW475" s="29" t="str">
        <f>IF(AV475="","",AV475+6)</f>
        <v/>
      </c>
      <c r="AX475" s="28" t="str">
        <f>IF(AV475="","",TEXT(AV475,"dd/mm/yyyy")&amp;" - "&amp;TEXT(AW475,"dd/mm/yyyy"))</f>
        <v/>
      </c>
      <c r="AY475" s="28" t="str">
        <f>IF(B475="","",COUNTIFS($B$5:B475,B475,$AT$5:AT475,AT475))</f>
        <v/>
      </c>
      <c r="AZ475" s="28" t="str">
        <f>IF(B475="","",COUNTIFS($B$5:B475,B475,$AV$5:AV475,AV475))</f>
        <v/>
      </c>
      <c r="BA475" s="28" t="str">
        <f>IF(B475="","",TEXT(AY475,"00")&amp;"|"&amp;B475&amp;"|"&amp;TEXT(AT475,"yyyymmdd"))</f>
        <v/>
      </c>
      <c r="BB475" s="28" t="str">
        <f>IF(B475="","",TEXT(AZ475,"00")&amp;"|"&amp;B475&amp;"|"&amp;TEXT(AV475,"yyyymmdd"))</f>
        <v/>
      </c>
      <c r="BC475" s="28">
        <f>IF(OR(AQ475="YES",AQ475="Yes",AQ475="Y",AQ475=1),1,0)</f>
        <v>0</v>
      </c>
    </row>
    <row r="476" spans="1:55" ht="15" customHeight="1">
      <c r="A476" s="27"/>
      <c r="B476" s="28"/>
      <c r="C476" s="29"/>
      <c r="D476" s="30"/>
      <c r="E476" s="30"/>
      <c r="F476" s="28"/>
      <c r="G476" s="28"/>
      <c r="H476" s="28"/>
      <c r="I476" s="13"/>
      <c r="J476" s="28"/>
      <c r="K476" s="13"/>
      <c r="L476" s="28"/>
      <c r="M476" s="13"/>
      <c r="N476" s="28"/>
      <c r="O476" s="13"/>
      <c r="P476" s="28"/>
      <c r="Q476" s="20"/>
      <c r="R476" s="28"/>
      <c r="S476" s="20"/>
      <c r="T476" s="28"/>
      <c r="U476" s="13"/>
      <c r="V476" s="28"/>
      <c r="W476" s="13"/>
      <c r="X476" s="28"/>
      <c r="Y476" s="13"/>
      <c r="Z476" s="28"/>
      <c r="AA476" s="13"/>
      <c r="AB476" s="28"/>
      <c r="AC476" s="13"/>
      <c r="AD476" s="28"/>
      <c r="AE476" s="13"/>
      <c r="AF476" s="28"/>
      <c r="AG476" s="13"/>
      <c r="AH476" s="28"/>
      <c r="AI476" s="13"/>
      <c r="AJ476" s="28"/>
      <c r="AK476" s="13"/>
      <c r="AL476" s="28"/>
      <c r="AM476" s="13"/>
      <c r="AN476" s="28"/>
      <c r="AO476" s="13"/>
      <c r="AP476" s="28"/>
      <c r="AQ476" s="13"/>
      <c r="AR476" s="28"/>
      <c r="AS476" s="19">
        <f>SUM(H476,J476,L476,N476,P476,R476,T476,V476,X476,Z476,AB476,AD476,AF476,AH476,AJ476,AL476,AN476)</f>
        <v>0</v>
      </c>
      <c r="AT476" s="29" t="str">
        <f>IF(C476="","",DATE(YEAR(C476),MONTH(C476),1))</f>
        <v/>
      </c>
      <c r="AU476" s="28" t="str">
        <f>IF(AT476="","",TEXT(AT476,"mmmm yyyy"))</f>
        <v/>
      </c>
      <c r="AV476" s="29" t="str">
        <f>IF(C476="","",C476-WEEKDAY(C476,2)+1)</f>
        <v/>
      </c>
      <c r="AW476" s="29" t="str">
        <f>IF(AV476="","",AV476+6)</f>
        <v/>
      </c>
      <c r="AX476" s="28" t="str">
        <f>IF(AV476="","",TEXT(AV476,"dd/mm/yyyy")&amp;" - "&amp;TEXT(AW476,"dd/mm/yyyy"))</f>
        <v/>
      </c>
      <c r="AY476" s="28" t="str">
        <f>IF(B476="","",COUNTIFS($B$5:B476,B476,$AT$5:AT476,AT476))</f>
        <v/>
      </c>
      <c r="AZ476" s="28" t="str">
        <f>IF(B476="","",COUNTIFS($B$5:B476,B476,$AV$5:AV476,AV476))</f>
        <v/>
      </c>
      <c r="BA476" s="28" t="str">
        <f>IF(B476="","",TEXT(AY476,"00")&amp;"|"&amp;B476&amp;"|"&amp;TEXT(AT476,"yyyymmdd"))</f>
        <v/>
      </c>
      <c r="BB476" s="28" t="str">
        <f>IF(B476="","",TEXT(AZ476,"00")&amp;"|"&amp;B476&amp;"|"&amp;TEXT(AV476,"yyyymmdd"))</f>
        <v/>
      </c>
      <c r="BC476" s="28">
        <f>IF(OR(AQ476="YES",AQ476="Yes",AQ476="Y",AQ476=1),1,0)</f>
        <v>0</v>
      </c>
    </row>
    <row r="477" spans="1:55" ht="15" customHeight="1">
      <c r="A477" s="27"/>
      <c r="B477" s="28"/>
      <c r="C477" s="29"/>
      <c r="D477" s="30"/>
      <c r="E477" s="30"/>
      <c r="F477" s="28"/>
      <c r="G477" s="28"/>
      <c r="H477" s="28"/>
      <c r="I477" s="13"/>
      <c r="J477" s="28"/>
      <c r="K477" s="13"/>
      <c r="L477" s="28"/>
      <c r="M477" s="13"/>
      <c r="N477" s="28"/>
      <c r="O477" s="13"/>
      <c r="P477" s="28"/>
      <c r="Q477" s="20"/>
      <c r="R477" s="28"/>
      <c r="S477" s="20"/>
      <c r="T477" s="28"/>
      <c r="U477" s="13"/>
      <c r="V477" s="28"/>
      <c r="W477" s="13"/>
      <c r="X477" s="28"/>
      <c r="Y477" s="13"/>
      <c r="Z477" s="28"/>
      <c r="AA477" s="13"/>
      <c r="AB477" s="28"/>
      <c r="AC477" s="13"/>
      <c r="AD477" s="28"/>
      <c r="AE477" s="13"/>
      <c r="AF477" s="28"/>
      <c r="AG477" s="13"/>
      <c r="AH477" s="28"/>
      <c r="AI477" s="13"/>
      <c r="AJ477" s="28"/>
      <c r="AK477" s="13"/>
      <c r="AL477" s="28"/>
      <c r="AM477" s="13"/>
      <c r="AN477" s="28"/>
      <c r="AO477" s="13"/>
      <c r="AP477" s="28"/>
      <c r="AQ477" s="13"/>
      <c r="AR477" s="28"/>
      <c r="AS477" s="19">
        <f>SUM(H477,J477,L477,N477,P477,R477,T477,V477,X477,Z477,AB477,AD477,AF477,AH477,AJ477,AL477,AN477)</f>
        <v>0</v>
      </c>
      <c r="AT477" s="29" t="str">
        <f>IF(C477="","",DATE(YEAR(C477),MONTH(C477),1))</f>
        <v/>
      </c>
      <c r="AU477" s="28" t="str">
        <f>IF(AT477="","",TEXT(AT477,"mmmm yyyy"))</f>
        <v/>
      </c>
      <c r="AV477" s="29" t="str">
        <f>IF(C477="","",C477-WEEKDAY(C477,2)+1)</f>
        <v/>
      </c>
      <c r="AW477" s="29" t="str">
        <f>IF(AV477="","",AV477+6)</f>
        <v/>
      </c>
      <c r="AX477" s="28" t="str">
        <f>IF(AV477="","",TEXT(AV477,"dd/mm/yyyy")&amp;" - "&amp;TEXT(AW477,"dd/mm/yyyy"))</f>
        <v/>
      </c>
      <c r="AY477" s="28" t="str">
        <f>IF(B477="","",COUNTIFS($B$5:B477,B477,$AT$5:AT477,AT477))</f>
        <v/>
      </c>
      <c r="AZ477" s="28" t="str">
        <f>IF(B477="","",COUNTIFS($B$5:B477,B477,$AV$5:AV477,AV477))</f>
        <v/>
      </c>
      <c r="BA477" s="28" t="str">
        <f>IF(B477="","",TEXT(AY477,"00")&amp;"|"&amp;B477&amp;"|"&amp;TEXT(AT477,"yyyymmdd"))</f>
        <v/>
      </c>
      <c r="BB477" s="28" t="str">
        <f>IF(B477="","",TEXT(AZ477,"00")&amp;"|"&amp;B477&amp;"|"&amp;TEXT(AV477,"yyyymmdd"))</f>
        <v/>
      </c>
      <c r="BC477" s="28">
        <f>IF(OR(AQ477="YES",AQ477="Yes",AQ477="Y",AQ477=1),1,0)</f>
        <v>0</v>
      </c>
    </row>
    <row r="478" spans="1:55" ht="15" customHeight="1">
      <c r="A478" s="27"/>
      <c r="B478" s="28"/>
      <c r="C478" s="29"/>
      <c r="D478" s="30"/>
      <c r="E478" s="30"/>
      <c r="F478" s="28"/>
      <c r="G478" s="28"/>
      <c r="H478" s="28"/>
      <c r="I478" s="13"/>
      <c r="J478" s="28"/>
      <c r="K478" s="13"/>
      <c r="L478" s="28"/>
      <c r="M478" s="13"/>
      <c r="N478" s="28"/>
      <c r="O478" s="13"/>
      <c r="P478" s="28"/>
      <c r="Q478" s="20"/>
      <c r="R478" s="28"/>
      <c r="S478" s="20"/>
      <c r="T478" s="28"/>
      <c r="U478" s="13"/>
      <c r="V478" s="28"/>
      <c r="W478" s="13"/>
      <c r="X478" s="28"/>
      <c r="Y478" s="13"/>
      <c r="Z478" s="28"/>
      <c r="AA478" s="13"/>
      <c r="AB478" s="28"/>
      <c r="AC478" s="13"/>
      <c r="AD478" s="28"/>
      <c r="AE478" s="13"/>
      <c r="AF478" s="28"/>
      <c r="AG478" s="13"/>
      <c r="AH478" s="28"/>
      <c r="AI478" s="13"/>
      <c r="AJ478" s="28"/>
      <c r="AK478" s="13"/>
      <c r="AL478" s="28"/>
      <c r="AM478" s="13"/>
      <c r="AN478" s="28"/>
      <c r="AO478" s="13"/>
      <c r="AP478" s="28"/>
      <c r="AQ478" s="13"/>
      <c r="AR478" s="28"/>
      <c r="AS478" s="19">
        <f>SUM(H478,J478,L478,N478,P478,R478,T478,V478,X478,Z478,AB478,AD478,AF478,AH478,AJ478,AL478,AN478)</f>
        <v>0</v>
      </c>
      <c r="AT478" s="29" t="str">
        <f>IF(C478="","",DATE(YEAR(C478),MONTH(C478),1))</f>
        <v/>
      </c>
      <c r="AU478" s="28" t="str">
        <f>IF(AT478="","",TEXT(AT478,"mmmm yyyy"))</f>
        <v/>
      </c>
      <c r="AV478" s="29" t="str">
        <f>IF(C478="","",C478-WEEKDAY(C478,2)+1)</f>
        <v/>
      </c>
      <c r="AW478" s="29" t="str">
        <f>IF(AV478="","",AV478+6)</f>
        <v/>
      </c>
      <c r="AX478" s="28" t="str">
        <f>IF(AV478="","",TEXT(AV478,"dd/mm/yyyy")&amp;" - "&amp;TEXT(AW478,"dd/mm/yyyy"))</f>
        <v/>
      </c>
      <c r="AY478" s="28" t="str">
        <f>IF(B478="","",COUNTIFS($B$5:B478,B478,$AT$5:AT478,AT478))</f>
        <v/>
      </c>
      <c r="AZ478" s="28" t="str">
        <f>IF(B478="","",COUNTIFS($B$5:B478,B478,$AV$5:AV478,AV478))</f>
        <v/>
      </c>
      <c r="BA478" s="28" t="str">
        <f>IF(B478="","",TEXT(AY478,"00")&amp;"|"&amp;B478&amp;"|"&amp;TEXT(AT478,"yyyymmdd"))</f>
        <v/>
      </c>
      <c r="BB478" s="28" t="str">
        <f>IF(B478="","",TEXT(AZ478,"00")&amp;"|"&amp;B478&amp;"|"&amp;TEXT(AV478,"yyyymmdd"))</f>
        <v/>
      </c>
      <c r="BC478" s="28">
        <f>IF(OR(AQ478="YES",AQ478="Yes",AQ478="Y",AQ478=1),1,0)</f>
        <v>0</v>
      </c>
    </row>
    <row r="479" spans="1:55" ht="15" customHeight="1">
      <c r="A479" s="27"/>
      <c r="B479" s="28"/>
      <c r="C479" s="29"/>
      <c r="D479" s="30"/>
      <c r="E479" s="30"/>
      <c r="F479" s="28"/>
      <c r="G479" s="28"/>
      <c r="H479" s="28"/>
      <c r="I479" s="13"/>
      <c r="J479" s="28"/>
      <c r="K479" s="13"/>
      <c r="L479" s="28"/>
      <c r="M479" s="13"/>
      <c r="N479" s="28"/>
      <c r="O479" s="13"/>
      <c r="P479" s="28"/>
      <c r="Q479" s="20"/>
      <c r="R479" s="28"/>
      <c r="S479" s="20"/>
      <c r="T479" s="28"/>
      <c r="U479" s="13"/>
      <c r="V479" s="28"/>
      <c r="W479" s="13"/>
      <c r="X479" s="28"/>
      <c r="Y479" s="13"/>
      <c r="Z479" s="28"/>
      <c r="AA479" s="13"/>
      <c r="AB479" s="28"/>
      <c r="AC479" s="13"/>
      <c r="AD479" s="28"/>
      <c r="AE479" s="13"/>
      <c r="AF479" s="28"/>
      <c r="AG479" s="13"/>
      <c r="AH479" s="28"/>
      <c r="AI479" s="13"/>
      <c r="AJ479" s="28"/>
      <c r="AK479" s="13"/>
      <c r="AL479" s="28"/>
      <c r="AM479" s="13"/>
      <c r="AN479" s="28"/>
      <c r="AO479" s="13"/>
      <c r="AP479" s="28"/>
      <c r="AQ479" s="13"/>
      <c r="AR479" s="28"/>
      <c r="AS479" s="19">
        <f>SUM(H479,J479,L479,N479,P479,R479,T479,V479,X479,Z479,AB479,AD479,AF479,AH479,AJ479,AL479,AN479)</f>
        <v>0</v>
      </c>
      <c r="AT479" s="29" t="str">
        <f>IF(C479="","",DATE(YEAR(C479),MONTH(C479),1))</f>
        <v/>
      </c>
      <c r="AU479" s="28" t="str">
        <f>IF(AT479="","",TEXT(AT479,"mmmm yyyy"))</f>
        <v/>
      </c>
      <c r="AV479" s="29" t="str">
        <f>IF(C479="","",C479-WEEKDAY(C479,2)+1)</f>
        <v/>
      </c>
      <c r="AW479" s="29" t="str">
        <f>IF(AV479="","",AV479+6)</f>
        <v/>
      </c>
      <c r="AX479" s="28" t="str">
        <f>IF(AV479="","",TEXT(AV479,"dd/mm/yyyy")&amp;" - "&amp;TEXT(AW479,"dd/mm/yyyy"))</f>
        <v/>
      </c>
      <c r="AY479" s="28" t="str">
        <f>IF(B479="","",COUNTIFS($B$5:B479,B479,$AT$5:AT479,AT479))</f>
        <v/>
      </c>
      <c r="AZ479" s="28" t="str">
        <f>IF(B479="","",COUNTIFS($B$5:B479,B479,$AV$5:AV479,AV479))</f>
        <v/>
      </c>
      <c r="BA479" s="28" t="str">
        <f>IF(B479="","",TEXT(AY479,"00")&amp;"|"&amp;B479&amp;"|"&amp;TEXT(AT479,"yyyymmdd"))</f>
        <v/>
      </c>
      <c r="BB479" s="28" t="str">
        <f>IF(B479="","",TEXT(AZ479,"00")&amp;"|"&amp;B479&amp;"|"&amp;TEXT(AV479,"yyyymmdd"))</f>
        <v/>
      </c>
      <c r="BC479" s="28">
        <f>IF(OR(AQ479="YES",AQ479="Yes",AQ479="Y",AQ479=1),1,0)</f>
        <v>0</v>
      </c>
    </row>
    <row r="480" spans="1:55" ht="15" customHeight="1">
      <c r="A480" s="27"/>
      <c r="B480" s="28"/>
      <c r="C480" s="29"/>
      <c r="D480" s="30"/>
      <c r="E480" s="30"/>
      <c r="F480" s="28"/>
      <c r="G480" s="28"/>
      <c r="H480" s="28"/>
      <c r="I480" s="13"/>
      <c r="J480" s="28"/>
      <c r="K480" s="13"/>
      <c r="L480" s="28"/>
      <c r="M480" s="13"/>
      <c r="N480" s="28"/>
      <c r="O480" s="13"/>
      <c r="P480" s="28"/>
      <c r="Q480" s="20"/>
      <c r="R480" s="28"/>
      <c r="S480" s="20"/>
      <c r="T480" s="28"/>
      <c r="U480" s="13"/>
      <c r="V480" s="28"/>
      <c r="W480" s="13"/>
      <c r="X480" s="28"/>
      <c r="Y480" s="13"/>
      <c r="Z480" s="28"/>
      <c r="AA480" s="13"/>
      <c r="AB480" s="28"/>
      <c r="AC480" s="13"/>
      <c r="AD480" s="28"/>
      <c r="AE480" s="13"/>
      <c r="AF480" s="28"/>
      <c r="AG480" s="13"/>
      <c r="AH480" s="28"/>
      <c r="AI480" s="13"/>
      <c r="AJ480" s="28"/>
      <c r="AK480" s="13"/>
      <c r="AL480" s="28"/>
      <c r="AM480" s="13"/>
      <c r="AN480" s="28"/>
      <c r="AO480" s="13"/>
      <c r="AP480" s="28"/>
      <c r="AQ480" s="13"/>
      <c r="AR480" s="28"/>
      <c r="AS480" s="19">
        <f>SUM(H480,J480,L480,N480,P480,R480,T480,V480,X480,Z480,AB480,AD480,AF480,AH480,AJ480,AL480,AN480)</f>
        <v>0</v>
      </c>
      <c r="AT480" s="29" t="str">
        <f>IF(C480="","",DATE(YEAR(C480),MONTH(C480),1))</f>
        <v/>
      </c>
      <c r="AU480" s="28" t="str">
        <f>IF(AT480="","",TEXT(AT480,"mmmm yyyy"))</f>
        <v/>
      </c>
      <c r="AV480" s="29" t="str">
        <f>IF(C480="","",C480-WEEKDAY(C480,2)+1)</f>
        <v/>
      </c>
      <c r="AW480" s="29" t="str">
        <f>IF(AV480="","",AV480+6)</f>
        <v/>
      </c>
      <c r="AX480" s="28" t="str">
        <f>IF(AV480="","",TEXT(AV480,"dd/mm/yyyy")&amp;" - "&amp;TEXT(AW480,"dd/mm/yyyy"))</f>
        <v/>
      </c>
      <c r="AY480" s="28" t="str">
        <f>IF(B480="","",COUNTIFS($B$5:B480,B480,$AT$5:AT480,AT480))</f>
        <v/>
      </c>
      <c r="AZ480" s="28" t="str">
        <f>IF(B480="","",COUNTIFS($B$5:B480,B480,$AV$5:AV480,AV480))</f>
        <v/>
      </c>
      <c r="BA480" s="28" t="str">
        <f>IF(B480="","",TEXT(AY480,"00")&amp;"|"&amp;B480&amp;"|"&amp;TEXT(AT480,"yyyymmdd"))</f>
        <v/>
      </c>
      <c r="BB480" s="28" t="str">
        <f>IF(B480="","",TEXT(AZ480,"00")&amp;"|"&amp;B480&amp;"|"&amp;TEXT(AV480,"yyyymmdd"))</f>
        <v/>
      </c>
      <c r="BC480" s="28">
        <f>IF(OR(AQ480="YES",AQ480="Yes",AQ480="Y",AQ480=1),1,0)</f>
        <v>0</v>
      </c>
    </row>
    <row r="481" spans="1:55" ht="15" customHeight="1">
      <c r="A481" s="27"/>
      <c r="B481" s="28"/>
      <c r="C481" s="29"/>
      <c r="D481" s="30"/>
      <c r="E481" s="30"/>
      <c r="F481" s="28"/>
      <c r="G481" s="28"/>
      <c r="H481" s="28"/>
      <c r="I481" s="13"/>
      <c r="J481" s="28"/>
      <c r="K481" s="13"/>
      <c r="L481" s="28"/>
      <c r="M481" s="13"/>
      <c r="N481" s="28"/>
      <c r="O481" s="13"/>
      <c r="P481" s="28"/>
      <c r="Q481" s="20"/>
      <c r="R481" s="28"/>
      <c r="S481" s="20"/>
      <c r="T481" s="28"/>
      <c r="U481" s="13"/>
      <c r="V481" s="28"/>
      <c r="W481" s="13"/>
      <c r="X481" s="28"/>
      <c r="Y481" s="13"/>
      <c r="Z481" s="28"/>
      <c r="AA481" s="13"/>
      <c r="AB481" s="28"/>
      <c r="AC481" s="13"/>
      <c r="AD481" s="28"/>
      <c r="AE481" s="13"/>
      <c r="AF481" s="28"/>
      <c r="AG481" s="13"/>
      <c r="AH481" s="28"/>
      <c r="AI481" s="13"/>
      <c r="AJ481" s="28"/>
      <c r="AK481" s="13"/>
      <c r="AL481" s="28"/>
      <c r="AM481" s="13"/>
      <c r="AN481" s="28"/>
      <c r="AO481" s="13"/>
      <c r="AP481" s="28"/>
      <c r="AQ481" s="13"/>
      <c r="AR481" s="28"/>
      <c r="AS481" s="19">
        <f>SUM(H481,J481,L481,N481,P481,R481,T481,V481,X481,Z481,AB481,AD481,AF481,AH481,AJ481,AL481,AN481)</f>
        <v>0</v>
      </c>
      <c r="AT481" s="29" t="str">
        <f>IF(C481="","",DATE(YEAR(C481),MONTH(C481),1))</f>
        <v/>
      </c>
      <c r="AU481" s="28" t="str">
        <f>IF(AT481="","",TEXT(AT481,"mmmm yyyy"))</f>
        <v/>
      </c>
      <c r="AV481" s="29" t="str">
        <f>IF(C481="","",C481-WEEKDAY(C481,2)+1)</f>
        <v/>
      </c>
      <c r="AW481" s="29" t="str">
        <f>IF(AV481="","",AV481+6)</f>
        <v/>
      </c>
      <c r="AX481" s="28" t="str">
        <f>IF(AV481="","",TEXT(AV481,"dd/mm/yyyy")&amp;" - "&amp;TEXT(AW481,"dd/mm/yyyy"))</f>
        <v/>
      </c>
      <c r="AY481" s="28" t="str">
        <f>IF(B481="","",COUNTIFS($B$5:B481,B481,$AT$5:AT481,AT481))</f>
        <v/>
      </c>
      <c r="AZ481" s="28" t="str">
        <f>IF(B481="","",COUNTIFS($B$5:B481,B481,$AV$5:AV481,AV481))</f>
        <v/>
      </c>
      <c r="BA481" s="28" t="str">
        <f>IF(B481="","",TEXT(AY481,"00")&amp;"|"&amp;B481&amp;"|"&amp;TEXT(AT481,"yyyymmdd"))</f>
        <v/>
      </c>
      <c r="BB481" s="28" t="str">
        <f>IF(B481="","",TEXT(AZ481,"00")&amp;"|"&amp;B481&amp;"|"&amp;TEXT(AV481,"yyyymmdd"))</f>
        <v/>
      </c>
      <c r="BC481" s="28">
        <f>IF(OR(AQ481="YES",AQ481="Yes",AQ481="Y",AQ481=1),1,0)</f>
        <v>0</v>
      </c>
    </row>
    <row r="482" spans="1:55" ht="15" customHeight="1">
      <c r="A482" s="27"/>
      <c r="B482" s="28"/>
      <c r="C482" s="29"/>
      <c r="D482" s="30"/>
      <c r="E482" s="30"/>
      <c r="F482" s="28"/>
      <c r="G482" s="28"/>
      <c r="H482" s="28"/>
      <c r="I482" s="13"/>
      <c r="J482" s="28"/>
      <c r="K482" s="13"/>
      <c r="L482" s="28"/>
      <c r="M482" s="13"/>
      <c r="N482" s="28"/>
      <c r="O482" s="13"/>
      <c r="P482" s="28"/>
      <c r="Q482" s="20"/>
      <c r="R482" s="28"/>
      <c r="S482" s="20"/>
      <c r="T482" s="28"/>
      <c r="U482" s="13"/>
      <c r="V482" s="28"/>
      <c r="W482" s="13"/>
      <c r="X482" s="28"/>
      <c r="Y482" s="13"/>
      <c r="Z482" s="28"/>
      <c r="AA482" s="13"/>
      <c r="AB482" s="28"/>
      <c r="AC482" s="13"/>
      <c r="AD482" s="28"/>
      <c r="AE482" s="13"/>
      <c r="AF482" s="28"/>
      <c r="AG482" s="13"/>
      <c r="AH482" s="28"/>
      <c r="AI482" s="13"/>
      <c r="AJ482" s="28"/>
      <c r="AK482" s="13"/>
      <c r="AL482" s="28"/>
      <c r="AM482" s="13"/>
      <c r="AN482" s="28"/>
      <c r="AO482" s="13"/>
      <c r="AP482" s="28"/>
      <c r="AQ482" s="13"/>
      <c r="AR482" s="28"/>
      <c r="AS482" s="19">
        <f>SUM(H482,J482,L482,N482,P482,R482,T482,V482,X482,Z482,AB482,AD482,AF482,AH482,AJ482,AL482,AN482)</f>
        <v>0</v>
      </c>
      <c r="AT482" s="29" t="str">
        <f>IF(C482="","",DATE(YEAR(C482),MONTH(C482),1))</f>
        <v/>
      </c>
      <c r="AU482" s="28" t="str">
        <f>IF(AT482="","",TEXT(AT482,"mmmm yyyy"))</f>
        <v/>
      </c>
      <c r="AV482" s="29" t="str">
        <f>IF(C482="","",C482-WEEKDAY(C482,2)+1)</f>
        <v/>
      </c>
      <c r="AW482" s="29" t="str">
        <f>IF(AV482="","",AV482+6)</f>
        <v/>
      </c>
      <c r="AX482" s="28" t="str">
        <f>IF(AV482="","",TEXT(AV482,"dd/mm/yyyy")&amp;" - "&amp;TEXT(AW482,"dd/mm/yyyy"))</f>
        <v/>
      </c>
      <c r="AY482" s="28" t="str">
        <f>IF(B482="","",COUNTIFS($B$5:B482,B482,$AT$5:AT482,AT482))</f>
        <v/>
      </c>
      <c r="AZ482" s="28" t="str">
        <f>IF(B482="","",COUNTIFS($B$5:B482,B482,$AV$5:AV482,AV482))</f>
        <v/>
      </c>
      <c r="BA482" s="28" t="str">
        <f>IF(B482="","",TEXT(AY482,"00")&amp;"|"&amp;B482&amp;"|"&amp;TEXT(AT482,"yyyymmdd"))</f>
        <v/>
      </c>
      <c r="BB482" s="28" t="str">
        <f>IF(B482="","",TEXT(AZ482,"00")&amp;"|"&amp;B482&amp;"|"&amp;TEXT(AV482,"yyyymmdd"))</f>
        <v/>
      </c>
      <c r="BC482" s="28">
        <f>IF(OR(AQ482="YES",AQ482="Yes",AQ482="Y",AQ482=1),1,0)</f>
        <v>0</v>
      </c>
    </row>
    <row r="483" spans="1:55" ht="15" customHeight="1">
      <c r="A483" s="27"/>
      <c r="B483" s="28"/>
      <c r="C483" s="29"/>
      <c r="D483" s="30"/>
      <c r="E483" s="30"/>
      <c r="F483" s="28"/>
      <c r="G483" s="28"/>
      <c r="H483" s="28"/>
      <c r="I483" s="13"/>
      <c r="J483" s="28"/>
      <c r="K483" s="13"/>
      <c r="L483" s="28"/>
      <c r="M483" s="13"/>
      <c r="N483" s="28"/>
      <c r="O483" s="13"/>
      <c r="P483" s="28"/>
      <c r="Q483" s="20"/>
      <c r="R483" s="28"/>
      <c r="S483" s="20"/>
      <c r="T483" s="28"/>
      <c r="U483" s="13"/>
      <c r="V483" s="28"/>
      <c r="W483" s="13"/>
      <c r="X483" s="28"/>
      <c r="Y483" s="13"/>
      <c r="Z483" s="28"/>
      <c r="AA483" s="13"/>
      <c r="AB483" s="28"/>
      <c r="AC483" s="13"/>
      <c r="AD483" s="28"/>
      <c r="AE483" s="13"/>
      <c r="AF483" s="28"/>
      <c r="AG483" s="13"/>
      <c r="AH483" s="28"/>
      <c r="AI483" s="13"/>
      <c r="AJ483" s="28"/>
      <c r="AK483" s="13"/>
      <c r="AL483" s="28"/>
      <c r="AM483" s="13"/>
      <c r="AN483" s="28"/>
      <c r="AO483" s="13"/>
      <c r="AP483" s="28"/>
      <c r="AQ483" s="13"/>
      <c r="AR483" s="28"/>
      <c r="AS483" s="19">
        <f>SUM(H483,J483,L483,N483,P483,R483,T483,V483,X483,Z483,AB483,AD483,AF483,AH483,AJ483,AL483,AN483)</f>
        <v>0</v>
      </c>
      <c r="AT483" s="29" t="str">
        <f>IF(C483="","",DATE(YEAR(C483),MONTH(C483),1))</f>
        <v/>
      </c>
      <c r="AU483" s="28" t="str">
        <f>IF(AT483="","",TEXT(AT483,"mmmm yyyy"))</f>
        <v/>
      </c>
      <c r="AV483" s="29" t="str">
        <f>IF(C483="","",C483-WEEKDAY(C483,2)+1)</f>
        <v/>
      </c>
      <c r="AW483" s="29" t="str">
        <f>IF(AV483="","",AV483+6)</f>
        <v/>
      </c>
      <c r="AX483" s="28" t="str">
        <f>IF(AV483="","",TEXT(AV483,"dd/mm/yyyy")&amp;" - "&amp;TEXT(AW483,"dd/mm/yyyy"))</f>
        <v/>
      </c>
      <c r="AY483" s="28" t="str">
        <f>IF(B483="","",COUNTIFS($B$5:B483,B483,$AT$5:AT483,AT483))</f>
        <v/>
      </c>
      <c r="AZ483" s="28" t="str">
        <f>IF(B483="","",COUNTIFS($B$5:B483,B483,$AV$5:AV483,AV483))</f>
        <v/>
      </c>
      <c r="BA483" s="28" t="str">
        <f>IF(B483="","",TEXT(AY483,"00")&amp;"|"&amp;B483&amp;"|"&amp;TEXT(AT483,"yyyymmdd"))</f>
        <v/>
      </c>
      <c r="BB483" s="28" t="str">
        <f>IF(B483="","",TEXT(AZ483,"00")&amp;"|"&amp;B483&amp;"|"&amp;TEXT(AV483,"yyyymmdd"))</f>
        <v/>
      </c>
      <c r="BC483" s="28">
        <f>IF(OR(AQ483="YES",AQ483="Yes",AQ483="Y",AQ483=1),1,0)</f>
        <v>0</v>
      </c>
    </row>
    <row r="484" spans="1:55" ht="15" customHeight="1">
      <c r="A484" s="27"/>
      <c r="B484" s="28"/>
      <c r="C484" s="29"/>
      <c r="D484" s="30"/>
      <c r="E484" s="30"/>
      <c r="F484" s="28"/>
      <c r="G484" s="28"/>
      <c r="H484" s="28"/>
      <c r="I484" s="13"/>
      <c r="J484" s="28"/>
      <c r="K484" s="13"/>
      <c r="L484" s="28"/>
      <c r="M484" s="13"/>
      <c r="N484" s="28"/>
      <c r="O484" s="13"/>
      <c r="P484" s="28"/>
      <c r="Q484" s="20"/>
      <c r="R484" s="28"/>
      <c r="S484" s="20"/>
      <c r="T484" s="28"/>
      <c r="U484" s="13"/>
      <c r="V484" s="28"/>
      <c r="W484" s="13"/>
      <c r="X484" s="28"/>
      <c r="Y484" s="13"/>
      <c r="Z484" s="28"/>
      <c r="AA484" s="13"/>
      <c r="AB484" s="28"/>
      <c r="AC484" s="13"/>
      <c r="AD484" s="28"/>
      <c r="AE484" s="13"/>
      <c r="AF484" s="28"/>
      <c r="AG484" s="13"/>
      <c r="AH484" s="28"/>
      <c r="AI484" s="13"/>
      <c r="AJ484" s="28"/>
      <c r="AK484" s="13"/>
      <c r="AL484" s="28"/>
      <c r="AM484" s="13"/>
      <c r="AN484" s="28"/>
      <c r="AO484" s="13"/>
      <c r="AP484" s="28"/>
      <c r="AQ484" s="13"/>
      <c r="AR484" s="28"/>
      <c r="AS484" s="19">
        <f>SUM(H484,J484,L484,N484,P484,R484,T484,V484,X484,Z484,AB484,AD484,AF484,AH484,AJ484,AL484,AN484)</f>
        <v>0</v>
      </c>
      <c r="AT484" s="29" t="str">
        <f>IF(C484="","",DATE(YEAR(C484),MONTH(C484),1))</f>
        <v/>
      </c>
      <c r="AU484" s="28" t="str">
        <f>IF(AT484="","",TEXT(AT484,"mmmm yyyy"))</f>
        <v/>
      </c>
      <c r="AV484" s="29" t="str">
        <f>IF(C484="","",C484-WEEKDAY(C484,2)+1)</f>
        <v/>
      </c>
      <c r="AW484" s="29" t="str">
        <f>IF(AV484="","",AV484+6)</f>
        <v/>
      </c>
      <c r="AX484" s="28" t="str">
        <f>IF(AV484="","",TEXT(AV484,"dd/mm/yyyy")&amp;" - "&amp;TEXT(AW484,"dd/mm/yyyy"))</f>
        <v/>
      </c>
      <c r="AY484" s="28" t="str">
        <f>IF(B484="","",COUNTIFS($B$5:B484,B484,$AT$5:AT484,AT484))</f>
        <v/>
      </c>
      <c r="AZ484" s="28" t="str">
        <f>IF(B484="","",COUNTIFS($B$5:B484,B484,$AV$5:AV484,AV484))</f>
        <v/>
      </c>
      <c r="BA484" s="28" t="str">
        <f>IF(B484="","",TEXT(AY484,"00")&amp;"|"&amp;B484&amp;"|"&amp;TEXT(AT484,"yyyymmdd"))</f>
        <v/>
      </c>
      <c r="BB484" s="28" t="str">
        <f>IF(B484="","",TEXT(AZ484,"00")&amp;"|"&amp;B484&amp;"|"&amp;TEXT(AV484,"yyyymmdd"))</f>
        <v/>
      </c>
      <c r="BC484" s="28">
        <f>IF(OR(AQ484="YES",AQ484="Yes",AQ484="Y",AQ484=1),1,0)</f>
        <v>0</v>
      </c>
    </row>
    <row r="485" spans="1:55" ht="15" customHeight="1">
      <c r="A485" s="27"/>
      <c r="B485" s="28"/>
      <c r="C485" s="29"/>
      <c r="D485" s="30"/>
      <c r="E485" s="30"/>
      <c r="F485" s="28"/>
      <c r="G485" s="28"/>
      <c r="H485" s="28"/>
      <c r="I485" s="13"/>
      <c r="J485" s="28"/>
      <c r="K485" s="13"/>
      <c r="L485" s="28"/>
      <c r="M485" s="13"/>
      <c r="N485" s="28"/>
      <c r="O485" s="13"/>
      <c r="P485" s="28"/>
      <c r="Q485" s="20"/>
      <c r="R485" s="28"/>
      <c r="S485" s="20"/>
      <c r="T485" s="28"/>
      <c r="U485" s="13"/>
      <c r="V485" s="28"/>
      <c r="W485" s="13"/>
      <c r="X485" s="28"/>
      <c r="Y485" s="13"/>
      <c r="Z485" s="28"/>
      <c r="AA485" s="13"/>
      <c r="AB485" s="28"/>
      <c r="AC485" s="13"/>
      <c r="AD485" s="28"/>
      <c r="AE485" s="13"/>
      <c r="AF485" s="28"/>
      <c r="AG485" s="13"/>
      <c r="AH485" s="28"/>
      <c r="AI485" s="13"/>
      <c r="AJ485" s="28"/>
      <c r="AK485" s="13"/>
      <c r="AL485" s="28"/>
      <c r="AM485" s="13"/>
      <c r="AN485" s="28"/>
      <c r="AO485" s="13"/>
      <c r="AP485" s="28"/>
      <c r="AQ485" s="13"/>
      <c r="AR485" s="28"/>
      <c r="AS485" s="19">
        <f>SUM(H485,J485,L485,N485,P485,R485,T485,V485,X485,Z485,AB485,AD485,AF485,AH485,AJ485,AL485,AN485)</f>
        <v>0</v>
      </c>
      <c r="AT485" s="29" t="str">
        <f>IF(C485="","",DATE(YEAR(C485),MONTH(C485),1))</f>
        <v/>
      </c>
      <c r="AU485" s="28" t="str">
        <f>IF(AT485="","",TEXT(AT485,"mmmm yyyy"))</f>
        <v/>
      </c>
      <c r="AV485" s="29" t="str">
        <f>IF(C485="","",C485-WEEKDAY(C485,2)+1)</f>
        <v/>
      </c>
      <c r="AW485" s="29" t="str">
        <f>IF(AV485="","",AV485+6)</f>
        <v/>
      </c>
      <c r="AX485" s="28" t="str">
        <f>IF(AV485="","",TEXT(AV485,"dd/mm/yyyy")&amp;" - "&amp;TEXT(AW485,"dd/mm/yyyy"))</f>
        <v/>
      </c>
      <c r="AY485" s="28" t="str">
        <f>IF(B485="","",COUNTIFS($B$5:B485,B485,$AT$5:AT485,AT485))</f>
        <v/>
      </c>
      <c r="AZ485" s="28" t="str">
        <f>IF(B485="","",COUNTIFS($B$5:B485,B485,$AV$5:AV485,AV485))</f>
        <v/>
      </c>
      <c r="BA485" s="28" t="str">
        <f>IF(B485="","",TEXT(AY485,"00")&amp;"|"&amp;B485&amp;"|"&amp;TEXT(AT485,"yyyymmdd"))</f>
        <v/>
      </c>
      <c r="BB485" s="28" t="str">
        <f>IF(B485="","",TEXT(AZ485,"00")&amp;"|"&amp;B485&amp;"|"&amp;TEXT(AV485,"yyyymmdd"))</f>
        <v/>
      </c>
      <c r="BC485" s="28">
        <f>IF(OR(AQ485="YES",AQ485="Yes",AQ485="Y",AQ485=1),1,0)</f>
        <v>0</v>
      </c>
    </row>
    <row r="486" spans="1:55" ht="15" customHeight="1">
      <c r="A486" s="27"/>
      <c r="B486" s="28"/>
      <c r="C486" s="29"/>
      <c r="D486" s="30"/>
      <c r="E486" s="30"/>
      <c r="F486" s="28"/>
      <c r="G486" s="28"/>
      <c r="H486" s="28"/>
      <c r="I486" s="13"/>
      <c r="J486" s="28"/>
      <c r="K486" s="13"/>
      <c r="L486" s="28"/>
      <c r="M486" s="13"/>
      <c r="N486" s="28"/>
      <c r="O486" s="13"/>
      <c r="P486" s="28"/>
      <c r="Q486" s="20"/>
      <c r="R486" s="28"/>
      <c r="S486" s="20"/>
      <c r="T486" s="28"/>
      <c r="U486" s="13"/>
      <c r="V486" s="28"/>
      <c r="W486" s="13"/>
      <c r="X486" s="28"/>
      <c r="Y486" s="13"/>
      <c r="Z486" s="28"/>
      <c r="AA486" s="13"/>
      <c r="AB486" s="28"/>
      <c r="AC486" s="13"/>
      <c r="AD486" s="28"/>
      <c r="AE486" s="13"/>
      <c r="AF486" s="28"/>
      <c r="AG486" s="13"/>
      <c r="AH486" s="28"/>
      <c r="AI486" s="13"/>
      <c r="AJ486" s="28"/>
      <c r="AK486" s="13"/>
      <c r="AL486" s="28"/>
      <c r="AM486" s="13"/>
      <c r="AN486" s="28"/>
      <c r="AO486" s="13"/>
      <c r="AP486" s="28"/>
      <c r="AQ486" s="13"/>
      <c r="AR486" s="28"/>
      <c r="AS486" s="19">
        <f>SUM(H486,J486,L486,N486,P486,R486,T486,V486,X486,Z486,AB486,AD486,AF486,AH486,AJ486,AL486,AN486)</f>
        <v>0</v>
      </c>
      <c r="AT486" s="29" t="str">
        <f>IF(C486="","",DATE(YEAR(C486),MONTH(C486),1))</f>
        <v/>
      </c>
      <c r="AU486" s="28" t="str">
        <f>IF(AT486="","",TEXT(AT486,"mmmm yyyy"))</f>
        <v/>
      </c>
      <c r="AV486" s="29" t="str">
        <f>IF(C486="","",C486-WEEKDAY(C486,2)+1)</f>
        <v/>
      </c>
      <c r="AW486" s="29" t="str">
        <f>IF(AV486="","",AV486+6)</f>
        <v/>
      </c>
      <c r="AX486" s="28" t="str">
        <f>IF(AV486="","",TEXT(AV486,"dd/mm/yyyy")&amp;" - "&amp;TEXT(AW486,"dd/mm/yyyy"))</f>
        <v/>
      </c>
      <c r="AY486" s="28" t="str">
        <f>IF(B486="","",COUNTIFS($B$5:B486,B486,$AT$5:AT486,AT486))</f>
        <v/>
      </c>
      <c r="AZ486" s="28" t="str">
        <f>IF(B486="","",COUNTIFS($B$5:B486,B486,$AV$5:AV486,AV486))</f>
        <v/>
      </c>
      <c r="BA486" s="28" t="str">
        <f>IF(B486="","",TEXT(AY486,"00")&amp;"|"&amp;B486&amp;"|"&amp;TEXT(AT486,"yyyymmdd"))</f>
        <v/>
      </c>
      <c r="BB486" s="28" t="str">
        <f>IF(B486="","",TEXT(AZ486,"00")&amp;"|"&amp;B486&amp;"|"&amp;TEXT(AV486,"yyyymmdd"))</f>
        <v/>
      </c>
      <c r="BC486" s="28">
        <f>IF(OR(AQ486="YES",AQ486="Yes",AQ486="Y",AQ486=1),1,0)</f>
        <v>0</v>
      </c>
    </row>
    <row r="487" spans="1:55" ht="15" customHeight="1">
      <c r="A487" s="27"/>
      <c r="B487" s="28"/>
      <c r="C487" s="29"/>
      <c r="D487" s="30"/>
      <c r="E487" s="30"/>
      <c r="F487" s="28"/>
      <c r="G487" s="28"/>
      <c r="H487" s="28"/>
      <c r="I487" s="13"/>
      <c r="J487" s="28"/>
      <c r="K487" s="13"/>
      <c r="L487" s="28"/>
      <c r="M487" s="13"/>
      <c r="N487" s="28"/>
      <c r="O487" s="13"/>
      <c r="P487" s="28"/>
      <c r="Q487" s="20"/>
      <c r="R487" s="28"/>
      <c r="S487" s="20"/>
      <c r="T487" s="28"/>
      <c r="U487" s="13"/>
      <c r="V487" s="28"/>
      <c r="W487" s="13"/>
      <c r="X487" s="28"/>
      <c r="Y487" s="13"/>
      <c r="Z487" s="28"/>
      <c r="AA487" s="13"/>
      <c r="AB487" s="28"/>
      <c r="AC487" s="13"/>
      <c r="AD487" s="28"/>
      <c r="AE487" s="13"/>
      <c r="AF487" s="28"/>
      <c r="AG487" s="13"/>
      <c r="AH487" s="28"/>
      <c r="AI487" s="13"/>
      <c r="AJ487" s="28"/>
      <c r="AK487" s="13"/>
      <c r="AL487" s="28"/>
      <c r="AM487" s="13"/>
      <c r="AN487" s="28"/>
      <c r="AO487" s="13"/>
      <c r="AP487" s="28"/>
      <c r="AQ487" s="13"/>
      <c r="AR487" s="28"/>
      <c r="AS487" s="19">
        <f>SUM(H487,J487,L487,N487,P487,R487,T487,V487,X487,Z487,AB487,AD487,AF487,AH487,AJ487,AL487,AN487)</f>
        <v>0</v>
      </c>
      <c r="AT487" s="29" t="str">
        <f>IF(C487="","",DATE(YEAR(C487),MONTH(C487),1))</f>
        <v/>
      </c>
      <c r="AU487" s="28" t="str">
        <f>IF(AT487="","",TEXT(AT487,"mmmm yyyy"))</f>
        <v/>
      </c>
      <c r="AV487" s="29" t="str">
        <f>IF(C487="","",C487-WEEKDAY(C487,2)+1)</f>
        <v/>
      </c>
      <c r="AW487" s="29" t="str">
        <f>IF(AV487="","",AV487+6)</f>
        <v/>
      </c>
      <c r="AX487" s="28" t="str">
        <f>IF(AV487="","",TEXT(AV487,"dd/mm/yyyy")&amp;" - "&amp;TEXT(AW487,"dd/mm/yyyy"))</f>
        <v/>
      </c>
      <c r="AY487" s="28" t="str">
        <f>IF(B487="","",COUNTIFS($B$5:B487,B487,$AT$5:AT487,AT487))</f>
        <v/>
      </c>
      <c r="AZ487" s="28" t="str">
        <f>IF(B487="","",COUNTIFS($B$5:B487,B487,$AV$5:AV487,AV487))</f>
        <v/>
      </c>
      <c r="BA487" s="28" t="str">
        <f>IF(B487="","",TEXT(AY487,"00")&amp;"|"&amp;B487&amp;"|"&amp;TEXT(AT487,"yyyymmdd"))</f>
        <v/>
      </c>
      <c r="BB487" s="28" t="str">
        <f>IF(B487="","",TEXT(AZ487,"00")&amp;"|"&amp;B487&amp;"|"&amp;TEXT(AV487,"yyyymmdd"))</f>
        <v/>
      </c>
      <c r="BC487" s="28">
        <f>IF(OR(AQ487="YES",AQ487="Yes",AQ487="Y",AQ487=1),1,0)</f>
        <v>0</v>
      </c>
    </row>
    <row r="488" spans="1:55" ht="15" customHeight="1">
      <c r="A488" s="27"/>
      <c r="B488" s="28"/>
      <c r="C488" s="29"/>
      <c r="D488" s="30"/>
      <c r="E488" s="30"/>
      <c r="F488" s="28"/>
      <c r="G488" s="28"/>
      <c r="H488" s="28"/>
      <c r="I488" s="13"/>
      <c r="J488" s="28"/>
      <c r="K488" s="13"/>
      <c r="L488" s="28"/>
      <c r="M488" s="13"/>
      <c r="N488" s="28"/>
      <c r="O488" s="13"/>
      <c r="P488" s="28"/>
      <c r="Q488" s="20"/>
      <c r="R488" s="28"/>
      <c r="S488" s="20"/>
      <c r="T488" s="28"/>
      <c r="U488" s="13"/>
      <c r="V488" s="28"/>
      <c r="W488" s="13"/>
      <c r="X488" s="28"/>
      <c r="Y488" s="13"/>
      <c r="Z488" s="28"/>
      <c r="AA488" s="13"/>
      <c r="AB488" s="28"/>
      <c r="AC488" s="13"/>
      <c r="AD488" s="28"/>
      <c r="AE488" s="13"/>
      <c r="AF488" s="28"/>
      <c r="AG488" s="13"/>
      <c r="AH488" s="28"/>
      <c r="AI488" s="13"/>
      <c r="AJ488" s="28"/>
      <c r="AK488" s="13"/>
      <c r="AL488" s="28"/>
      <c r="AM488" s="13"/>
      <c r="AN488" s="28"/>
      <c r="AO488" s="13"/>
      <c r="AP488" s="28"/>
      <c r="AQ488" s="13"/>
      <c r="AR488" s="28"/>
      <c r="AS488" s="19">
        <f>SUM(H488,J488,L488,N488,P488,R488,T488,V488,X488,Z488,AB488,AD488,AF488,AH488,AJ488,AL488,AN488)</f>
        <v>0</v>
      </c>
      <c r="AT488" s="29" t="str">
        <f>IF(C488="","",DATE(YEAR(C488),MONTH(C488),1))</f>
        <v/>
      </c>
      <c r="AU488" s="28" t="str">
        <f>IF(AT488="","",TEXT(AT488,"mmmm yyyy"))</f>
        <v/>
      </c>
      <c r="AV488" s="29" t="str">
        <f>IF(C488="","",C488-WEEKDAY(C488,2)+1)</f>
        <v/>
      </c>
      <c r="AW488" s="29" t="str">
        <f>IF(AV488="","",AV488+6)</f>
        <v/>
      </c>
      <c r="AX488" s="28" t="str">
        <f>IF(AV488="","",TEXT(AV488,"dd/mm/yyyy")&amp;" - "&amp;TEXT(AW488,"dd/mm/yyyy"))</f>
        <v/>
      </c>
      <c r="AY488" s="28" t="str">
        <f>IF(B488="","",COUNTIFS($B$5:B488,B488,$AT$5:AT488,AT488))</f>
        <v/>
      </c>
      <c r="AZ488" s="28" t="str">
        <f>IF(B488="","",COUNTIFS($B$5:B488,B488,$AV$5:AV488,AV488))</f>
        <v/>
      </c>
      <c r="BA488" s="28" t="str">
        <f>IF(B488="","",TEXT(AY488,"00")&amp;"|"&amp;B488&amp;"|"&amp;TEXT(AT488,"yyyymmdd"))</f>
        <v/>
      </c>
      <c r="BB488" s="28" t="str">
        <f>IF(B488="","",TEXT(AZ488,"00")&amp;"|"&amp;B488&amp;"|"&amp;TEXT(AV488,"yyyymmdd"))</f>
        <v/>
      </c>
      <c r="BC488" s="28">
        <f>IF(OR(AQ488="YES",AQ488="Yes",AQ488="Y",AQ488=1),1,0)</f>
        <v>0</v>
      </c>
    </row>
    <row r="489" spans="1:55" ht="15" customHeight="1">
      <c r="A489" s="27"/>
      <c r="B489" s="28"/>
      <c r="C489" s="29"/>
      <c r="D489" s="30"/>
      <c r="E489" s="30"/>
      <c r="F489" s="28"/>
      <c r="G489" s="28"/>
      <c r="H489" s="28"/>
      <c r="I489" s="13"/>
      <c r="J489" s="28"/>
      <c r="K489" s="13"/>
      <c r="L489" s="28"/>
      <c r="M489" s="13"/>
      <c r="N489" s="28"/>
      <c r="O489" s="13"/>
      <c r="P489" s="28"/>
      <c r="Q489" s="20"/>
      <c r="R489" s="28"/>
      <c r="S489" s="20"/>
      <c r="T489" s="28"/>
      <c r="U489" s="13"/>
      <c r="V489" s="28"/>
      <c r="W489" s="13"/>
      <c r="X489" s="28"/>
      <c r="Y489" s="13"/>
      <c r="Z489" s="28"/>
      <c r="AA489" s="13"/>
      <c r="AB489" s="28"/>
      <c r="AC489" s="13"/>
      <c r="AD489" s="28"/>
      <c r="AE489" s="13"/>
      <c r="AF489" s="28"/>
      <c r="AG489" s="13"/>
      <c r="AH489" s="28"/>
      <c r="AI489" s="13"/>
      <c r="AJ489" s="28"/>
      <c r="AK489" s="13"/>
      <c r="AL489" s="28"/>
      <c r="AM489" s="13"/>
      <c r="AN489" s="28"/>
      <c r="AO489" s="13"/>
      <c r="AP489" s="28"/>
      <c r="AQ489" s="13"/>
      <c r="AR489" s="28"/>
      <c r="AS489" s="19">
        <f>SUM(H489,J489,L489,N489,P489,R489,T489,V489,X489,Z489,AB489,AD489,AF489,AH489,AJ489,AL489,AN489)</f>
        <v>0</v>
      </c>
      <c r="AT489" s="29" t="str">
        <f>IF(C489="","",DATE(YEAR(C489),MONTH(C489),1))</f>
        <v/>
      </c>
      <c r="AU489" s="28" t="str">
        <f>IF(AT489="","",TEXT(AT489,"mmmm yyyy"))</f>
        <v/>
      </c>
      <c r="AV489" s="29" t="str">
        <f>IF(C489="","",C489-WEEKDAY(C489,2)+1)</f>
        <v/>
      </c>
      <c r="AW489" s="29" t="str">
        <f>IF(AV489="","",AV489+6)</f>
        <v/>
      </c>
      <c r="AX489" s="28" t="str">
        <f>IF(AV489="","",TEXT(AV489,"dd/mm/yyyy")&amp;" - "&amp;TEXT(AW489,"dd/mm/yyyy"))</f>
        <v/>
      </c>
      <c r="AY489" s="28" t="str">
        <f>IF(B489="","",COUNTIFS($B$5:B489,B489,$AT$5:AT489,AT489))</f>
        <v/>
      </c>
      <c r="AZ489" s="28" t="str">
        <f>IF(B489="","",COUNTIFS($B$5:B489,B489,$AV$5:AV489,AV489))</f>
        <v/>
      </c>
      <c r="BA489" s="28" t="str">
        <f>IF(B489="","",TEXT(AY489,"00")&amp;"|"&amp;B489&amp;"|"&amp;TEXT(AT489,"yyyymmdd"))</f>
        <v/>
      </c>
      <c r="BB489" s="28" t="str">
        <f>IF(B489="","",TEXT(AZ489,"00")&amp;"|"&amp;B489&amp;"|"&amp;TEXT(AV489,"yyyymmdd"))</f>
        <v/>
      </c>
      <c r="BC489" s="28">
        <f>IF(OR(AQ489="YES",AQ489="Yes",AQ489="Y",AQ489=1),1,0)</f>
        <v>0</v>
      </c>
    </row>
    <row r="490" spans="1:55" ht="15" customHeight="1">
      <c r="A490" s="27"/>
      <c r="B490" s="28"/>
      <c r="C490" s="29"/>
      <c r="D490" s="30"/>
      <c r="E490" s="30"/>
      <c r="F490" s="28"/>
      <c r="G490" s="28"/>
      <c r="H490" s="28"/>
      <c r="I490" s="13"/>
      <c r="J490" s="28"/>
      <c r="K490" s="13"/>
      <c r="L490" s="28"/>
      <c r="M490" s="13"/>
      <c r="N490" s="28"/>
      <c r="O490" s="13"/>
      <c r="P490" s="28"/>
      <c r="Q490" s="20"/>
      <c r="R490" s="28"/>
      <c r="S490" s="20"/>
      <c r="T490" s="28"/>
      <c r="U490" s="13"/>
      <c r="V490" s="28"/>
      <c r="W490" s="13"/>
      <c r="X490" s="28"/>
      <c r="Y490" s="13"/>
      <c r="Z490" s="28"/>
      <c r="AA490" s="13"/>
      <c r="AB490" s="28"/>
      <c r="AC490" s="13"/>
      <c r="AD490" s="28"/>
      <c r="AE490" s="13"/>
      <c r="AF490" s="28"/>
      <c r="AG490" s="13"/>
      <c r="AH490" s="28"/>
      <c r="AI490" s="13"/>
      <c r="AJ490" s="28"/>
      <c r="AK490" s="13"/>
      <c r="AL490" s="28"/>
      <c r="AM490" s="13"/>
      <c r="AN490" s="28"/>
      <c r="AO490" s="13"/>
      <c r="AP490" s="28"/>
      <c r="AQ490" s="13"/>
      <c r="AR490" s="28"/>
      <c r="AS490" s="19">
        <f>SUM(H490,J490,L490,N490,P490,R490,T490,V490,X490,Z490,AB490,AD490,AF490,AH490,AJ490,AL490,AN490)</f>
        <v>0</v>
      </c>
      <c r="AT490" s="29" t="str">
        <f>IF(C490="","",DATE(YEAR(C490),MONTH(C490),1))</f>
        <v/>
      </c>
      <c r="AU490" s="28" t="str">
        <f>IF(AT490="","",TEXT(AT490,"mmmm yyyy"))</f>
        <v/>
      </c>
      <c r="AV490" s="29" t="str">
        <f>IF(C490="","",C490-WEEKDAY(C490,2)+1)</f>
        <v/>
      </c>
      <c r="AW490" s="29" t="str">
        <f>IF(AV490="","",AV490+6)</f>
        <v/>
      </c>
      <c r="AX490" s="28" t="str">
        <f>IF(AV490="","",TEXT(AV490,"dd/mm/yyyy")&amp;" - "&amp;TEXT(AW490,"dd/mm/yyyy"))</f>
        <v/>
      </c>
      <c r="AY490" s="28" t="str">
        <f>IF(B490="","",COUNTIFS($B$5:B490,B490,$AT$5:AT490,AT490))</f>
        <v/>
      </c>
      <c r="AZ490" s="28" t="str">
        <f>IF(B490="","",COUNTIFS($B$5:B490,B490,$AV$5:AV490,AV490))</f>
        <v/>
      </c>
      <c r="BA490" s="28" t="str">
        <f>IF(B490="","",TEXT(AY490,"00")&amp;"|"&amp;B490&amp;"|"&amp;TEXT(AT490,"yyyymmdd"))</f>
        <v/>
      </c>
      <c r="BB490" s="28" t="str">
        <f>IF(B490="","",TEXT(AZ490,"00")&amp;"|"&amp;B490&amp;"|"&amp;TEXT(AV490,"yyyymmdd"))</f>
        <v/>
      </c>
      <c r="BC490" s="28">
        <f>IF(OR(AQ490="YES",AQ490="Yes",AQ490="Y",AQ490=1),1,0)</f>
        <v>0</v>
      </c>
    </row>
    <row r="491" spans="1:55" ht="15" customHeight="1">
      <c r="A491" s="27"/>
      <c r="B491" s="28"/>
      <c r="C491" s="29"/>
      <c r="D491" s="30"/>
      <c r="E491" s="30"/>
      <c r="F491" s="28"/>
      <c r="G491" s="28"/>
      <c r="H491" s="28"/>
      <c r="I491" s="13"/>
      <c r="J491" s="28"/>
      <c r="K491" s="13"/>
      <c r="L491" s="28"/>
      <c r="M491" s="13"/>
      <c r="N491" s="28"/>
      <c r="O491" s="13"/>
      <c r="P491" s="28"/>
      <c r="Q491" s="20"/>
      <c r="R491" s="28"/>
      <c r="S491" s="20"/>
      <c r="T491" s="28"/>
      <c r="U491" s="13"/>
      <c r="V491" s="28"/>
      <c r="W491" s="13"/>
      <c r="X491" s="28"/>
      <c r="Y491" s="13"/>
      <c r="Z491" s="28"/>
      <c r="AA491" s="13"/>
      <c r="AB491" s="28"/>
      <c r="AC491" s="13"/>
      <c r="AD491" s="28"/>
      <c r="AE491" s="13"/>
      <c r="AF491" s="28"/>
      <c r="AG491" s="13"/>
      <c r="AH491" s="28"/>
      <c r="AI491" s="13"/>
      <c r="AJ491" s="28"/>
      <c r="AK491" s="13"/>
      <c r="AL491" s="28"/>
      <c r="AM491" s="13"/>
      <c r="AN491" s="28"/>
      <c r="AO491" s="13"/>
      <c r="AP491" s="28"/>
      <c r="AQ491" s="13"/>
      <c r="AR491" s="28"/>
      <c r="AS491" s="19">
        <f>SUM(H491,J491,L491,N491,P491,R491,T491,V491,X491,Z491,AB491,AD491,AF491,AH491,AJ491,AL491,AN491)</f>
        <v>0</v>
      </c>
      <c r="AT491" s="29" t="str">
        <f>IF(C491="","",DATE(YEAR(C491),MONTH(C491),1))</f>
        <v/>
      </c>
      <c r="AU491" s="28" t="str">
        <f>IF(AT491="","",TEXT(AT491,"mmmm yyyy"))</f>
        <v/>
      </c>
      <c r="AV491" s="29" t="str">
        <f>IF(C491="","",C491-WEEKDAY(C491,2)+1)</f>
        <v/>
      </c>
      <c r="AW491" s="29" t="str">
        <f>IF(AV491="","",AV491+6)</f>
        <v/>
      </c>
      <c r="AX491" s="28" t="str">
        <f>IF(AV491="","",TEXT(AV491,"dd/mm/yyyy")&amp;" - "&amp;TEXT(AW491,"dd/mm/yyyy"))</f>
        <v/>
      </c>
      <c r="AY491" s="28" t="str">
        <f>IF(B491="","",COUNTIFS($B$5:B491,B491,$AT$5:AT491,AT491))</f>
        <v/>
      </c>
      <c r="AZ491" s="28" t="str">
        <f>IF(B491="","",COUNTIFS($B$5:B491,B491,$AV$5:AV491,AV491))</f>
        <v/>
      </c>
      <c r="BA491" s="28" t="str">
        <f>IF(B491="","",TEXT(AY491,"00")&amp;"|"&amp;B491&amp;"|"&amp;TEXT(AT491,"yyyymmdd"))</f>
        <v/>
      </c>
      <c r="BB491" s="28" t="str">
        <f>IF(B491="","",TEXT(AZ491,"00")&amp;"|"&amp;B491&amp;"|"&amp;TEXT(AV491,"yyyymmdd"))</f>
        <v/>
      </c>
      <c r="BC491" s="28">
        <f>IF(OR(AQ491="YES",AQ491="Yes",AQ491="Y",AQ491=1),1,0)</f>
        <v>0</v>
      </c>
    </row>
    <row r="492" spans="1:55" ht="15" customHeight="1">
      <c r="A492" s="27"/>
      <c r="B492" s="28"/>
      <c r="C492" s="29"/>
      <c r="D492" s="30"/>
      <c r="E492" s="30"/>
      <c r="F492" s="28"/>
      <c r="G492" s="28"/>
      <c r="H492" s="28"/>
      <c r="I492" s="13"/>
      <c r="J492" s="28"/>
      <c r="K492" s="13"/>
      <c r="L492" s="28"/>
      <c r="M492" s="13"/>
      <c r="N492" s="28"/>
      <c r="O492" s="13"/>
      <c r="P492" s="28"/>
      <c r="Q492" s="20"/>
      <c r="R492" s="28"/>
      <c r="S492" s="20"/>
      <c r="T492" s="28"/>
      <c r="U492" s="13"/>
      <c r="V492" s="28"/>
      <c r="W492" s="13"/>
      <c r="X492" s="28"/>
      <c r="Y492" s="13"/>
      <c r="Z492" s="28"/>
      <c r="AA492" s="13"/>
      <c r="AB492" s="28"/>
      <c r="AC492" s="13"/>
      <c r="AD492" s="28"/>
      <c r="AE492" s="13"/>
      <c r="AF492" s="28"/>
      <c r="AG492" s="13"/>
      <c r="AH492" s="28"/>
      <c r="AI492" s="13"/>
      <c r="AJ492" s="28"/>
      <c r="AK492" s="13"/>
      <c r="AL492" s="28"/>
      <c r="AM492" s="13"/>
      <c r="AN492" s="28"/>
      <c r="AO492" s="13"/>
      <c r="AP492" s="28"/>
      <c r="AQ492" s="13"/>
      <c r="AR492" s="28"/>
      <c r="AS492" s="19">
        <f>SUM(H492,J492,L492,N492,P492,R492,T492,V492,X492,Z492,AB492,AD492,AF492,AH492,AJ492,AL492,AN492)</f>
        <v>0</v>
      </c>
      <c r="AT492" s="29" t="str">
        <f>IF(C492="","",DATE(YEAR(C492),MONTH(C492),1))</f>
        <v/>
      </c>
      <c r="AU492" s="28" t="str">
        <f>IF(AT492="","",TEXT(AT492,"mmmm yyyy"))</f>
        <v/>
      </c>
      <c r="AV492" s="29" t="str">
        <f>IF(C492="","",C492-WEEKDAY(C492,2)+1)</f>
        <v/>
      </c>
      <c r="AW492" s="29" t="str">
        <f>IF(AV492="","",AV492+6)</f>
        <v/>
      </c>
      <c r="AX492" s="28" t="str">
        <f>IF(AV492="","",TEXT(AV492,"dd/mm/yyyy")&amp;" - "&amp;TEXT(AW492,"dd/mm/yyyy"))</f>
        <v/>
      </c>
      <c r="AY492" s="28" t="str">
        <f>IF(B492="","",COUNTIFS($B$5:B492,B492,$AT$5:AT492,AT492))</f>
        <v/>
      </c>
      <c r="AZ492" s="28" t="str">
        <f>IF(B492="","",COUNTIFS($B$5:B492,B492,$AV$5:AV492,AV492))</f>
        <v/>
      </c>
      <c r="BA492" s="28" t="str">
        <f>IF(B492="","",TEXT(AY492,"00")&amp;"|"&amp;B492&amp;"|"&amp;TEXT(AT492,"yyyymmdd"))</f>
        <v/>
      </c>
      <c r="BB492" s="28" t="str">
        <f>IF(B492="","",TEXT(AZ492,"00")&amp;"|"&amp;B492&amp;"|"&amp;TEXT(AV492,"yyyymmdd"))</f>
        <v/>
      </c>
      <c r="BC492" s="28">
        <f>IF(OR(AQ492="YES",AQ492="Yes",AQ492="Y",AQ492=1),1,0)</f>
        <v>0</v>
      </c>
    </row>
    <row r="493" spans="1:55" ht="15" customHeight="1">
      <c r="A493" s="27"/>
      <c r="B493" s="28"/>
      <c r="C493" s="29"/>
      <c r="D493" s="30"/>
      <c r="E493" s="30"/>
      <c r="F493" s="28"/>
      <c r="G493" s="28"/>
      <c r="H493" s="28"/>
      <c r="I493" s="13"/>
      <c r="J493" s="28"/>
      <c r="K493" s="13"/>
      <c r="L493" s="28"/>
      <c r="M493" s="13"/>
      <c r="N493" s="28"/>
      <c r="O493" s="13"/>
      <c r="P493" s="28"/>
      <c r="Q493" s="20"/>
      <c r="R493" s="28"/>
      <c r="S493" s="20"/>
      <c r="T493" s="28"/>
      <c r="U493" s="13"/>
      <c r="V493" s="28"/>
      <c r="W493" s="13"/>
      <c r="X493" s="28"/>
      <c r="Y493" s="13"/>
      <c r="Z493" s="28"/>
      <c r="AA493" s="13"/>
      <c r="AB493" s="28"/>
      <c r="AC493" s="13"/>
      <c r="AD493" s="28"/>
      <c r="AE493" s="13"/>
      <c r="AF493" s="28"/>
      <c r="AG493" s="13"/>
      <c r="AH493" s="28"/>
      <c r="AI493" s="13"/>
      <c r="AJ493" s="28"/>
      <c r="AK493" s="13"/>
      <c r="AL493" s="28"/>
      <c r="AM493" s="13"/>
      <c r="AN493" s="28"/>
      <c r="AO493" s="13"/>
      <c r="AP493" s="28"/>
      <c r="AQ493" s="13"/>
      <c r="AR493" s="28"/>
      <c r="AS493" s="19">
        <f>SUM(H493,J493,L493,N493,P493,R493,T493,V493,X493,Z493,AB493,AD493,AF493,AH493,AJ493,AL493,AN493)</f>
        <v>0</v>
      </c>
      <c r="AT493" s="29" t="str">
        <f>IF(C493="","",DATE(YEAR(C493),MONTH(C493),1))</f>
        <v/>
      </c>
      <c r="AU493" s="28" t="str">
        <f>IF(AT493="","",TEXT(AT493,"mmmm yyyy"))</f>
        <v/>
      </c>
      <c r="AV493" s="29" t="str">
        <f>IF(C493="","",C493-WEEKDAY(C493,2)+1)</f>
        <v/>
      </c>
      <c r="AW493" s="29" t="str">
        <f>IF(AV493="","",AV493+6)</f>
        <v/>
      </c>
      <c r="AX493" s="28" t="str">
        <f>IF(AV493="","",TEXT(AV493,"dd/mm/yyyy")&amp;" - "&amp;TEXT(AW493,"dd/mm/yyyy"))</f>
        <v/>
      </c>
      <c r="AY493" s="28" t="str">
        <f>IF(B493="","",COUNTIFS($B$5:B493,B493,$AT$5:AT493,AT493))</f>
        <v/>
      </c>
      <c r="AZ493" s="28" t="str">
        <f>IF(B493="","",COUNTIFS($B$5:B493,B493,$AV$5:AV493,AV493))</f>
        <v/>
      </c>
      <c r="BA493" s="28" t="str">
        <f>IF(B493="","",TEXT(AY493,"00")&amp;"|"&amp;B493&amp;"|"&amp;TEXT(AT493,"yyyymmdd"))</f>
        <v/>
      </c>
      <c r="BB493" s="28" t="str">
        <f>IF(B493="","",TEXT(AZ493,"00")&amp;"|"&amp;B493&amp;"|"&amp;TEXT(AV493,"yyyymmdd"))</f>
        <v/>
      </c>
      <c r="BC493" s="28">
        <f>IF(OR(AQ493="YES",AQ493="Yes",AQ493="Y",AQ493=1),1,0)</f>
        <v>0</v>
      </c>
    </row>
    <row r="494" spans="1:55" ht="15" customHeight="1">
      <c r="A494" s="27"/>
      <c r="B494" s="28"/>
      <c r="C494" s="29"/>
      <c r="D494" s="30"/>
      <c r="E494" s="30"/>
      <c r="F494" s="28"/>
      <c r="G494" s="28"/>
      <c r="H494" s="28"/>
      <c r="I494" s="13"/>
      <c r="J494" s="28"/>
      <c r="K494" s="13"/>
      <c r="L494" s="28"/>
      <c r="M494" s="13"/>
      <c r="N494" s="28"/>
      <c r="O494" s="13"/>
      <c r="P494" s="28"/>
      <c r="Q494" s="20"/>
      <c r="R494" s="28"/>
      <c r="S494" s="20"/>
      <c r="T494" s="28"/>
      <c r="U494" s="13"/>
      <c r="V494" s="28"/>
      <c r="W494" s="13"/>
      <c r="X494" s="28"/>
      <c r="Y494" s="13"/>
      <c r="Z494" s="28"/>
      <c r="AA494" s="13"/>
      <c r="AB494" s="28"/>
      <c r="AC494" s="13"/>
      <c r="AD494" s="28"/>
      <c r="AE494" s="13"/>
      <c r="AF494" s="28"/>
      <c r="AG494" s="13"/>
      <c r="AH494" s="28"/>
      <c r="AI494" s="13"/>
      <c r="AJ494" s="28"/>
      <c r="AK494" s="13"/>
      <c r="AL494" s="28"/>
      <c r="AM494" s="13"/>
      <c r="AN494" s="28"/>
      <c r="AO494" s="13"/>
      <c r="AP494" s="28"/>
      <c r="AQ494" s="13"/>
      <c r="AR494" s="28"/>
      <c r="AS494" s="19">
        <f>SUM(H494,J494,L494,N494,P494,R494,T494,V494,X494,Z494,AB494,AD494,AF494,AH494,AJ494,AL494,AN494)</f>
        <v>0</v>
      </c>
      <c r="AT494" s="29" t="str">
        <f>IF(C494="","",DATE(YEAR(C494),MONTH(C494),1))</f>
        <v/>
      </c>
      <c r="AU494" s="28" t="str">
        <f>IF(AT494="","",TEXT(AT494,"mmmm yyyy"))</f>
        <v/>
      </c>
      <c r="AV494" s="29" t="str">
        <f>IF(C494="","",C494-WEEKDAY(C494,2)+1)</f>
        <v/>
      </c>
      <c r="AW494" s="29" t="str">
        <f>IF(AV494="","",AV494+6)</f>
        <v/>
      </c>
      <c r="AX494" s="28" t="str">
        <f>IF(AV494="","",TEXT(AV494,"dd/mm/yyyy")&amp;" - "&amp;TEXT(AW494,"dd/mm/yyyy"))</f>
        <v/>
      </c>
      <c r="AY494" s="28" t="str">
        <f>IF(B494="","",COUNTIFS($B$5:B494,B494,$AT$5:AT494,AT494))</f>
        <v/>
      </c>
      <c r="AZ494" s="28" t="str">
        <f>IF(B494="","",COUNTIFS($B$5:B494,B494,$AV$5:AV494,AV494))</f>
        <v/>
      </c>
      <c r="BA494" s="28" t="str">
        <f>IF(B494="","",TEXT(AY494,"00")&amp;"|"&amp;B494&amp;"|"&amp;TEXT(AT494,"yyyymmdd"))</f>
        <v/>
      </c>
      <c r="BB494" s="28" t="str">
        <f>IF(B494="","",TEXT(AZ494,"00")&amp;"|"&amp;B494&amp;"|"&amp;TEXT(AV494,"yyyymmdd"))</f>
        <v/>
      </c>
      <c r="BC494" s="28">
        <f>IF(OR(AQ494="YES",AQ494="Yes",AQ494="Y",AQ494=1),1,0)</f>
        <v>0</v>
      </c>
    </row>
    <row r="495" spans="1:55" ht="15" customHeight="1">
      <c r="A495" s="27"/>
      <c r="B495" s="28"/>
      <c r="C495" s="29"/>
      <c r="D495" s="30"/>
      <c r="E495" s="30"/>
      <c r="F495" s="28"/>
      <c r="G495" s="28"/>
      <c r="H495" s="28"/>
      <c r="I495" s="13"/>
      <c r="J495" s="28"/>
      <c r="K495" s="13"/>
      <c r="L495" s="28"/>
      <c r="M495" s="13"/>
      <c r="N495" s="28"/>
      <c r="O495" s="13"/>
      <c r="P495" s="28"/>
      <c r="Q495" s="20"/>
      <c r="R495" s="28"/>
      <c r="S495" s="20"/>
      <c r="T495" s="28"/>
      <c r="U495" s="13"/>
      <c r="V495" s="28"/>
      <c r="W495" s="13"/>
      <c r="X495" s="28"/>
      <c r="Y495" s="13"/>
      <c r="Z495" s="28"/>
      <c r="AA495" s="13"/>
      <c r="AB495" s="28"/>
      <c r="AC495" s="13"/>
      <c r="AD495" s="28"/>
      <c r="AE495" s="13"/>
      <c r="AF495" s="28"/>
      <c r="AG495" s="13"/>
      <c r="AH495" s="28"/>
      <c r="AI495" s="13"/>
      <c r="AJ495" s="28"/>
      <c r="AK495" s="13"/>
      <c r="AL495" s="28"/>
      <c r="AM495" s="13"/>
      <c r="AN495" s="28"/>
      <c r="AO495" s="13"/>
      <c r="AP495" s="28"/>
      <c r="AQ495" s="13"/>
      <c r="AR495" s="28"/>
      <c r="AS495" s="19">
        <f>SUM(H495,J495,L495,N495,P495,R495,T495,V495,X495,Z495,AB495,AD495,AF495,AH495,AJ495,AL495,AN495)</f>
        <v>0</v>
      </c>
      <c r="AT495" s="29" t="str">
        <f>IF(C495="","",DATE(YEAR(C495),MONTH(C495),1))</f>
        <v/>
      </c>
      <c r="AU495" s="28" t="str">
        <f>IF(AT495="","",TEXT(AT495,"mmmm yyyy"))</f>
        <v/>
      </c>
      <c r="AV495" s="29" t="str">
        <f>IF(C495="","",C495-WEEKDAY(C495,2)+1)</f>
        <v/>
      </c>
      <c r="AW495" s="29" t="str">
        <f>IF(AV495="","",AV495+6)</f>
        <v/>
      </c>
      <c r="AX495" s="28" t="str">
        <f>IF(AV495="","",TEXT(AV495,"dd/mm/yyyy")&amp;" - "&amp;TEXT(AW495,"dd/mm/yyyy"))</f>
        <v/>
      </c>
      <c r="AY495" s="28" t="str">
        <f>IF(B495="","",COUNTIFS($B$5:B495,B495,$AT$5:AT495,AT495))</f>
        <v/>
      </c>
      <c r="AZ495" s="28" t="str">
        <f>IF(B495="","",COUNTIFS($B$5:B495,B495,$AV$5:AV495,AV495))</f>
        <v/>
      </c>
      <c r="BA495" s="28" t="str">
        <f>IF(B495="","",TEXT(AY495,"00")&amp;"|"&amp;B495&amp;"|"&amp;TEXT(AT495,"yyyymmdd"))</f>
        <v/>
      </c>
      <c r="BB495" s="28" t="str">
        <f>IF(B495="","",TEXT(AZ495,"00")&amp;"|"&amp;B495&amp;"|"&amp;TEXT(AV495,"yyyymmdd"))</f>
        <v/>
      </c>
      <c r="BC495" s="28">
        <f>IF(OR(AQ495="YES",AQ495="Yes",AQ495="Y",AQ495=1),1,0)</f>
        <v>0</v>
      </c>
    </row>
    <row r="496" spans="1:55" ht="15" customHeight="1">
      <c r="A496" s="27"/>
      <c r="B496" s="28"/>
      <c r="C496" s="29"/>
      <c r="D496" s="30"/>
      <c r="E496" s="30"/>
      <c r="F496" s="28"/>
      <c r="G496" s="28"/>
      <c r="H496" s="28"/>
      <c r="I496" s="13"/>
      <c r="J496" s="28"/>
      <c r="K496" s="13"/>
      <c r="L496" s="28"/>
      <c r="M496" s="13"/>
      <c r="N496" s="28"/>
      <c r="O496" s="13"/>
      <c r="P496" s="28"/>
      <c r="Q496" s="20"/>
      <c r="R496" s="28"/>
      <c r="S496" s="20"/>
      <c r="T496" s="28"/>
      <c r="U496" s="13"/>
      <c r="V496" s="28"/>
      <c r="W496" s="13"/>
      <c r="X496" s="28"/>
      <c r="Y496" s="13"/>
      <c r="Z496" s="28"/>
      <c r="AA496" s="13"/>
      <c r="AB496" s="28"/>
      <c r="AC496" s="13"/>
      <c r="AD496" s="28"/>
      <c r="AE496" s="13"/>
      <c r="AF496" s="28"/>
      <c r="AG496" s="13"/>
      <c r="AH496" s="28"/>
      <c r="AI496" s="13"/>
      <c r="AJ496" s="28"/>
      <c r="AK496" s="13"/>
      <c r="AL496" s="28"/>
      <c r="AM496" s="13"/>
      <c r="AN496" s="28"/>
      <c r="AO496" s="13"/>
      <c r="AP496" s="28"/>
      <c r="AQ496" s="13"/>
      <c r="AR496" s="28"/>
      <c r="AS496" s="19">
        <f>SUM(H496,J496,L496,N496,P496,R496,T496,V496,X496,Z496,AB496,AD496,AF496,AH496,AJ496,AL496,AN496)</f>
        <v>0</v>
      </c>
      <c r="AT496" s="29" t="str">
        <f>IF(C496="","",DATE(YEAR(C496),MONTH(C496),1))</f>
        <v/>
      </c>
      <c r="AU496" s="28" t="str">
        <f>IF(AT496="","",TEXT(AT496,"mmmm yyyy"))</f>
        <v/>
      </c>
      <c r="AV496" s="29" t="str">
        <f>IF(C496="","",C496-WEEKDAY(C496,2)+1)</f>
        <v/>
      </c>
      <c r="AW496" s="29" t="str">
        <f>IF(AV496="","",AV496+6)</f>
        <v/>
      </c>
      <c r="AX496" s="28" t="str">
        <f>IF(AV496="","",TEXT(AV496,"dd/mm/yyyy")&amp;" - "&amp;TEXT(AW496,"dd/mm/yyyy"))</f>
        <v/>
      </c>
      <c r="AY496" s="28" t="str">
        <f>IF(B496="","",COUNTIFS($B$5:B496,B496,$AT$5:AT496,AT496))</f>
        <v/>
      </c>
      <c r="AZ496" s="28" t="str">
        <f>IF(B496="","",COUNTIFS($B$5:B496,B496,$AV$5:AV496,AV496))</f>
        <v/>
      </c>
      <c r="BA496" s="28" t="str">
        <f>IF(B496="","",TEXT(AY496,"00")&amp;"|"&amp;B496&amp;"|"&amp;TEXT(AT496,"yyyymmdd"))</f>
        <v/>
      </c>
      <c r="BB496" s="28" t="str">
        <f>IF(B496="","",TEXT(AZ496,"00")&amp;"|"&amp;B496&amp;"|"&amp;TEXT(AV496,"yyyymmdd"))</f>
        <v/>
      </c>
      <c r="BC496" s="28">
        <f>IF(OR(AQ496="YES",AQ496="Yes",AQ496="Y",AQ496=1),1,0)</f>
        <v>0</v>
      </c>
    </row>
    <row r="497" spans="1:55" ht="15" customHeight="1">
      <c r="A497" s="27"/>
      <c r="B497" s="28"/>
      <c r="C497" s="29"/>
      <c r="D497" s="30"/>
      <c r="E497" s="30"/>
      <c r="F497" s="28"/>
      <c r="G497" s="28"/>
      <c r="H497" s="28"/>
      <c r="I497" s="13"/>
      <c r="J497" s="28"/>
      <c r="K497" s="13"/>
      <c r="L497" s="28"/>
      <c r="M497" s="13"/>
      <c r="N497" s="28"/>
      <c r="O497" s="13"/>
      <c r="P497" s="28"/>
      <c r="Q497" s="20"/>
      <c r="R497" s="28"/>
      <c r="S497" s="20"/>
      <c r="T497" s="28"/>
      <c r="U497" s="13"/>
      <c r="V497" s="28"/>
      <c r="W497" s="13"/>
      <c r="X497" s="28"/>
      <c r="Y497" s="13"/>
      <c r="Z497" s="28"/>
      <c r="AA497" s="13"/>
      <c r="AB497" s="28"/>
      <c r="AC497" s="13"/>
      <c r="AD497" s="28"/>
      <c r="AE497" s="13"/>
      <c r="AF497" s="28"/>
      <c r="AG497" s="13"/>
      <c r="AH497" s="28"/>
      <c r="AI497" s="13"/>
      <c r="AJ497" s="28"/>
      <c r="AK497" s="13"/>
      <c r="AL497" s="28"/>
      <c r="AM497" s="13"/>
      <c r="AN497" s="28"/>
      <c r="AO497" s="13"/>
      <c r="AP497" s="28"/>
      <c r="AQ497" s="13"/>
      <c r="AR497" s="28"/>
      <c r="AS497" s="19">
        <f>SUM(H497,J497,L497,N497,P497,R497,T497,V497,X497,Z497,AB497,AD497,AF497,AH497,AJ497,AL497,AN497)</f>
        <v>0</v>
      </c>
      <c r="AT497" s="29" t="str">
        <f>IF(C497="","",DATE(YEAR(C497),MONTH(C497),1))</f>
        <v/>
      </c>
      <c r="AU497" s="28" t="str">
        <f>IF(AT497="","",TEXT(AT497,"mmmm yyyy"))</f>
        <v/>
      </c>
      <c r="AV497" s="29" t="str">
        <f>IF(C497="","",C497-WEEKDAY(C497,2)+1)</f>
        <v/>
      </c>
      <c r="AW497" s="29" t="str">
        <f>IF(AV497="","",AV497+6)</f>
        <v/>
      </c>
      <c r="AX497" s="28" t="str">
        <f>IF(AV497="","",TEXT(AV497,"dd/mm/yyyy")&amp;" - "&amp;TEXT(AW497,"dd/mm/yyyy"))</f>
        <v/>
      </c>
      <c r="AY497" s="28" t="str">
        <f>IF(B497="","",COUNTIFS($B$5:B497,B497,$AT$5:AT497,AT497))</f>
        <v/>
      </c>
      <c r="AZ497" s="28" t="str">
        <f>IF(B497="","",COUNTIFS($B$5:B497,B497,$AV$5:AV497,AV497))</f>
        <v/>
      </c>
      <c r="BA497" s="28" t="str">
        <f>IF(B497="","",TEXT(AY497,"00")&amp;"|"&amp;B497&amp;"|"&amp;TEXT(AT497,"yyyymmdd"))</f>
        <v/>
      </c>
      <c r="BB497" s="28" t="str">
        <f>IF(B497="","",TEXT(AZ497,"00")&amp;"|"&amp;B497&amp;"|"&amp;TEXT(AV497,"yyyymmdd"))</f>
        <v/>
      </c>
      <c r="BC497" s="28">
        <f>IF(OR(AQ497="YES",AQ497="Yes",AQ497="Y",AQ497=1),1,0)</f>
        <v>0</v>
      </c>
    </row>
    <row r="498" spans="1:55" ht="15" customHeight="1">
      <c r="A498" s="27"/>
      <c r="B498" s="28"/>
      <c r="C498" s="29"/>
      <c r="D498" s="30"/>
      <c r="E498" s="30"/>
      <c r="F498" s="28"/>
      <c r="G498" s="28"/>
      <c r="H498" s="28"/>
      <c r="I498" s="13"/>
      <c r="J498" s="28"/>
      <c r="K498" s="13"/>
      <c r="L498" s="28"/>
      <c r="M498" s="13"/>
      <c r="N498" s="28"/>
      <c r="O498" s="13"/>
      <c r="P498" s="28"/>
      <c r="Q498" s="20"/>
      <c r="R498" s="28"/>
      <c r="S498" s="20"/>
      <c r="T498" s="28"/>
      <c r="U498" s="13"/>
      <c r="V498" s="28"/>
      <c r="W498" s="13"/>
      <c r="X498" s="28"/>
      <c r="Y498" s="13"/>
      <c r="Z498" s="28"/>
      <c r="AA498" s="13"/>
      <c r="AB498" s="28"/>
      <c r="AC498" s="13"/>
      <c r="AD498" s="28"/>
      <c r="AE498" s="13"/>
      <c r="AF498" s="28"/>
      <c r="AG498" s="13"/>
      <c r="AH498" s="28"/>
      <c r="AI498" s="13"/>
      <c r="AJ498" s="28"/>
      <c r="AK498" s="13"/>
      <c r="AL498" s="28"/>
      <c r="AM498" s="13"/>
      <c r="AN498" s="28"/>
      <c r="AO498" s="13"/>
      <c r="AP498" s="28"/>
      <c r="AQ498" s="13"/>
      <c r="AR498" s="28"/>
      <c r="AS498" s="19">
        <f>SUM(H498,J498,L498,N498,P498,R498,T498,V498,X498,Z498,AB498,AD498,AF498,AH498,AJ498,AL498,AN498)</f>
        <v>0</v>
      </c>
      <c r="AT498" s="29" t="str">
        <f>IF(C498="","",DATE(YEAR(C498),MONTH(C498),1))</f>
        <v/>
      </c>
      <c r="AU498" s="28" t="str">
        <f>IF(AT498="","",TEXT(AT498,"mmmm yyyy"))</f>
        <v/>
      </c>
      <c r="AV498" s="29" t="str">
        <f>IF(C498="","",C498-WEEKDAY(C498,2)+1)</f>
        <v/>
      </c>
      <c r="AW498" s="29" t="str">
        <f>IF(AV498="","",AV498+6)</f>
        <v/>
      </c>
      <c r="AX498" s="28" t="str">
        <f>IF(AV498="","",TEXT(AV498,"dd/mm/yyyy")&amp;" - "&amp;TEXT(AW498,"dd/mm/yyyy"))</f>
        <v/>
      </c>
      <c r="AY498" s="28" t="str">
        <f>IF(B498="","",COUNTIFS($B$5:B498,B498,$AT$5:AT498,AT498))</f>
        <v/>
      </c>
      <c r="AZ498" s="28" t="str">
        <f>IF(B498="","",COUNTIFS($B$5:B498,B498,$AV$5:AV498,AV498))</f>
        <v/>
      </c>
      <c r="BA498" s="28" t="str">
        <f>IF(B498="","",TEXT(AY498,"00")&amp;"|"&amp;B498&amp;"|"&amp;TEXT(AT498,"yyyymmdd"))</f>
        <v/>
      </c>
      <c r="BB498" s="28" t="str">
        <f>IF(B498="","",TEXT(AZ498,"00")&amp;"|"&amp;B498&amp;"|"&amp;TEXT(AV498,"yyyymmdd"))</f>
        <v/>
      </c>
      <c r="BC498" s="28">
        <f>IF(OR(AQ498="YES",AQ498="Yes",AQ498="Y",AQ498=1),1,0)</f>
        <v>0</v>
      </c>
    </row>
    <row r="499" spans="1:55" ht="15" customHeight="1">
      <c r="A499" s="27"/>
      <c r="B499" s="28"/>
      <c r="C499" s="29"/>
      <c r="D499" s="30"/>
      <c r="E499" s="30"/>
      <c r="F499" s="28"/>
      <c r="G499" s="28"/>
      <c r="H499" s="28"/>
      <c r="I499" s="13"/>
      <c r="J499" s="28"/>
      <c r="K499" s="13"/>
      <c r="L499" s="28"/>
      <c r="M499" s="13"/>
      <c r="N499" s="28"/>
      <c r="O499" s="13"/>
      <c r="P499" s="28"/>
      <c r="Q499" s="20"/>
      <c r="R499" s="28"/>
      <c r="S499" s="20"/>
      <c r="T499" s="28"/>
      <c r="U499" s="13"/>
      <c r="V499" s="28"/>
      <c r="W499" s="13"/>
      <c r="X499" s="28"/>
      <c r="Y499" s="13"/>
      <c r="Z499" s="28"/>
      <c r="AA499" s="13"/>
      <c r="AB499" s="28"/>
      <c r="AC499" s="13"/>
      <c r="AD499" s="28"/>
      <c r="AE499" s="13"/>
      <c r="AF499" s="28"/>
      <c r="AG499" s="13"/>
      <c r="AH499" s="28"/>
      <c r="AI499" s="13"/>
      <c r="AJ499" s="28"/>
      <c r="AK499" s="13"/>
      <c r="AL499" s="28"/>
      <c r="AM499" s="13"/>
      <c r="AN499" s="28"/>
      <c r="AO499" s="13"/>
      <c r="AP499" s="28"/>
      <c r="AQ499" s="13"/>
      <c r="AR499" s="28"/>
      <c r="AS499" s="19">
        <f>SUM(H499,J499,L499,N499,P499,R499,T499,V499,X499,Z499,AB499,AD499,AF499,AH499,AJ499,AL499,AN499)</f>
        <v>0</v>
      </c>
      <c r="AT499" s="29" t="str">
        <f>IF(C499="","",DATE(YEAR(C499),MONTH(C499),1))</f>
        <v/>
      </c>
      <c r="AU499" s="28" t="str">
        <f>IF(AT499="","",TEXT(AT499,"mmmm yyyy"))</f>
        <v/>
      </c>
      <c r="AV499" s="29" t="str">
        <f>IF(C499="","",C499-WEEKDAY(C499,2)+1)</f>
        <v/>
      </c>
      <c r="AW499" s="29" t="str">
        <f>IF(AV499="","",AV499+6)</f>
        <v/>
      </c>
      <c r="AX499" s="28" t="str">
        <f>IF(AV499="","",TEXT(AV499,"dd/mm/yyyy")&amp;" - "&amp;TEXT(AW499,"dd/mm/yyyy"))</f>
        <v/>
      </c>
      <c r="AY499" s="28" t="str">
        <f>IF(B499="","",COUNTIFS($B$5:B499,B499,$AT$5:AT499,AT499))</f>
        <v/>
      </c>
      <c r="AZ499" s="28" t="str">
        <f>IF(B499="","",COUNTIFS($B$5:B499,B499,$AV$5:AV499,AV499))</f>
        <v/>
      </c>
      <c r="BA499" s="28" t="str">
        <f>IF(B499="","",TEXT(AY499,"00")&amp;"|"&amp;B499&amp;"|"&amp;TEXT(AT499,"yyyymmdd"))</f>
        <v/>
      </c>
      <c r="BB499" s="28" t="str">
        <f>IF(B499="","",TEXT(AZ499,"00")&amp;"|"&amp;B499&amp;"|"&amp;TEXT(AV499,"yyyymmdd"))</f>
        <v/>
      </c>
      <c r="BC499" s="28">
        <f>IF(OR(AQ499="YES",AQ499="Yes",AQ499="Y",AQ499=1),1,0)</f>
        <v>0</v>
      </c>
    </row>
    <row r="500" spans="1:55" ht="15" customHeight="1">
      <c r="A500" s="27"/>
      <c r="B500" s="28"/>
      <c r="C500" s="29"/>
      <c r="D500" s="30"/>
      <c r="E500" s="30"/>
      <c r="F500" s="28"/>
      <c r="G500" s="28"/>
      <c r="H500" s="28"/>
      <c r="I500" s="13"/>
      <c r="J500" s="28"/>
      <c r="K500" s="13"/>
      <c r="L500" s="28"/>
      <c r="M500" s="13"/>
      <c r="N500" s="28"/>
      <c r="O500" s="13"/>
      <c r="P500" s="28"/>
      <c r="Q500" s="20"/>
      <c r="R500" s="28"/>
      <c r="S500" s="20"/>
      <c r="T500" s="28"/>
      <c r="U500" s="13"/>
      <c r="V500" s="28"/>
      <c r="W500" s="13"/>
      <c r="X500" s="28"/>
      <c r="Y500" s="13"/>
      <c r="Z500" s="28"/>
      <c r="AA500" s="13"/>
      <c r="AB500" s="28"/>
      <c r="AC500" s="13"/>
      <c r="AD500" s="28"/>
      <c r="AE500" s="13"/>
      <c r="AF500" s="28"/>
      <c r="AG500" s="13"/>
      <c r="AH500" s="28"/>
      <c r="AI500" s="13"/>
      <c r="AJ500" s="28"/>
      <c r="AK500" s="13"/>
      <c r="AL500" s="28"/>
      <c r="AM500" s="13"/>
      <c r="AN500" s="28"/>
      <c r="AO500" s="13"/>
      <c r="AP500" s="28"/>
      <c r="AQ500" s="13"/>
      <c r="AR500" s="28"/>
      <c r="AS500" s="19">
        <f>SUM(H500,J500,L500,N500,P500,R500,T500,V500,X500,Z500,AB500,AD500,AF500,AH500,AJ500,AL500,AN500)</f>
        <v>0</v>
      </c>
      <c r="AT500" s="29" t="str">
        <f>IF(C500="","",DATE(YEAR(C500),MONTH(C500),1))</f>
        <v/>
      </c>
      <c r="AU500" s="28" t="str">
        <f>IF(AT500="","",TEXT(AT500,"mmmm yyyy"))</f>
        <v/>
      </c>
      <c r="AV500" s="29" t="str">
        <f>IF(C500="","",C500-WEEKDAY(C500,2)+1)</f>
        <v/>
      </c>
      <c r="AW500" s="29" t="str">
        <f>IF(AV500="","",AV500+6)</f>
        <v/>
      </c>
      <c r="AX500" s="28" t="str">
        <f>IF(AV500="","",TEXT(AV500,"dd/mm/yyyy")&amp;" - "&amp;TEXT(AW500,"dd/mm/yyyy"))</f>
        <v/>
      </c>
      <c r="AY500" s="28" t="str">
        <f>IF(B500="","",COUNTIFS($B$5:B500,B500,$AT$5:AT500,AT500))</f>
        <v/>
      </c>
      <c r="AZ500" s="28" t="str">
        <f>IF(B500="","",COUNTIFS($B$5:B500,B500,$AV$5:AV500,AV500))</f>
        <v/>
      </c>
      <c r="BA500" s="28" t="str">
        <f>IF(B500="","",TEXT(AY500,"00")&amp;"|"&amp;B500&amp;"|"&amp;TEXT(AT500,"yyyymmdd"))</f>
        <v/>
      </c>
      <c r="BB500" s="28" t="str">
        <f>IF(B500="","",TEXT(AZ500,"00")&amp;"|"&amp;B500&amp;"|"&amp;TEXT(AV500,"yyyymmdd"))</f>
        <v/>
      </c>
      <c r="BC500" s="28">
        <f>IF(OR(AQ500="YES",AQ500="Yes",AQ500="Y",AQ500=1),1,0)</f>
        <v>0</v>
      </c>
    </row>
    <row r="501" spans="1:55" ht="15" customHeight="1">
      <c r="A501" s="27"/>
      <c r="B501" s="28"/>
      <c r="C501" s="29"/>
      <c r="D501" s="30"/>
      <c r="E501" s="30"/>
      <c r="F501" s="28"/>
      <c r="G501" s="28"/>
      <c r="H501" s="28"/>
      <c r="I501" s="13"/>
      <c r="J501" s="28"/>
      <c r="K501" s="13"/>
      <c r="L501" s="28"/>
      <c r="M501" s="13"/>
      <c r="N501" s="28"/>
      <c r="O501" s="13"/>
      <c r="P501" s="28"/>
      <c r="Q501" s="20"/>
      <c r="R501" s="28"/>
      <c r="S501" s="20"/>
      <c r="T501" s="28"/>
      <c r="U501" s="13"/>
      <c r="V501" s="28"/>
      <c r="W501" s="13"/>
      <c r="X501" s="28"/>
      <c r="Y501" s="13"/>
      <c r="Z501" s="28"/>
      <c r="AA501" s="13"/>
      <c r="AB501" s="28"/>
      <c r="AC501" s="13"/>
      <c r="AD501" s="28"/>
      <c r="AE501" s="13"/>
      <c r="AF501" s="28"/>
      <c r="AG501" s="13"/>
      <c r="AH501" s="28"/>
      <c r="AI501" s="13"/>
      <c r="AJ501" s="28"/>
      <c r="AK501" s="13"/>
      <c r="AL501" s="28"/>
      <c r="AM501" s="13"/>
      <c r="AN501" s="28"/>
      <c r="AO501" s="13"/>
      <c r="AP501" s="28"/>
      <c r="AQ501" s="13"/>
      <c r="AR501" s="28"/>
      <c r="AS501" s="19">
        <f>SUM(H501,J501,L501,N501,P501,R501,T501,V501,X501,Z501,AB501,AD501,AF501,AH501,AJ501,AL501,AN501)</f>
        <v>0</v>
      </c>
      <c r="AT501" s="29" t="str">
        <f>IF(C501="","",DATE(YEAR(C501),MONTH(C501),1))</f>
        <v/>
      </c>
      <c r="AU501" s="28" t="str">
        <f>IF(AT501="","",TEXT(AT501,"mmmm yyyy"))</f>
        <v/>
      </c>
      <c r="AV501" s="29" t="str">
        <f>IF(C501="","",C501-WEEKDAY(C501,2)+1)</f>
        <v/>
      </c>
      <c r="AW501" s="29" t="str">
        <f>IF(AV501="","",AV501+6)</f>
        <v/>
      </c>
      <c r="AX501" s="28" t="str">
        <f>IF(AV501="","",TEXT(AV501,"dd/mm/yyyy")&amp;" - "&amp;TEXT(AW501,"dd/mm/yyyy"))</f>
        <v/>
      </c>
      <c r="AY501" s="28" t="str">
        <f>IF(B501="","",COUNTIFS($B$5:B501,B501,$AT$5:AT501,AT501))</f>
        <v/>
      </c>
      <c r="AZ501" s="28" t="str">
        <f>IF(B501="","",COUNTIFS($B$5:B501,B501,$AV$5:AV501,AV501))</f>
        <v/>
      </c>
      <c r="BA501" s="28" t="str">
        <f>IF(B501="","",TEXT(AY501,"00")&amp;"|"&amp;B501&amp;"|"&amp;TEXT(AT501,"yyyymmdd"))</f>
        <v/>
      </c>
      <c r="BB501" s="28" t="str">
        <f>IF(B501="","",TEXT(AZ501,"00")&amp;"|"&amp;B501&amp;"|"&amp;TEXT(AV501,"yyyymmdd"))</f>
        <v/>
      </c>
      <c r="BC501" s="28">
        <f>IF(OR(AQ501="YES",AQ501="Yes",AQ501="Y",AQ501=1),1,0)</f>
        <v>0</v>
      </c>
    </row>
    <row r="502" spans="1:55" ht="15" customHeight="1">
      <c r="A502" s="27"/>
      <c r="B502" s="28"/>
      <c r="C502" s="29"/>
      <c r="D502" s="30"/>
      <c r="E502" s="30"/>
      <c r="F502" s="28"/>
      <c r="G502" s="28"/>
      <c r="H502" s="28"/>
      <c r="I502" s="13"/>
      <c r="J502" s="28"/>
      <c r="K502" s="13"/>
      <c r="L502" s="28"/>
      <c r="M502" s="13"/>
      <c r="N502" s="28"/>
      <c r="O502" s="13"/>
      <c r="P502" s="28"/>
      <c r="Q502" s="20"/>
      <c r="R502" s="28"/>
      <c r="S502" s="20"/>
      <c r="T502" s="28"/>
      <c r="U502" s="13"/>
      <c r="V502" s="28"/>
      <c r="W502" s="13"/>
      <c r="X502" s="28"/>
      <c r="Y502" s="13"/>
      <c r="Z502" s="28"/>
      <c r="AA502" s="13"/>
      <c r="AB502" s="28"/>
      <c r="AC502" s="13"/>
      <c r="AD502" s="28"/>
      <c r="AE502" s="13"/>
      <c r="AF502" s="28"/>
      <c r="AG502" s="13"/>
      <c r="AH502" s="28"/>
      <c r="AI502" s="13"/>
      <c r="AJ502" s="28"/>
      <c r="AK502" s="13"/>
      <c r="AL502" s="28"/>
      <c r="AM502" s="13"/>
      <c r="AN502" s="28"/>
      <c r="AO502" s="13"/>
      <c r="AP502" s="28"/>
      <c r="AQ502" s="13"/>
      <c r="AR502" s="28"/>
      <c r="AS502" s="19">
        <f>SUM(H502,J502,L502,N502,P502,R502,T502,V502,X502,Z502,AB502,AD502,AF502,AH502,AJ502,AL502,AN502)</f>
        <v>0</v>
      </c>
      <c r="AT502" s="29" t="str">
        <f>IF(C502="","",DATE(YEAR(C502),MONTH(C502),1))</f>
        <v/>
      </c>
      <c r="AU502" s="28" t="str">
        <f>IF(AT502="","",TEXT(AT502,"mmmm yyyy"))</f>
        <v/>
      </c>
      <c r="AV502" s="29" t="str">
        <f>IF(C502="","",C502-WEEKDAY(C502,2)+1)</f>
        <v/>
      </c>
      <c r="AW502" s="29" t="str">
        <f>IF(AV502="","",AV502+6)</f>
        <v/>
      </c>
      <c r="AX502" s="28" t="str">
        <f>IF(AV502="","",TEXT(AV502,"dd/mm/yyyy")&amp;" - "&amp;TEXT(AW502,"dd/mm/yyyy"))</f>
        <v/>
      </c>
      <c r="AY502" s="28" t="str">
        <f>IF(B502="","",COUNTIFS($B$5:B502,B502,$AT$5:AT502,AT502))</f>
        <v/>
      </c>
      <c r="AZ502" s="28" t="str">
        <f>IF(B502="","",COUNTIFS($B$5:B502,B502,$AV$5:AV502,AV502))</f>
        <v/>
      </c>
      <c r="BA502" s="28" t="str">
        <f>IF(B502="","",TEXT(AY502,"00")&amp;"|"&amp;B502&amp;"|"&amp;TEXT(AT502,"yyyymmdd"))</f>
        <v/>
      </c>
      <c r="BB502" s="28" t="str">
        <f>IF(B502="","",TEXT(AZ502,"00")&amp;"|"&amp;B502&amp;"|"&amp;TEXT(AV502,"yyyymmdd"))</f>
        <v/>
      </c>
      <c r="BC502" s="28">
        <f>IF(OR(AQ502="YES",AQ502="Yes",AQ502="Y",AQ502=1),1,0)</f>
        <v>0</v>
      </c>
    </row>
    <row r="503" spans="1:55" ht="15" customHeight="1">
      <c r="A503" s="27"/>
      <c r="B503" s="28"/>
      <c r="C503" s="29"/>
      <c r="D503" s="30"/>
      <c r="E503" s="30"/>
      <c r="F503" s="28"/>
      <c r="G503" s="28"/>
      <c r="H503" s="28"/>
      <c r="I503" s="13"/>
      <c r="J503" s="28"/>
      <c r="K503" s="13"/>
      <c r="L503" s="28"/>
      <c r="M503" s="13"/>
      <c r="N503" s="28"/>
      <c r="O503" s="13"/>
      <c r="P503" s="28"/>
      <c r="Q503" s="20"/>
      <c r="R503" s="28"/>
      <c r="S503" s="20"/>
      <c r="T503" s="28"/>
      <c r="U503" s="13"/>
      <c r="V503" s="28"/>
      <c r="W503" s="13"/>
      <c r="X503" s="28"/>
      <c r="Y503" s="13"/>
      <c r="Z503" s="28"/>
      <c r="AA503" s="13"/>
      <c r="AB503" s="28"/>
      <c r="AC503" s="13"/>
      <c r="AD503" s="28"/>
      <c r="AE503" s="13"/>
      <c r="AF503" s="28"/>
      <c r="AG503" s="13"/>
      <c r="AH503" s="28"/>
      <c r="AI503" s="13"/>
      <c r="AJ503" s="28"/>
      <c r="AK503" s="13"/>
      <c r="AL503" s="28"/>
      <c r="AM503" s="13"/>
      <c r="AN503" s="28"/>
      <c r="AO503" s="13"/>
      <c r="AP503" s="28"/>
      <c r="AQ503" s="13"/>
      <c r="AR503" s="28"/>
      <c r="AS503" s="19">
        <f>SUM(H503,J503,L503,N503,P503,R503,T503,V503,X503,Z503,AB503,AD503,AF503,AH503,AJ503,AL503,AN503)</f>
        <v>0</v>
      </c>
      <c r="AT503" s="29" t="str">
        <f>IF(C503="","",DATE(YEAR(C503),MONTH(C503),1))</f>
        <v/>
      </c>
      <c r="AU503" s="28" t="str">
        <f>IF(AT503="","",TEXT(AT503,"mmmm yyyy"))</f>
        <v/>
      </c>
      <c r="AV503" s="29" t="str">
        <f>IF(C503="","",C503-WEEKDAY(C503,2)+1)</f>
        <v/>
      </c>
      <c r="AW503" s="29" t="str">
        <f>IF(AV503="","",AV503+6)</f>
        <v/>
      </c>
      <c r="AX503" s="28" t="str">
        <f>IF(AV503="","",TEXT(AV503,"dd/mm/yyyy")&amp;" - "&amp;TEXT(AW503,"dd/mm/yyyy"))</f>
        <v/>
      </c>
      <c r="AY503" s="28" t="str">
        <f>IF(B503="","",COUNTIFS($B$5:B503,B503,$AT$5:AT503,AT503))</f>
        <v/>
      </c>
      <c r="AZ503" s="28" t="str">
        <f>IF(B503="","",COUNTIFS($B$5:B503,B503,$AV$5:AV503,AV503))</f>
        <v/>
      </c>
      <c r="BA503" s="28" t="str">
        <f>IF(B503="","",TEXT(AY503,"00")&amp;"|"&amp;B503&amp;"|"&amp;TEXT(AT503,"yyyymmdd"))</f>
        <v/>
      </c>
      <c r="BB503" s="28" t="str">
        <f>IF(B503="","",TEXT(AZ503,"00")&amp;"|"&amp;B503&amp;"|"&amp;TEXT(AV503,"yyyymmdd"))</f>
        <v/>
      </c>
      <c r="BC503" s="28">
        <f>IF(OR(AQ503="YES",AQ503="Yes",AQ503="Y",AQ503=1),1,0)</f>
        <v>0</v>
      </c>
    </row>
    <row r="504" spans="1:55" ht="15" customHeight="1">
      <c r="A504" s="27"/>
      <c r="B504" s="28"/>
      <c r="C504" s="29"/>
      <c r="D504" s="30"/>
      <c r="E504" s="30"/>
      <c r="F504" s="28"/>
      <c r="G504" s="28"/>
      <c r="H504" s="28"/>
      <c r="I504" s="13"/>
      <c r="J504" s="28"/>
      <c r="K504" s="13"/>
      <c r="L504" s="28"/>
      <c r="M504" s="13"/>
      <c r="N504" s="28"/>
      <c r="O504" s="13"/>
      <c r="P504" s="28"/>
      <c r="Q504" s="20"/>
      <c r="R504" s="28"/>
      <c r="S504" s="20"/>
      <c r="T504" s="28"/>
      <c r="U504" s="13"/>
      <c r="V504" s="28"/>
      <c r="W504" s="13"/>
      <c r="X504" s="28"/>
      <c r="Y504" s="13"/>
      <c r="Z504" s="28"/>
      <c r="AA504" s="13"/>
      <c r="AB504" s="28"/>
      <c r="AC504" s="13"/>
      <c r="AD504" s="28"/>
      <c r="AE504" s="13"/>
      <c r="AF504" s="28"/>
      <c r="AG504" s="13"/>
      <c r="AH504" s="28"/>
      <c r="AI504" s="13"/>
      <c r="AJ504" s="28"/>
      <c r="AK504" s="13"/>
      <c r="AL504" s="28"/>
      <c r="AM504" s="13"/>
      <c r="AN504" s="28"/>
      <c r="AO504" s="13"/>
      <c r="AP504" s="28"/>
      <c r="AQ504" s="13"/>
      <c r="AR504" s="28"/>
      <c r="AS504" s="19">
        <f>SUM(H504,J504,L504,N504,P504,R504,T504,V504,X504,Z504,AB504,AD504,AF504,AH504,AJ504,AL504,AN504)</f>
        <v>0</v>
      </c>
      <c r="AT504" s="29" t="str">
        <f>IF(C504="","",DATE(YEAR(C504),MONTH(C504),1))</f>
        <v/>
      </c>
      <c r="AU504" s="28" t="str">
        <f>IF(AT504="","",TEXT(AT504,"mmmm yyyy"))</f>
        <v/>
      </c>
      <c r="AV504" s="29" t="str">
        <f>IF(C504="","",C504-WEEKDAY(C504,2)+1)</f>
        <v/>
      </c>
      <c r="AW504" s="29" t="str">
        <f>IF(AV504="","",AV504+6)</f>
        <v/>
      </c>
      <c r="AX504" s="28" t="str">
        <f>IF(AV504="","",TEXT(AV504,"dd/mm/yyyy")&amp;" - "&amp;TEXT(AW504,"dd/mm/yyyy"))</f>
        <v/>
      </c>
      <c r="AY504" s="28" t="str">
        <f>IF(B504="","",COUNTIFS($B$5:B504,B504,$AT$5:AT504,AT504))</f>
        <v/>
      </c>
      <c r="AZ504" s="28" t="str">
        <f>IF(B504="","",COUNTIFS($B$5:B504,B504,$AV$5:AV504,AV504))</f>
        <v/>
      </c>
      <c r="BA504" s="28" t="str">
        <f>IF(B504="","",TEXT(AY504,"00")&amp;"|"&amp;B504&amp;"|"&amp;TEXT(AT504,"yyyymmdd"))</f>
        <v/>
      </c>
      <c r="BB504" s="28" t="str">
        <f>IF(B504="","",TEXT(AZ504,"00")&amp;"|"&amp;B504&amp;"|"&amp;TEXT(AV504,"yyyymmdd"))</f>
        <v/>
      </c>
      <c r="BC504" s="28">
        <f>IF(OR(AQ504="YES",AQ504="Yes",AQ504="Y",AQ504=1),1,0)</f>
        <v>0</v>
      </c>
    </row>
    <row r="505" spans="1:55" ht="15" customHeight="1">
      <c r="A505" s="27"/>
      <c r="B505" s="28"/>
      <c r="C505" s="29"/>
      <c r="D505" s="30"/>
      <c r="E505" s="30"/>
      <c r="F505" s="28"/>
      <c r="G505" s="28"/>
      <c r="H505" s="28"/>
      <c r="I505" s="13"/>
      <c r="J505" s="28"/>
      <c r="K505" s="13"/>
      <c r="L505" s="28"/>
      <c r="M505" s="13"/>
      <c r="N505" s="28"/>
      <c r="O505" s="13"/>
      <c r="P505" s="28"/>
      <c r="Q505" s="20"/>
      <c r="R505" s="28"/>
      <c r="S505" s="20"/>
      <c r="T505" s="28"/>
      <c r="U505" s="13"/>
      <c r="V505" s="28"/>
      <c r="W505" s="13"/>
      <c r="X505" s="28"/>
      <c r="Y505" s="13"/>
      <c r="Z505" s="28"/>
      <c r="AA505" s="13"/>
      <c r="AB505" s="28"/>
      <c r="AC505" s="13"/>
      <c r="AD505" s="28"/>
      <c r="AE505" s="13"/>
      <c r="AF505" s="28"/>
      <c r="AG505" s="13"/>
      <c r="AH505" s="28"/>
      <c r="AI505" s="13"/>
      <c r="AJ505" s="28"/>
      <c r="AK505" s="13"/>
      <c r="AL505" s="28"/>
      <c r="AM505" s="13"/>
      <c r="AN505" s="28"/>
      <c r="AO505" s="13"/>
      <c r="AP505" s="28"/>
      <c r="AQ505" s="13"/>
      <c r="AR505" s="28"/>
      <c r="AS505" s="19">
        <f>SUM(H505,J505,L505,N505,P505,R505,T505,V505,X505,Z505,AB505,AD505,AF505,AH505,AJ505,AL505,AN505)</f>
        <v>0</v>
      </c>
      <c r="AT505" s="29" t="str">
        <f>IF(C505="","",DATE(YEAR(C505),MONTH(C505),1))</f>
        <v/>
      </c>
      <c r="AU505" s="28" t="str">
        <f>IF(AT505="","",TEXT(AT505,"mmmm yyyy"))</f>
        <v/>
      </c>
      <c r="AV505" s="29" t="str">
        <f>IF(C505="","",C505-WEEKDAY(C505,2)+1)</f>
        <v/>
      </c>
      <c r="AW505" s="29" t="str">
        <f>IF(AV505="","",AV505+6)</f>
        <v/>
      </c>
      <c r="AX505" s="28" t="str">
        <f>IF(AV505="","",TEXT(AV505,"dd/mm/yyyy")&amp;" - "&amp;TEXT(AW505,"dd/mm/yyyy"))</f>
        <v/>
      </c>
      <c r="AY505" s="28" t="str">
        <f>IF(B505="","",COUNTIFS($B$5:B505,B505,$AT$5:AT505,AT505))</f>
        <v/>
      </c>
      <c r="AZ505" s="28" t="str">
        <f>IF(B505="","",COUNTIFS($B$5:B505,B505,$AV$5:AV505,AV505))</f>
        <v/>
      </c>
      <c r="BA505" s="28" t="str">
        <f>IF(B505="","",TEXT(AY505,"00")&amp;"|"&amp;B505&amp;"|"&amp;TEXT(AT505,"yyyymmdd"))</f>
        <v/>
      </c>
      <c r="BB505" s="28" t="str">
        <f>IF(B505="","",TEXT(AZ505,"00")&amp;"|"&amp;B505&amp;"|"&amp;TEXT(AV505,"yyyymmdd"))</f>
        <v/>
      </c>
      <c r="BC505" s="28">
        <f>IF(OR(AQ505="YES",AQ505="Yes",AQ505="Y",AQ505=1),1,0)</f>
        <v>0</v>
      </c>
    </row>
    <row r="506" spans="1:55" ht="15" customHeight="1">
      <c r="A506" s="27"/>
      <c r="B506" s="28"/>
      <c r="C506" s="29"/>
      <c r="D506" s="30"/>
      <c r="E506" s="30"/>
      <c r="F506" s="28"/>
      <c r="G506" s="28"/>
      <c r="H506" s="28"/>
      <c r="I506" s="13"/>
      <c r="J506" s="28"/>
      <c r="K506" s="13"/>
      <c r="L506" s="28"/>
      <c r="M506" s="13"/>
      <c r="N506" s="28"/>
      <c r="O506" s="13"/>
      <c r="P506" s="28"/>
      <c r="Q506" s="20"/>
      <c r="R506" s="28"/>
      <c r="S506" s="20"/>
      <c r="T506" s="28"/>
      <c r="U506" s="13"/>
      <c r="V506" s="28"/>
      <c r="W506" s="13"/>
      <c r="X506" s="28"/>
      <c r="Y506" s="13"/>
      <c r="Z506" s="28"/>
      <c r="AA506" s="13"/>
      <c r="AB506" s="28"/>
      <c r="AC506" s="13"/>
      <c r="AD506" s="28"/>
      <c r="AE506" s="13"/>
      <c r="AF506" s="28"/>
      <c r="AG506" s="13"/>
      <c r="AH506" s="28"/>
      <c r="AI506" s="13"/>
      <c r="AJ506" s="28"/>
      <c r="AK506" s="13"/>
      <c r="AL506" s="28"/>
      <c r="AM506" s="13"/>
      <c r="AN506" s="28"/>
      <c r="AO506" s="13"/>
      <c r="AP506" s="28"/>
      <c r="AQ506" s="13"/>
      <c r="AR506" s="28"/>
      <c r="AS506" s="19">
        <f>SUM(H506,J506,L506,N506,P506,R506,T506,V506,X506,Z506,AB506,AD506,AF506,AH506,AJ506,AL506,AN506)</f>
        <v>0</v>
      </c>
      <c r="AT506" s="29" t="str">
        <f>IF(C506="","",DATE(YEAR(C506),MONTH(C506),1))</f>
        <v/>
      </c>
      <c r="AU506" s="28" t="str">
        <f>IF(AT506="","",TEXT(AT506,"mmmm yyyy"))</f>
        <v/>
      </c>
      <c r="AV506" s="29" t="str">
        <f>IF(C506="","",C506-WEEKDAY(C506,2)+1)</f>
        <v/>
      </c>
      <c r="AW506" s="29" t="str">
        <f>IF(AV506="","",AV506+6)</f>
        <v/>
      </c>
      <c r="AX506" s="28" t="str">
        <f>IF(AV506="","",TEXT(AV506,"dd/mm/yyyy")&amp;" - "&amp;TEXT(AW506,"dd/mm/yyyy"))</f>
        <v/>
      </c>
      <c r="AY506" s="28" t="str">
        <f>IF(B506="","",COUNTIFS($B$5:B506,B506,$AT$5:AT506,AT506))</f>
        <v/>
      </c>
      <c r="AZ506" s="28" t="str">
        <f>IF(B506="","",COUNTIFS($B$5:B506,B506,$AV$5:AV506,AV506))</f>
        <v/>
      </c>
      <c r="BA506" s="28" t="str">
        <f>IF(B506="","",TEXT(AY506,"00")&amp;"|"&amp;B506&amp;"|"&amp;TEXT(AT506,"yyyymmdd"))</f>
        <v/>
      </c>
      <c r="BB506" s="28" t="str">
        <f>IF(B506="","",TEXT(AZ506,"00")&amp;"|"&amp;B506&amp;"|"&amp;TEXT(AV506,"yyyymmdd"))</f>
        <v/>
      </c>
      <c r="BC506" s="28">
        <f>IF(OR(AQ506="YES",AQ506="Yes",AQ506="Y",AQ506=1),1,0)</f>
        <v>0</v>
      </c>
    </row>
    <row r="507" spans="1:55" ht="15" customHeight="1">
      <c r="A507" s="27"/>
      <c r="B507" s="28"/>
      <c r="C507" s="29"/>
      <c r="D507" s="30"/>
      <c r="E507" s="30"/>
      <c r="F507" s="28"/>
      <c r="G507" s="28"/>
      <c r="H507" s="28"/>
      <c r="I507" s="13"/>
      <c r="J507" s="28"/>
      <c r="K507" s="13"/>
      <c r="L507" s="28"/>
      <c r="M507" s="13"/>
      <c r="N507" s="28"/>
      <c r="O507" s="13"/>
      <c r="P507" s="28"/>
      <c r="Q507" s="20"/>
      <c r="R507" s="28"/>
      <c r="S507" s="20"/>
      <c r="T507" s="28"/>
      <c r="U507" s="13"/>
      <c r="V507" s="28"/>
      <c r="W507" s="13"/>
      <c r="X507" s="28"/>
      <c r="Y507" s="13"/>
      <c r="Z507" s="28"/>
      <c r="AA507" s="13"/>
      <c r="AB507" s="28"/>
      <c r="AC507" s="13"/>
      <c r="AD507" s="28"/>
      <c r="AE507" s="13"/>
      <c r="AF507" s="28"/>
      <c r="AG507" s="13"/>
      <c r="AH507" s="28"/>
      <c r="AI507" s="13"/>
      <c r="AJ507" s="28"/>
      <c r="AK507" s="13"/>
      <c r="AL507" s="28"/>
      <c r="AM507" s="13"/>
      <c r="AN507" s="28"/>
      <c r="AO507" s="13"/>
      <c r="AP507" s="28"/>
      <c r="AQ507" s="13"/>
      <c r="AR507" s="28"/>
      <c r="AS507" s="19">
        <f>SUM(H507,J507,L507,N507,P507,R507,T507,V507,X507,Z507,AB507,AD507,AF507,AH507,AJ507,AL507,AN507)</f>
        <v>0</v>
      </c>
      <c r="AT507" s="29" t="str">
        <f>IF(C507="","",DATE(YEAR(C507),MONTH(C507),1))</f>
        <v/>
      </c>
      <c r="AU507" s="28" t="str">
        <f>IF(AT507="","",TEXT(AT507,"mmmm yyyy"))</f>
        <v/>
      </c>
      <c r="AV507" s="29" t="str">
        <f>IF(C507="","",C507-WEEKDAY(C507,2)+1)</f>
        <v/>
      </c>
      <c r="AW507" s="29" t="str">
        <f>IF(AV507="","",AV507+6)</f>
        <v/>
      </c>
      <c r="AX507" s="28" t="str">
        <f>IF(AV507="","",TEXT(AV507,"dd/mm/yyyy")&amp;" - "&amp;TEXT(AW507,"dd/mm/yyyy"))</f>
        <v/>
      </c>
      <c r="AY507" s="28" t="str">
        <f>IF(B507="","",COUNTIFS($B$5:B507,B507,$AT$5:AT507,AT507))</f>
        <v/>
      </c>
      <c r="AZ507" s="28" t="str">
        <f>IF(B507="","",COUNTIFS($B$5:B507,B507,$AV$5:AV507,AV507))</f>
        <v/>
      </c>
      <c r="BA507" s="28" t="str">
        <f>IF(B507="","",TEXT(AY507,"00")&amp;"|"&amp;B507&amp;"|"&amp;TEXT(AT507,"yyyymmdd"))</f>
        <v/>
      </c>
      <c r="BB507" s="28" t="str">
        <f>IF(B507="","",TEXT(AZ507,"00")&amp;"|"&amp;B507&amp;"|"&amp;TEXT(AV507,"yyyymmdd"))</f>
        <v/>
      </c>
      <c r="BC507" s="28">
        <f>IF(OR(AQ507="YES",AQ507="Yes",AQ507="Y",AQ507=1),1,0)</f>
        <v>0</v>
      </c>
    </row>
    <row r="508" spans="1:55" ht="15" customHeight="1">
      <c r="A508" s="27"/>
      <c r="B508" s="28"/>
      <c r="C508" s="29"/>
      <c r="D508" s="30"/>
      <c r="E508" s="30"/>
      <c r="F508" s="28"/>
      <c r="G508" s="28"/>
      <c r="H508" s="28"/>
      <c r="I508" s="13"/>
      <c r="J508" s="28"/>
      <c r="K508" s="13"/>
      <c r="L508" s="28"/>
      <c r="M508" s="13"/>
      <c r="N508" s="28"/>
      <c r="O508" s="13"/>
      <c r="P508" s="28"/>
      <c r="Q508" s="20"/>
      <c r="R508" s="28"/>
      <c r="S508" s="20"/>
      <c r="T508" s="28"/>
      <c r="U508" s="13"/>
      <c r="V508" s="28"/>
      <c r="W508" s="13"/>
      <c r="X508" s="28"/>
      <c r="Y508" s="13"/>
      <c r="Z508" s="28"/>
      <c r="AA508" s="13"/>
      <c r="AB508" s="28"/>
      <c r="AC508" s="13"/>
      <c r="AD508" s="28"/>
      <c r="AE508" s="13"/>
      <c r="AF508" s="28"/>
      <c r="AG508" s="13"/>
      <c r="AH508" s="28"/>
      <c r="AI508" s="13"/>
      <c r="AJ508" s="28"/>
      <c r="AK508" s="13"/>
      <c r="AL508" s="28"/>
      <c r="AM508" s="13"/>
      <c r="AN508" s="28"/>
      <c r="AO508" s="13"/>
      <c r="AP508" s="28"/>
      <c r="AQ508" s="13"/>
      <c r="AR508" s="28"/>
      <c r="AS508" s="19">
        <f>SUM(H508,J508,L508,N508,P508,R508,T508,V508,X508,Z508,AB508,AD508,AF508,AH508,AJ508,AL508,AN508)</f>
        <v>0</v>
      </c>
      <c r="AT508" s="29" t="str">
        <f>IF(C508="","",DATE(YEAR(C508),MONTH(C508),1))</f>
        <v/>
      </c>
      <c r="AU508" s="28" t="str">
        <f>IF(AT508="","",TEXT(AT508,"mmmm yyyy"))</f>
        <v/>
      </c>
      <c r="AV508" s="29" t="str">
        <f>IF(C508="","",C508-WEEKDAY(C508,2)+1)</f>
        <v/>
      </c>
      <c r="AW508" s="29" t="str">
        <f>IF(AV508="","",AV508+6)</f>
        <v/>
      </c>
      <c r="AX508" s="28" t="str">
        <f>IF(AV508="","",TEXT(AV508,"dd/mm/yyyy")&amp;" - "&amp;TEXT(AW508,"dd/mm/yyyy"))</f>
        <v/>
      </c>
      <c r="AY508" s="28" t="str">
        <f>IF(B508="","",COUNTIFS($B$5:B508,B508,$AT$5:AT508,AT508))</f>
        <v/>
      </c>
      <c r="AZ508" s="28" t="str">
        <f>IF(B508="","",COUNTIFS($B$5:B508,B508,$AV$5:AV508,AV508))</f>
        <v/>
      </c>
      <c r="BA508" s="28" t="str">
        <f>IF(B508="","",TEXT(AY508,"00")&amp;"|"&amp;B508&amp;"|"&amp;TEXT(AT508,"yyyymmdd"))</f>
        <v/>
      </c>
      <c r="BB508" s="28" t="str">
        <f>IF(B508="","",TEXT(AZ508,"00")&amp;"|"&amp;B508&amp;"|"&amp;TEXT(AV508,"yyyymmdd"))</f>
        <v/>
      </c>
      <c r="BC508" s="28">
        <f>IF(OR(AQ508="YES",AQ508="Yes",AQ508="Y",AQ508=1),1,0)</f>
        <v>0</v>
      </c>
    </row>
    <row r="509" spans="1:55" ht="15" customHeight="1">
      <c r="A509" s="27"/>
      <c r="B509" s="28"/>
      <c r="C509" s="29"/>
      <c r="D509" s="30"/>
      <c r="E509" s="30"/>
      <c r="F509" s="28"/>
      <c r="G509" s="28"/>
      <c r="H509" s="28"/>
      <c r="I509" s="13"/>
      <c r="J509" s="28"/>
      <c r="K509" s="13"/>
      <c r="L509" s="28"/>
      <c r="M509" s="13"/>
      <c r="N509" s="28"/>
      <c r="O509" s="13"/>
      <c r="P509" s="28"/>
      <c r="Q509" s="20"/>
      <c r="R509" s="28"/>
      <c r="S509" s="20"/>
      <c r="T509" s="28"/>
      <c r="U509" s="13"/>
      <c r="V509" s="28"/>
      <c r="W509" s="13"/>
      <c r="X509" s="28"/>
      <c r="Y509" s="13"/>
      <c r="Z509" s="28"/>
      <c r="AA509" s="13"/>
      <c r="AB509" s="28"/>
      <c r="AC509" s="13"/>
      <c r="AD509" s="28"/>
      <c r="AE509" s="13"/>
      <c r="AF509" s="28"/>
      <c r="AG509" s="13"/>
      <c r="AH509" s="28"/>
      <c r="AI509" s="13"/>
      <c r="AJ509" s="28"/>
      <c r="AK509" s="13"/>
      <c r="AL509" s="28"/>
      <c r="AM509" s="13"/>
      <c r="AN509" s="28"/>
      <c r="AO509" s="13"/>
      <c r="AP509" s="28"/>
      <c r="AQ509" s="13"/>
      <c r="AR509" s="28"/>
      <c r="AS509" s="19">
        <f>SUM(H509,J509,L509,N509,P509,R509,T509,V509,X509,Z509,AB509,AD509,AF509,AH509,AJ509,AL509,AN509)</f>
        <v>0</v>
      </c>
      <c r="AT509" s="29" t="str">
        <f>IF(C509="","",DATE(YEAR(C509),MONTH(C509),1))</f>
        <v/>
      </c>
      <c r="AU509" s="28" t="str">
        <f>IF(AT509="","",TEXT(AT509,"mmmm yyyy"))</f>
        <v/>
      </c>
      <c r="AV509" s="29" t="str">
        <f>IF(C509="","",C509-WEEKDAY(C509,2)+1)</f>
        <v/>
      </c>
      <c r="AW509" s="29" t="str">
        <f>IF(AV509="","",AV509+6)</f>
        <v/>
      </c>
      <c r="AX509" s="28" t="str">
        <f>IF(AV509="","",TEXT(AV509,"dd/mm/yyyy")&amp;" - "&amp;TEXT(AW509,"dd/mm/yyyy"))</f>
        <v/>
      </c>
      <c r="AY509" s="28" t="str">
        <f>IF(B509="","",COUNTIFS($B$5:B509,B509,$AT$5:AT509,AT509))</f>
        <v/>
      </c>
      <c r="AZ509" s="28" t="str">
        <f>IF(B509="","",COUNTIFS($B$5:B509,B509,$AV$5:AV509,AV509))</f>
        <v/>
      </c>
      <c r="BA509" s="28" t="str">
        <f>IF(B509="","",TEXT(AY509,"00")&amp;"|"&amp;B509&amp;"|"&amp;TEXT(AT509,"yyyymmdd"))</f>
        <v/>
      </c>
      <c r="BB509" s="28" t="str">
        <f>IF(B509="","",TEXT(AZ509,"00")&amp;"|"&amp;B509&amp;"|"&amp;TEXT(AV509,"yyyymmdd"))</f>
        <v/>
      </c>
      <c r="BC509" s="28">
        <f>IF(OR(AQ509="YES",AQ509="Yes",AQ509="Y",AQ509=1),1,0)</f>
        <v>0</v>
      </c>
    </row>
    <row r="510" spans="1:55" ht="15" customHeight="1">
      <c r="A510" s="27"/>
      <c r="B510" s="28"/>
      <c r="C510" s="29"/>
      <c r="D510" s="30"/>
      <c r="E510" s="30"/>
      <c r="F510" s="28"/>
      <c r="G510" s="28"/>
      <c r="H510" s="28"/>
      <c r="I510" s="13"/>
      <c r="J510" s="28"/>
      <c r="K510" s="13"/>
      <c r="L510" s="28"/>
      <c r="M510" s="13"/>
      <c r="N510" s="28"/>
      <c r="O510" s="13"/>
      <c r="P510" s="28"/>
      <c r="Q510" s="20"/>
      <c r="R510" s="28"/>
      <c r="S510" s="20"/>
      <c r="T510" s="28"/>
      <c r="U510" s="13"/>
      <c r="V510" s="28"/>
      <c r="W510" s="13"/>
      <c r="X510" s="28"/>
      <c r="Y510" s="13"/>
      <c r="Z510" s="28"/>
      <c r="AA510" s="13"/>
      <c r="AB510" s="28"/>
      <c r="AC510" s="13"/>
      <c r="AD510" s="28"/>
      <c r="AE510" s="13"/>
      <c r="AF510" s="28"/>
      <c r="AG510" s="13"/>
      <c r="AH510" s="28"/>
      <c r="AI510" s="13"/>
      <c r="AJ510" s="28"/>
      <c r="AK510" s="13"/>
      <c r="AL510" s="28"/>
      <c r="AM510" s="13"/>
      <c r="AN510" s="28"/>
      <c r="AO510" s="13"/>
      <c r="AP510" s="28"/>
      <c r="AQ510" s="13"/>
      <c r="AR510" s="28"/>
      <c r="AS510" s="19">
        <f>SUM(H510,J510,L510,N510,P510,R510,T510,V510,X510,Z510,AB510,AD510,AF510,AH510,AJ510,AL510,AN510)</f>
        <v>0</v>
      </c>
      <c r="AT510" s="29" t="str">
        <f>IF(C510="","",DATE(YEAR(C510),MONTH(C510),1))</f>
        <v/>
      </c>
      <c r="AU510" s="28" t="str">
        <f>IF(AT510="","",TEXT(AT510,"mmmm yyyy"))</f>
        <v/>
      </c>
      <c r="AV510" s="29" t="str">
        <f>IF(C510="","",C510-WEEKDAY(C510,2)+1)</f>
        <v/>
      </c>
      <c r="AW510" s="29" t="str">
        <f>IF(AV510="","",AV510+6)</f>
        <v/>
      </c>
      <c r="AX510" s="28" t="str">
        <f>IF(AV510="","",TEXT(AV510,"dd/mm/yyyy")&amp;" - "&amp;TEXT(AW510,"dd/mm/yyyy"))</f>
        <v/>
      </c>
      <c r="AY510" s="28" t="str">
        <f>IF(B510="","",COUNTIFS($B$5:B510,B510,$AT$5:AT510,AT510))</f>
        <v/>
      </c>
      <c r="AZ510" s="28" t="str">
        <f>IF(B510="","",COUNTIFS($B$5:B510,B510,$AV$5:AV510,AV510))</f>
        <v/>
      </c>
      <c r="BA510" s="28" t="str">
        <f>IF(B510="","",TEXT(AY510,"00")&amp;"|"&amp;B510&amp;"|"&amp;TEXT(AT510,"yyyymmdd"))</f>
        <v/>
      </c>
      <c r="BB510" s="28" t="str">
        <f>IF(B510="","",TEXT(AZ510,"00")&amp;"|"&amp;B510&amp;"|"&amp;TEXT(AV510,"yyyymmdd"))</f>
        <v/>
      </c>
      <c r="BC510" s="28">
        <f>IF(OR(AQ510="YES",AQ510="Yes",AQ510="Y",AQ510=1),1,0)</f>
        <v>0</v>
      </c>
    </row>
    <row r="511" spans="1:55" ht="15" customHeight="1">
      <c r="A511" s="27"/>
      <c r="B511" s="28"/>
      <c r="C511" s="29"/>
      <c r="D511" s="30"/>
      <c r="E511" s="30"/>
      <c r="F511" s="28"/>
      <c r="G511" s="28"/>
      <c r="H511" s="28"/>
      <c r="I511" s="13"/>
      <c r="J511" s="28"/>
      <c r="K511" s="13"/>
      <c r="L511" s="28"/>
      <c r="M511" s="13"/>
      <c r="N511" s="28"/>
      <c r="O511" s="13"/>
      <c r="P511" s="28"/>
      <c r="Q511" s="20"/>
      <c r="R511" s="28"/>
      <c r="S511" s="20"/>
      <c r="T511" s="28"/>
      <c r="U511" s="13"/>
      <c r="V511" s="28"/>
      <c r="W511" s="13"/>
      <c r="X511" s="28"/>
      <c r="Y511" s="13"/>
      <c r="Z511" s="28"/>
      <c r="AA511" s="13"/>
      <c r="AB511" s="28"/>
      <c r="AC511" s="13"/>
      <c r="AD511" s="28"/>
      <c r="AE511" s="13"/>
      <c r="AF511" s="28"/>
      <c r="AG511" s="13"/>
      <c r="AH511" s="28"/>
      <c r="AI511" s="13"/>
      <c r="AJ511" s="28"/>
      <c r="AK511" s="13"/>
      <c r="AL511" s="28"/>
      <c r="AM511" s="13"/>
      <c r="AN511" s="28"/>
      <c r="AO511" s="13"/>
      <c r="AP511" s="28"/>
      <c r="AQ511" s="13"/>
      <c r="AR511" s="28"/>
      <c r="AS511" s="19">
        <f>SUM(H511,J511,L511,N511,P511,R511,T511,V511,X511,Z511,AB511,AD511,AF511,AH511,AJ511,AL511,AN511)</f>
        <v>0</v>
      </c>
      <c r="AT511" s="29" t="str">
        <f>IF(C511="","",DATE(YEAR(C511),MONTH(C511),1))</f>
        <v/>
      </c>
      <c r="AU511" s="28" t="str">
        <f>IF(AT511="","",TEXT(AT511,"mmmm yyyy"))</f>
        <v/>
      </c>
      <c r="AV511" s="29" t="str">
        <f>IF(C511="","",C511-WEEKDAY(C511,2)+1)</f>
        <v/>
      </c>
      <c r="AW511" s="29" t="str">
        <f>IF(AV511="","",AV511+6)</f>
        <v/>
      </c>
      <c r="AX511" s="28" t="str">
        <f>IF(AV511="","",TEXT(AV511,"dd/mm/yyyy")&amp;" - "&amp;TEXT(AW511,"dd/mm/yyyy"))</f>
        <v/>
      </c>
      <c r="AY511" s="28" t="str">
        <f>IF(B511="","",COUNTIFS($B$5:B511,B511,$AT$5:AT511,AT511))</f>
        <v/>
      </c>
      <c r="AZ511" s="28" t="str">
        <f>IF(B511="","",COUNTIFS($B$5:B511,B511,$AV$5:AV511,AV511))</f>
        <v/>
      </c>
      <c r="BA511" s="28" t="str">
        <f>IF(B511="","",TEXT(AY511,"00")&amp;"|"&amp;B511&amp;"|"&amp;TEXT(AT511,"yyyymmdd"))</f>
        <v/>
      </c>
      <c r="BB511" s="28" t="str">
        <f>IF(B511="","",TEXT(AZ511,"00")&amp;"|"&amp;B511&amp;"|"&amp;TEXT(AV511,"yyyymmdd"))</f>
        <v/>
      </c>
      <c r="BC511" s="28">
        <f>IF(OR(AQ511="YES",AQ511="Yes",AQ511="Y",AQ511=1),1,0)</f>
        <v>0</v>
      </c>
    </row>
    <row r="512" spans="1:55" ht="15" customHeight="1">
      <c r="A512" s="27"/>
      <c r="B512" s="28"/>
      <c r="C512" s="29"/>
      <c r="D512" s="30"/>
      <c r="E512" s="30"/>
      <c r="F512" s="28"/>
      <c r="G512" s="28"/>
      <c r="H512" s="28"/>
      <c r="I512" s="13"/>
      <c r="J512" s="28"/>
      <c r="K512" s="13"/>
      <c r="L512" s="28"/>
      <c r="M512" s="13"/>
      <c r="N512" s="28"/>
      <c r="O512" s="13"/>
      <c r="P512" s="28"/>
      <c r="Q512" s="20"/>
      <c r="R512" s="28"/>
      <c r="S512" s="20"/>
      <c r="T512" s="28"/>
      <c r="U512" s="13"/>
      <c r="V512" s="28"/>
      <c r="W512" s="13"/>
      <c r="X512" s="28"/>
      <c r="Y512" s="13"/>
      <c r="Z512" s="28"/>
      <c r="AA512" s="13"/>
      <c r="AB512" s="28"/>
      <c r="AC512" s="13"/>
      <c r="AD512" s="28"/>
      <c r="AE512" s="13"/>
      <c r="AF512" s="28"/>
      <c r="AG512" s="13"/>
      <c r="AH512" s="28"/>
      <c r="AI512" s="13"/>
      <c r="AJ512" s="28"/>
      <c r="AK512" s="13"/>
      <c r="AL512" s="28"/>
      <c r="AM512" s="13"/>
      <c r="AN512" s="28"/>
      <c r="AO512" s="13"/>
      <c r="AP512" s="28"/>
      <c r="AQ512" s="13"/>
      <c r="AR512" s="28"/>
      <c r="AS512" s="19">
        <f>SUM(H512,J512,L512,N512,P512,R512,T512,V512,X512,Z512,AB512,AD512,AF512,AH512,AJ512,AL512,AN512)</f>
        <v>0</v>
      </c>
      <c r="AT512" s="29" t="str">
        <f>IF(C512="","",DATE(YEAR(C512),MONTH(C512),1))</f>
        <v/>
      </c>
      <c r="AU512" s="28" t="str">
        <f>IF(AT512="","",TEXT(AT512,"mmmm yyyy"))</f>
        <v/>
      </c>
      <c r="AV512" s="29" t="str">
        <f>IF(C512="","",C512-WEEKDAY(C512,2)+1)</f>
        <v/>
      </c>
      <c r="AW512" s="29" t="str">
        <f>IF(AV512="","",AV512+6)</f>
        <v/>
      </c>
      <c r="AX512" s="28" t="str">
        <f>IF(AV512="","",TEXT(AV512,"dd/mm/yyyy")&amp;" - "&amp;TEXT(AW512,"dd/mm/yyyy"))</f>
        <v/>
      </c>
      <c r="AY512" s="28" t="str">
        <f>IF(B512="","",COUNTIFS($B$5:B512,B512,$AT$5:AT512,AT512))</f>
        <v/>
      </c>
      <c r="AZ512" s="28" t="str">
        <f>IF(B512="","",COUNTIFS($B$5:B512,B512,$AV$5:AV512,AV512))</f>
        <v/>
      </c>
      <c r="BA512" s="28" t="str">
        <f>IF(B512="","",TEXT(AY512,"00")&amp;"|"&amp;B512&amp;"|"&amp;TEXT(AT512,"yyyymmdd"))</f>
        <v/>
      </c>
      <c r="BB512" s="28" t="str">
        <f>IF(B512="","",TEXT(AZ512,"00")&amp;"|"&amp;B512&amp;"|"&amp;TEXT(AV512,"yyyymmdd"))</f>
        <v/>
      </c>
      <c r="BC512" s="28">
        <f>IF(OR(AQ512="YES",AQ512="Yes",AQ512="Y",AQ512=1),1,0)</f>
        <v>0</v>
      </c>
    </row>
    <row r="513" spans="1:55" ht="15" customHeight="1">
      <c r="A513" s="27"/>
      <c r="B513" s="28"/>
      <c r="C513" s="29"/>
      <c r="D513" s="30"/>
      <c r="E513" s="30"/>
      <c r="F513" s="28"/>
      <c r="G513" s="28"/>
      <c r="H513" s="28"/>
      <c r="I513" s="13"/>
      <c r="J513" s="28"/>
      <c r="K513" s="13"/>
      <c r="L513" s="28"/>
      <c r="M513" s="13"/>
      <c r="N513" s="28"/>
      <c r="O513" s="13"/>
      <c r="P513" s="28"/>
      <c r="Q513" s="20"/>
      <c r="R513" s="28"/>
      <c r="S513" s="20"/>
      <c r="T513" s="28"/>
      <c r="U513" s="13"/>
      <c r="V513" s="28"/>
      <c r="W513" s="13"/>
      <c r="X513" s="28"/>
      <c r="Y513" s="13"/>
      <c r="Z513" s="28"/>
      <c r="AA513" s="13"/>
      <c r="AB513" s="28"/>
      <c r="AC513" s="13"/>
      <c r="AD513" s="28"/>
      <c r="AE513" s="13"/>
      <c r="AF513" s="28"/>
      <c r="AG513" s="13"/>
      <c r="AH513" s="28"/>
      <c r="AI513" s="13"/>
      <c r="AJ513" s="28"/>
      <c r="AK513" s="13"/>
      <c r="AL513" s="28"/>
      <c r="AM513" s="13"/>
      <c r="AN513" s="28"/>
      <c r="AO513" s="13"/>
      <c r="AP513" s="28"/>
      <c r="AQ513" s="13"/>
      <c r="AR513" s="28"/>
      <c r="AS513" s="19">
        <f>SUM(H513,J513,L513,N513,P513,R513,T513,V513,X513,Z513,AB513,AD513,AF513,AH513,AJ513,AL513,AN513)</f>
        <v>0</v>
      </c>
      <c r="AT513" s="29" t="str">
        <f>IF(C513="","",DATE(YEAR(C513),MONTH(C513),1))</f>
        <v/>
      </c>
      <c r="AU513" s="28" t="str">
        <f>IF(AT513="","",TEXT(AT513,"mmmm yyyy"))</f>
        <v/>
      </c>
      <c r="AV513" s="29" t="str">
        <f>IF(C513="","",C513-WEEKDAY(C513,2)+1)</f>
        <v/>
      </c>
      <c r="AW513" s="29" t="str">
        <f>IF(AV513="","",AV513+6)</f>
        <v/>
      </c>
      <c r="AX513" s="28" t="str">
        <f>IF(AV513="","",TEXT(AV513,"dd/mm/yyyy")&amp;" - "&amp;TEXT(AW513,"dd/mm/yyyy"))</f>
        <v/>
      </c>
      <c r="AY513" s="28" t="str">
        <f>IF(B513="","",COUNTIFS($B$5:B513,B513,$AT$5:AT513,AT513))</f>
        <v/>
      </c>
      <c r="AZ513" s="28" t="str">
        <f>IF(B513="","",COUNTIFS($B$5:B513,B513,$AV$5:AV513,AV513))</f>
        <v/>
      </c>
      <c r="BA513" s="28" t="str">
        <f>IF(B513="","",TEXT(AY513,"00")&amp;"|"&amp;B513&amp;"|"&amp;TEXT(AT513,"yyyymmdd"))</f>
        <v/>
      </c>
      <c r="BB513" s="28" t="str">
        <f>IF(B513="","",TEXT(AZ513,"00")&amp;"|"&amp;B513&amp;"|"&amp;TEXT(AV513,"yyyymmdd"))</f>
        <v/>
      </c>
      <c r="BC513" s="28">
        <f>IF(OR(AQ513="YES",AQ513="Yes",AQ513="Y",AQ513=1),1,0)</f>
        <v>0</v>
      </c>
    </row>
    <row r="514" spans="1:55" ht="15" customHeight="1">
      <c r="A514" s="27"/>
      <c r="B514" s="28"/>
      <c r="C514" s="29"/>
      <c r="D514" s="30"/>
      <c r="E514" s="30"/>
      <c r="F514" s="28"/>
      <c r="G514" s="28"/>
      <c r="H514" s="28"/>
      <c r="I514" s="13"/>
      <c r="J514" s="28"/>
      <c r="K514" s="13"/>
      <c r="L514" s="28"/>
      <c r="M514" s="13"/>
      <c r="N514" s="28"/>
      <c r="O514" s="13"/>
      <c r="P514" s="28"/>
      <c r="Q514" s="20"/>
      <c r="R514" s="28"/>
      <c r="S514" s="20"/>
      <c r="T514" s="28"/>
      <c r="U514" s="13"/>
      <c r="V514" s="28"/>
      <c r="W514" s="13"/>
      <c r="X514" s="28"/>
      <c r="Y514" s="13"/>
      <c r="Z514" s="28"/>
      <c r="AA514" s="13"/>
      <c r="AB514" s="28"/>
      <c r="AC514" s="13"/>
      <c r="AD514" s="28"/>
      <c r="AE514" s="13"/>
      <c r="AF514" s="28"/>
      <c r="AG514" s="13"/>
      <c r="AH514" s="28"/>
      <c r="AI514" s="13"/>
      <c r="AJ514" s="28"/>
      <c r="AK514" s="13"/>
      <c r="AL514" s="28"/>
      <c r="AM514" s="13"/>
      <c r="AN514" s="28"/>
      <c r="AO514" s="13"/>
      <c r="AP514" s="28"/>
      <c r="AQ514" s="13"/>
      <c r="AR514" s="28"/>
      <c r="AS514" s="19">
        <f>SUM(H514,J514,L514,N514,P514,R514,T514,V514,X514,Z514,AB514,AD514,AF514,AH514,AJ514,AL514,AN514)</f>
        <v>0</v>
      </c>
      <c r="AT514" s="29" t="str">
        <f>IF(C514="","",DATE(YEAR(C514),MONTH(C514),1))</f>
        <v/>
      </c>
      <c r="AU514" s="28" t="str">
        <f>IF(AT514="","",TEXT(AT514,"mmmm yyyy"))</f>
        <v/>
      </c>
      <c r="AV514" s="29" t="str">
        <f>IF(C514="","",C514-WEEKDAY(C514,2)+1)</f>
        <v/>
      </c>
      <c r="AW514" s="29" t="str">
        <f>IF(AV514="","",AV514+6)</f>
        <v/>
      </c>
      <c r="AX514" s="28" t="str">
        <f>IF(AV514="","",TEXT(AV514,"dd/mm/yyyy")&amp;" - "&amp;TEXT(AW514,"dd/mm/yyyy"))</f>
        <v/>
      </c>
      <c r="AY514" s="28" t="str">
        <f>IF(B514="","",COUNTIFS($B$5:B514,B514,$AT$5:AT514,AT514))</f>
        <v/>
      </c>
      <c r="AZ514" s="28" t="str">
        <f>IF(B514="","",COUNTIFS($B$5:B514,B514,$AV$5:AV514,AV514))</f>
        <v/>
      </c>
      <c r="BA514" s="28" t="str">
        <f>IF(B514="","",TEXT(AY514,"00")&amp;"|"&amp;B514&amp;"|"&amp;TEXT(AT514,"yyyymmdd"))</f>
        <v/>
      </c>
      <c r="BB514" s="28" t="str">
        <f>IF(B514="","",TEXT(AZ514,"00")&amp;"|"&amp;B514&amp;"|"&amp;TEXT(AV514,"yyyymmdd"))</f>
        <v/>
      </c>
      <c r="BC514" s="28">
        <f>IF(OR(AQ514="YES",AQ514="Yes",AQ514="Y",AQ514=1),1,0)</f>
        <v>0</v>
      </c>
    </row>
    <row r="515" spans="1:55" ht="15" customHeight="1">
      <c r="A515" s="27"/>
      <c r="B515" s="28"/>
      <c r="C515" s="29"/>
      <c r="D515" s="30"/>
      <c r="E515" s="30"/>
      <c r="F515" s="28"/>
      <c r="G515" s="28"/>
      <c r="H515" s="28"/>
      <c r="I515" s="13"/>
      <c r="J515" s="28"/>
      <c r="K515" s="13"/>
      <c r="L515" s="28"/>
      <c r="M515" s="13"/>
      <c r="N515" s="28"/>
      <c r="O515" s="13"/>
      <c r="P515" s="28"/>
      <c r="Q515" s="20"/>
      <c r="R515" s="28"/>
      <c r="S515" s="20"/>
      <c r="T515" s="28"/>
      <c r="U515" s="13"/>
      <c r="V515" s="28"/>
      <c r="W515" s="13"/>
      <c r="X515" s="28"/>
      <c r="Y515" s="13"/>
      <c r="Z515" s="28"/>
      <c r="AA515" s="13"/>
      <c r="AB515" s="28"/>
      <c r="AC515" s="13"/>
      <c r="AD515" s="28"/>
      <c r="AE515" s="13"/>
      <c r="AF515" s="28"/>
      <c r="AG515" s="13"/>
      <c r="AH515" s="28"/>
      <c r="AI515" s="13"/>
      <c r="AJ515" s="28"/>
      <c r="AK515" s="13"/>
      <c r="AL515" s="28"/>
      <c r="AM515" s="13"/>
      <c r="AN515" s="28"/>
      <c r="AO515" s="13"/>
      <c r="AP515" s="28"/>
      <c r="AQ515" s="13"/>
      <c r="AR515" s="28"/>
      <c r="AS515" s="19">
        <f>SUM(H515,J515,L515,N515,P515,R515,T515,V515,X515,Z515,AB515,AD515,AF515,AH515,AJ515,AL515,AN515)</f>
        <v>0</v>
      </c>
      <c r="AT515" s="29" t="str">
        <f>IF(C515="","",DATE(YEAR(C515),MONTH(C515),1))</f>
        <v/>
      </c>
      <c r="AU515" s="28" t="str">
        <f>IF(AT515="","",TEXT(AT515,"mmmm yyyy"))</f>
        <v/>
      </c>
      <c r="AV515" s="29" t="str">
        <f>IF(C515="","",C515-WEEKDAY(C515,2)+1)</f>
        <v/>
      </c>
      <c r="AW515" s="29" t="str">
        <f>IF(AV515="","",AV515+6)</f>
        <v/>
      </c>
      <c r="AX515" s="28" t="str">
        <f>IF(AV515="","",TEXT(AV515,"dd/mm/yyyy")&amp;" - "&amp;TEXT(AW515,"dd/mm/yyyy"))</f>
        <v/>
      </c>
      <c r="AY515" s="28" t="str">
        <f>IF(B515="","",COUNTIFS($B$5:B515,B515,$AT$5:AT515,AT515))</f>
        <v/>
      </c>
      <c r="AZ515" s="28" t="str">
        <f>IF(B515="","",COUNTIFS($B$5:B515,B515,$AV$5:AV515,AV515))</f>
        <v/>
      </c>
      <c r="BA515" s="28" t="str">
        <f>IF(B515="","",TEXT(AY515,"00")&amp;"|"&amp;B515&amp;"|"&amp;TEXT(AT515,"yyyymmdd"))</f>
        <v/>
      </c>
      <c r="BB515" s="28" t="str">
        <f>IF(B515="","",TEXT(AZ515,"00")&amp;"|"&amp;B515&amp;"|"&amp;TEXT(AV515,"yyyymmdd"))</f>
        <v/>
      </c>
      <c r="BC515" s="28">
        <f>IF(OR(AQ515="YES",AQ515="Yes",AQ515="Y",AQ515=1),1,0)</f>
        <v>0</v>
      </c>
    </row>
    <row r="516" spans="1:55" ht="15" customHeight="1">
      <c r="A516" s="27"/>
      <c r="B516" s="28"/>
      <c r="C516" s="29"/>
      <c r="D516" s="30"/>
      <c r="E516" s="30"/>
      <c r="F516" s="28"/>
      <c r="G516" s="28"/>
      <c r="H516" s="28"/>
      <c r="I516" s="13"/>
      <c r="J516" s="28"/>
      <c r="K516" s="13"/>
      <c r="L516" s="28"/>
      <c r="M516" s="13"/>
      <c r="N516" s="28"/>
      <c r="O516" s="13"/>
      <c r="P516" s="28"/>
      <c r="Q516" s="20"/>
      <c r="R516" s="28"/>
      <c r="S516" s="20"/>
      <c r="T516" s="28"/>
      <c r="U516" s="13"/>
      <c r="V516" s="28"/>
      <c r="W516" s="13"/>
      <c r="X516" s="28"/>
      <c r="Y516" s="13"/>
      <c r="Z516" s="28"/>
      <c r="AA516" s="13"/>
      <c r="AB516" s="28"/>
      <c r="AC516" s="13"/>
      <c r="AD516" s="28"/>
      <c r="AE516" s="13"/>
      <c r="AF516" s="28"/>
      <c r="AG516" s="13"/>
      <c r="AH516" s="28"/>
      <c r="AI516" s="13"/>
      <c r="AJ516" s="28"/>
      <c r="AK516" s="13"/>
      <c r="AL516" s="28"/>
      <c r="AM516" s="13"/>
      <c r="AN516" s="28"/>
      <c r="AO516" s="13"/>
      <c r="AP516" s="28"/>
      <c r="AQ516" s="13"/>
      <c r="AR516" s="28"/>
      <c r="AS516" s="19">
        <f>SUM(H516,J516,L516,N516,P516,R516,T516,V516,X516,Z516,AB516,AD516,AF516,AH516,AJ516,AL516,AN516)</f>
        <v>0</v>
      </c>
      <c r="AT516" s="29" t="str">
        <f>IF(C516="","",DATE(YEAR(C516),MONTH(C516),1))</f>
        <v/>
      </c>
      <c r="AU516" s="28" t="str">
        <f>IF(AT516="","",TEXT(AT516,"mmmm yyyy"))</f>
        <v/>
      </c>
      <c r="AV516" s="29" t="str">
        <f>IF(C516="","",C516-WEEKDAY(C516,2)+1)</f>
        <v/>
      </c>
      <c r="AW516" s="29" t="str">
        <f>IF(AV516="","",AV516+6)</f>
        <v/>
      </c>
      <c r="AX516" s="28" t="str">
        <f>IF(AV516="","",TEXT(AV516,"dd/mm/yyyy")&amp;" - "&amp;TEXT(AW516,"dd/mm/yyyy"))</f>
        <v/>
      </c>
      <c r="AY516" s="28" t="str">
        <f>IF(B516="","",COUNTIFS($B$5:B516,B516,$AT$5:AT516,AT516))</f>
        <v/>
      </c>
      <c r="AZ516" s="28" t="str">
        <f>IF(B516="","",COUNTIFS($B$5:B516,B516,$AV$5:AV516,AV516))</f>
        <v/>
      </c>
      <c r="BA516" s="28" t="str">
        <f>IF(B516="","",TEXT(AY516,"00")&amp;"|"&amp;B516&amp;"|"&amp;TEXT(AT516,"yyyymmdd"))</f>
        <v/>
      </c>
      <c r="BB516" s="28" t="str">
        <f>IF(B516="","",TEXT(AZ516,"00")&amp;"|"&amp;B516&amp;"|"&amp;TEXT(AV516,"yyyymmdd"))</f>
        <v/>
      </c>
      <c r="BC516" s="28">
        <f>IF(OR(AQ516="YES",AQ516="Yes",AQ516="Y",AQ516=1),1,0)</f>
        <v>0</v>
      </c>
    </row>
    <row r="517" spans="1:55" ht="15" customHeight="1">
      <c r="A517" s="27"/>
      <c r="B517" s="28"/>
      <c r="C517" s="29"/>
      <c r="D517" s="30"/>
      <c r="E517" s="30"/>
      <c r="F517" s="28"/>
      <c r="G517" s="28"/>
      <c r="H517" s="28"/>
      <c r="I517" s="13"/>
      <c r="J517" s="28"/>
      <c r="K517" s="13"/>
      <c r="L517" s="28"/>
      <c r="M517" s="13"/>
      <c r="N517" s="28"/>
      <c r="O517" s="13"/>
      <c r="P517" s="28"/>
      <c r="Q517" s="20"/>
      <c r="R517" s="28"/>
      <c r="S517" s="20"/>
      <c r="T517" s="28"/>
      <c r="U517" s="13"/>
      <c r="V517" s="28"/>
      <c r="W517" s="13"/>
      <c r="X517" s="28"/>
      <c r="Y517" s="13"/>
      <c r="Z517" s="28"/>
      <c r="AA517" s="13"/>
      <c r="AB517" s="28"/>
      <c r="AC517" s="13"/>
      <c r="AD517" s="28"/>
      <c r="AE517" s="13"/>
      <c r="AF517" s="28"/>
      <c r="AG517" s="13"/>
      <c r="AH517" s="28"/>
      <c r="AI517" s="13"/>
      <c r="AJ517" s="28"/>
      <c r="AK517" s="13"/>
      <c r="AL517" s="28"/>
      <c r="AM517" s="13"/>
      <c r="AN517" s="28"/>
      <c r="AO517" s="13"/>
      <c r="AP517" s="28"/>
      <c r="AQ517" s="13"/>
      <c r="AR517" s="28"/>
      <c r="AS517" s="19">
        <f>SUM(H517,J517,L517,N517,P517,R517,T517,V517,X517,Z517,AB517,AD517,AF517,AH517,AJ517,AL517,AN517)</f>
        <v>0</v>
      </c>
      <c r="AT517" s="29" t="str">
        <f>IF(C517="","",DATE(YEAR(C517),MONTH(C517),1))</f>
        <v/>
      </c>
      <c r="AU517" s="28" t="str">
        <f>IF(AT517="","",TEXT(AT517,"mmmm yyyy"))</f>
        <v/>
      </c>
      <c r="AV517" s="29" t="str">
        <f>IF(C517="","",C517-WEEKDAY(C517,2)+1)</f>
        <v/>
      </c>
      <c r="AW517" s="29" t="str">
        <f>IF(AV517="","",AV517+6)</f>
        <v/>
      </c>
      <c r="AX517" s="28" t="str">
        <f>IF(AV517="","",TEXT(AV517,"dd/mm/yyyy")&amp;" - "&amp;TEXT(AW517,"dd/mm/yyyy"))</f>
        <v/>
      </c>
      <c r="AY517" s="28" t="str">
        <f>IF(B517="","",COUNTIFS($B$5:B517,B517,$AT$5:AT517,AT517))</f>
        <v/>
      </c>
      <c r="AZ517" s="28" t="str">
        <f>IF(B517="","",COUNTIFS($B$5:B517,B517,$AV$5:AV517,AV517))</f>
        <v/>
      </c>
      <c r="BA517" s="28" t="str">
        <f>IF(B517="","",TEXT(AY517,"00")&amp;"|"&amp;B517&amp;"|"&amp;TEXT(AT517,"yyyymmdd"))</f>
        <v/>
      </c>
      <c r="BB517" s="28" t="str">
        <f>IF(B517="","",TEXT(AZ517,"00")&amp;"|"&amp;B517&amp;"|"&amp;TEXT(AV517,"yyyymmdd"))</f>
        <v/>
      </c>
      <c r="BC517" s="28">
        <f>IF(OR(AQ517="YES",AQ517="Yes",AQ517="Y",AQ517=1),1,0)</f>
        <v>0</v>
      </c>
    </row>
    <row r="518" spans="1:55" ht="15" customHeight="1">
      <c r="A518" s="27"/>
      <c r="B518" s="28"/>
      <c r="C518" s="29"/>
      <c r="D518" s="30"/>
      <c r="E518" s="30"/>
      <c r="F518" s="28"/>
      <c r="G518" s="28"/>
      <c r="H518" s="28"/>
      <c r="I518" s="13"/>
      <c r="J518" s="28"/>
      <c r="K518" s="13"/>
      <c r="L518" s="28"/>
      <c r="M518" s="13"/>
      <c r="N518" s="28"/>
      <c r="O518" s="13"/>
      <c r="P518" s="28"/>
      <c r="Q518" s="20"/>
      <c r="R518" s="28"/>
      <c r="S518" s="20"/>
      <c r="T518" s="28"/>
      <c r="U518" s="13"/>
      <c r="V518" s="28"/>
      <c r="W518" s="13"/>
      <c r="X518" s="28"/>
      <c r="Y518" s="13"/>
      <c r="Z518" s="28"/>
      <c r="AA518" s="13"/>
      <c r="AB518" s="28"/>
      <c r="AC518" s="13"/>
      <c r="AD518" s="28"/>
      <c r="AE518" s="13"/>
      <c r="AF518" s="28"/>
      <c r="AG518" s="13"/>
      <c r="AH518" s="28"/>
      <c r="AI518" s="13"/>
      <c r="AJ518" s="28"/>
      <c r="AK518" s="13"/>
      <c r="AL518" s="28"/>
      <c r="AM518" s="13"/>
      <c r="AN518" s="28"/>
      <c r="AO518" s="13"/>
      <c r="AP518" s="28"/>
      <c r="AQ518" s="13"/>
      <c r="AR518" s="28"/>
      <c r="AS518" s="19">
        <f>SUM(H518,J518,L518,N518,P518,R518,T518,V518,X518,Z518,AB518,AD518,AF518,AH518,AJ518,AL518,AN518)</f>
        <v>0</v>
      </c>
      <c r="AT518" s="29" t="str">
        <f>IF(C518="","",DATE(YEAR(C518),MONTH(C518),1))</f>
        <v/>
      </c>
      <c r="AU518" s="28" t="str">
        <f>IF(AT518="","",TEXT(AT518,"mmmm yyyy"))</f>
        <v/>
      </c>
      <c r="AV518" s="29" t="str">
        <f>IF(C518="","",C518-WEEKDAY(C518,2)+1)</f>
        <v/>
      </c>
      <c r="AW518" s="29" t="str">
        <f>IF(AV518="","",AV518+6)</f>
        <v/>
      </c>
      <c r="AX518" s="28" t="str">
        <f>IF(AV518="","",TEXT(AV518,"dd/mm/yyyy")&amp;" - "&amp;TEXT(AW518,"dd/mm/yyyy"))</f>
        <v/>
      </c>
      <c r="AY518" s="28" t="str">
        <f>IF(B518="","",COUNTIFS($B$5:B518,B518,$AT$5:AT518,AT518))</f>
        <v/>
      </c>
      <c r="AZ518" s="28" t="str">
        <f>IF(B518="","",COUNTIFS($B$5:B518,B518,$AV$5:AV518,AV518))</f>
        <v/>
      </c>
      <c r="BA518" s="28" t="str">
        <f>IF(B518="","",TEXT(AY518,"00")&amp;"|"&amp;B518&amp;"|"&amp;TEXT(AT518,"yyyymmdd"))</f>
        <v/>
      </c>
      <c r="BB518" s="28" t="str">
        <f>IF(B518="","",TEXT(AZ518,"00")&amp;"|"&amp;B518&amp;"|"&amp;TEXT(AV518,"yyyymmdd"))</f>
        <v/>
      </c>
      <c r="BC518" s="28">
        <f>IF(OR(AQ518="YES",AQ518="Yes",AQ518="Y",AQ518=1),1,0)</f>
        <v>0</v>
      </c>
    </row>
    <row r="519" spans="1:55" ht="15" customHeight="1">
      <c r="A519" s="27"/>
      <c r="B519" s="28"/>
      <c r="C519" s="29"/>
      <c r="D519" s="30"/>
      <c r="E519" s="30"/>
      <c r="F519" s="28"/>
      <c r="G519" s="28"/>
      <c r="H519" s="28"/>
      <c r="I519" s="13"/>
      <c r="J519" s="28"/>
      <c r="K519" s="13"/>
      <c r="L519" s="28"/>
      <c r="M519" s="13"/>
      <c r="N519" s="28"/>
      <c r="O519" s="13"/>
      <c r="P519" s="28"/>
      <c r="Q519" s="20"/>
      <c r="R519" s="28"/>
      <c r="S519" s="20"/>
      <c r="T519" s="28"/>
      <c r="U519" s="13"/>
      <c r="V519" s="28"/>
      <c r="W519" s="13"/>
      <c r="X519" s="28"/>
      <c r="Y519" s="13"/>
      <c r="Z519" s="28"/>
      <c r="AA519" s="13"/>
      <c r="AB519" s="28"/>
      <c r="AC519" s="13"/>
      <c r="AD519" s="28"/>
      <c r="AE519" s="13"/>
      <c r="AF519" s="28"/>
      <c r="AG519" s="13"/>
      <c r="AH519" s="28"/>
      <c r="AI519" s="13"/>
      <c r="AJ519" s="28"/>
      <c r="AK519" s="13"/>
      <c r="AL519" s="28"/>
      <c r="AM519" s="13"/>
      <c r="AN519" s="28"/>
      <c r="AO519" s="13"/>
      <c r="AP519" s="28"/>
      <c r="AQ519" s="13"/>
      <c r="AR519" s="28"/>
      <c r="AS519" s="19">
        <f>SUM(H519,J519,L519,N519,P519,R519,T519,V519,X519,Z519,AB519,AD519,AF519,AH519,AJ519,AL519,AN519)</f>
        <v>0</v>
      </c>
      <c r="AT519" s="29" t="str">
        <f>IF(C519="","",DATE(YEAR(C519),MONTH(C519),1))</f>
        <v/>
      </c>
      <c r="AU519" s="28" t="str">
        <f>IF(AT519="","",TEXT(AT519,"mmmm yyyy"))</f>
        <v/>
      </c>
      <c r="AV519" s="29" t="str">
        <f>IF(C519="","",C519-WEEKDAY(C519,2)+1)</f>
        <v/>
      </c>
      <c r="AW519" s="29" t="str">
        <f>IF(AV519="","",AV519+6)</f>
        <v/>
      </c>
      <c r="AX519" s="28" t="str">
        <f>IF(AV519="","",TEXT(AV519,"dd/mm/yyyy")&amp;" - "&amp;TEXT(AW519,"dd/mm/yyyy"))</f>
        <v/>
      </c>
      <c r="AY519" s="28" t="str">
        <f>IF(B519="","",COUNTIFS($B$5:B519,B519,$AT$5:AT519,AT519))</f>
        <v/>
      </c>
      <c r="AZ519" s="28" t="str">
        <f>IF(B519="","",COUNTIFS($B$5:B519,B519,$AV$5:AV519,AV519))</f>
        <v/>
      </c>
      <c r="BA519" s="28" t="str">
        <f>IF(B519="","",TEXT(AY519,"00")&amp;"|"&amp;B519&amp;"|"&amp;TEXT(AT519,"yyyymmdd"))</f>
        <v/>
      </c>
      <c r="BB519" s="28" t="str">
        <f>IF(B519="","",TEXT(AZ519,"00")&amp;"|"&amp;B519&amp;"|"&amp;TEXT(AV519,"yyyymmdd"))</f>
        <v/>
      </c>
      <c r="BC519" s="28">
        <f>IF(OR(AQ519="YES",AQ519="Yes",AQ519="Y",AQ519=1),1,0)</f>
        <v>0</v>
      </c>
    </row>
    <row r="520" spans="1:55" ht="15" customHeight="1">
      <c r="A520" s="27"/>
      <c r="B520" s="28"/>
      <c r="C520" s="29"/>
      <c r="D520" s="30"/>
      <c r="E520" s="30"/>
      <c r="F520" s="28"/>
      <c r="G520" s="28"/>
      <c r="H520" s="28"/>
      <c r="I520" s="13"/>
      <c r="J520" s="28"/>
      <c r="K520" s="13"/>
      <c r="L520" s="28"/>
      <c r="M520" s="13"/>
      <c r="N520" s="28"/>
      <c r="O520" s="13"/>
      <c r="P520" s="28"/>
      <c r="Q520" s="20"/>
      <c r="R520" s="28"/>
      <c r="S520" s="20"/>
      <c r="T520" s="28"/>
      <c r="U520" s="13"/>
      <c r="V520" s="28"/>
      <c r="W520" s="13"/>
      <c r="X520" s="28"/>
      <c r="Y520" s="13"/>
      <c r="Z520" s="28"/>
      <c r="AA520" s="13"/>
      <c r="AB520" s="28"/>
      <c r="AC520" s="13"/>
      <c r="AD520" s="28"/>
      <c r="AE520" s="13"/>
      <c r="AF520" s="28"/>
      <c r="AG520" s="13"/>
      <c r="AH520" s="28"/>
      <c r="AI520" s="13"/>
      <c r="AJ520" s="28"/>
      <c r="AK520" s="13"/>
      <c r="AL520" s="28"/>
      <c r="AM520" s="13"/>
      <c r="AN520" s="28"/>
      <c r="AO520" s="13"/>
      <c r="AP520" s="28"/>
      <c r="AQ520" s="13"/>
      <c r="AR520" s="28"/>
      <c r="AS520" s="19">
        <f>SUM(H520,J520,L520,N520,P520,R520,T520,V520,X520,Z520,AB520,AD520,AF520,AH520,AJ520,AL520,AN520)</f>
        <v>0</v>
      </c>
      <c r="AT520" s="29" t="str">
        <f>IF(C520="","",DATE(YEAR(C520),MONTH(C520),1))</f>
        <v/>
      </c>
      <c r="AU520" s="28" t="str">
        <f>IF(AT520="","",TEXT(AT520,"mmmm yyyy"))</f>
        <v/>
      </c>
      <c r="AV520" s="29" t="str">
        <f>IF(C520="","",C520-WEEKDAY(C520,2)+1)</f>
        <v/>
      </c>
      <c r="AW520" s="29" t="str">
        <f>IF(AV520="","",AV520+6)</f>
        <v/>
      </c>
      <c r="AX520" s="28" t="str">
        <f>IF(AV520="","",TEXT(AV520,"dd/mm/yyyy")&amp;" - "&amp;TEXT(AW520,"dd/mm/yyyy"))</f>
        <v/>
      </c>
      <c r="AY520" s="28" t="str">
        <f>IF(B520="","",COUNTIFS($B$5:B520,B520,$AT$5:AT520,AT520))</f>
        <v/>
      </c>
      <c r="AZ520" s="28" t="str">
        <f>IF(B520="","",COUNTIFS($B$5:B520,B520,$AV$5:AV520,AV520))</f>
        <v/>
      </c>
      <c r="BA520" s="28" t="str">
        <f>IF(B520="","",TEXT(AY520,"00")&amp;"|"&amp;B520&amp;"|"&amp;TEXT(AT520,"yyyymmdd"))</f>
        <v/>
      </c>
      <c r="BB520" s="28" t="str">
        <f>IF(B520="","",TEXT(AZ520,"00")&amp;"|"&amp;B520&amp;"|"&amp;TEXT(AV520,"yyyymmdd"))</f>
        <v/>
      </c>
      <c r="BC520" s="28">
        <f>IF(OR(AQ520="YES",AQ520="Yes",AQ520="Y",AQ520=1),1,0)</f>
        <v>0</v>
      </c>
    </row>
    <row r="521" spans="1:55" ht="15" customHeight="1">
      <c r="A521" s="27"/>
      <c r="B521" s="28"/>
      <c r="C521" s="29"/>
      <c r="D521" s="30"/>
      <c r="E521" s="30"/>
      <c r="F521" s="28"/>
      <c r="G521" s="28"/>
      <c r="H521" s="28"/>
      <c r="I521" s="13"/>
      <c r="J521" s="28"/>
      <c r="K521" s="13"/>
      <c r="L521" s="28"/>
      <c r="M521" s="13"/>
      <c r="N521" s="28"/>
      <c r="O521" s="13"/>
      <c r="P521" s="28"/>
      <c r="Q521" s="20"/>
      <c r="R521" s="28"/>
      <c r="S521" s="20"/>
      <c r="T521" s="28"/>
      <c r="U521" s="13"/>
      <c r="V521" s="28"/>
      <c r="W521" s="13"/>
      <c r="X521" s="28"/>
      <c r="Y521" s="13"/>
      <c r="Z521" s="28"/>
      <c r="AA521" s="13"/>
      <c r="AB521" s="28"/>
      <c r="AC521" s="13"/>
      <c r="AD521" s="28"/>
      <c r="AE521" s="13"/>
      <c r="AF521" s="28"/>
      <c r="AG521" s="13"/>
      <c r="AH521" s="28"/>
      <c r="AI521" s="13"/>
      <c r="AJ521" s="28"/>
      <c r="AK521" s="13"/>
      <c r="AL521" s="28"/>
      <c r="AM521" s="13"/>
      <c r="AN521" s="28"/>
      <c r="AO521" s="13"/>
      <c r="AP521" s="28"/>
      <c r="AQ521" s="13"/>
      <c r="AR521" s="28"/>
      <c r="AS521" s="19">
        <f>SUM(H521,J521,L521,N521,P521,R521,T521,V521,X521,Z521,AB521,AD521,AF521,AH521,AJ521,AL521,AN521)</f>
        <v>0</v>
      </c>
      <c r="AT521" s="29" t="str">
        <f>IF(C521="","",DATE(YEAR(C521),MONTH(C521),1))</f>
        <v/>
      </c>
      <c r="AU521" s="28" t="str">
        <f>IF(AT521="","",TEXT(AT521,"mmmm yyyy"))</f>
        <v/>
      </c>
      <c r="AV521" s="29" t="str">
        <f>IF(C521="","",C521-WEEKDAY(C521,2)+1)</f>
        <v/>
      </c>
      <c r="AW521" s="29" t="str">
        <f>IF(AV521="","",AV521+6)</f>
        <v/>
      </c>
      <c r="AX521" s="28" t="str">
        <f>IF(AV521="","",TEXT(AV521,"dd/mm/yyyy")&amp;" - "&amp;TEXT(AW521,"dd/mm/yyyy"))</f>
        <v/>
      </c>
      <c r="AY521" s="28" t="str">
        <f>IF(B521="","",COUNTIFS($B$5:B521,B521,$AT$5:AT521,AT521))</f>
        <v/>
      </c>
      <c r="AZ521" s="28" t="str">
        <f>IF(B521="","",COUNTIFS($B$5:B521,B521,$AV$5:AV521,AV521))</f>
        <v/>
      </c>
      <c r="BA521" s="28" t="str">
        <f>IF(B521="","",TEXT(AY521,"00")&amp;"|"&amp;B521&amp;"|"&amp;TEXT(AT521,"yyyymmdd"))</f>
        <v/>
      </c>
      <c r="BB521" s="28" t="str">
        <f>IF(B521="","",TEXT(AZ521,"00")&amp;"|"&amp;B521&amp;"|"&amp;TEXT(AV521,"yyyymmdd"))</f>
        <v/>
      </c>
      <c r="BC521" s="28">
        <f>IF(OR(AQ521="YES",AQ521="Yes",AQ521="Y",AQ521=1),1,0)</f>
        <v>0</v>
      </c>
    </row>
    <row r="522" spans="1:55" ht="15" customHeight="1">
      <c r="A522" s="27"/>
      <c r="B522" s="28"/>
      <c r="C522" s="29"/>
      <c r="D522" s="30"/>
      <c r="E522" s="30"/>
      <c r="F522" s="28"/>
      <c r="G522" s="28"/>
      <c r="H522" s="28"/>
      <c r="I522" s="13"/>
      <c r="J522" s="28"/>
      <c r="K522" s="13"/>
      <c r="L522" s="28"/>
      <c r="M522" s="13"/>
      <c r="N522" s="28"/>
      <c r="O522" s="13"/>
      <c r="P522" s="28"/>
      <c r="Q522" s="20"/>
      <c r="R522" s="28"/>
      <c r="S522" s="20"/>
      <c r="T522" s="28"/>
      <c r="U522" s="13"/>
      <c r="V522" s="28"/>
      <c r="W522" s="13"/>
      <c r="X522" s="28"/>
      <c r="Y522" s="13"/>
      <c r="Z522" s="28"/>
      <c r="AA522" s="13"/>
      <c r="AB522" s="28"/>
      <c r="AC522" s="13"/>
      <c r="AD522" s="28"/>
      <c r="AE522" s="13"/>
      <c r="AF522" s="28"/>
      <c r="AG522" s="13"/>
      <c r="AH522" s="28"/>
      <c r="AI522" s="13"/>
      <c r="AJ522" s="28"/>
      <c r="AK522" s="13"/>
      <c r="AL522" s="28"/>
      <c r="AM522" s="13"/>
      <c r="AN522" s="28"/>
      <c r="AO522" s="13"/>
      <c r="AP522" s="28"/>
      <c r="AQ522" s="13"/>
      <c r="AR522" s="28"/>
      <c r="AS522" s="19">
        <f>SUM(H522,J522,L522,N522,P522,R522,T522,V522,X522,Z522,AB522,AD522,AF522,AH522,AJ522,AL522,AN522)</f>
        <v>0</v>
      </c>
      <c r="AT522" s="29" t="str">
        <f>IF(C522="","",DATE(YEAR(C522),MONTH(C522),1))</f>
        <v/>
      </c>
      <c r="AU522" s="28" t="str">
        <f>IF(AT522="","",TEXT(AT522,"mmmm yyyy"))</f>
        <v/>
      </c>
      <c r="AV522" s="29" t="str">
        <f>IF(C522="","",C522-WEEKDAY(C522,2)+1)</f>
        <v/>
      </c>
      <c r="AW522" s="29" t="str">
        <f>IF(AV522="","",AV522+6)</f>
        <v/>
      </c>
      <c r="AX522" s="28" t="str">
        <f>IF(AV522="","",TEXT(AV522,"dd/mm/yyyy")&amp;" - "&amp;TEXT(AW522,"dd/mm/yyyy"))</f>
        <v/>
      </c>
      <c r="AY522" s="28" t="str">
        <f>IF(B522="","",COUNTIFS($B$5:B522,B522,$AT$5:AT522,AT522))</f>
        <v/>
      </c>
      <c r="AZ522" s="28" t="str">
        <f>IF(B522="","",COUNTIFS($B$5:B522,B522,$AV$5:AV522,AV522))</f>
        <v/>
      </c>
      <c r="BA522" s="28" t="str">
        <f>IF(B522="","",TEXT(AY522,"00")&amp;"|"&amp;B522&amp;"|"&amp;TEXT(AT522,"yyyymmdd"))</f>
        <v/>
      </c>
      <c r="BB522" s="28" t="str">
        <f>IF(B522="","",TEXT(AZ522,"00")&amp;"|"&amp;B522&amp;"|"&amp;TEXT(AV522,"yyyymmdd"))</f>
        <v/>
      </c>
      <c r="BC522" s="28">
        <f>IF(OR(AQ522="YES",AQ522="Yes",AQ522="Y",AQ522=1),1,0)</f>
        <v>0</v>
      </c>
    </row>
    <row r="523" spans="1:55" ht="15" customHeight="1">
      <c r="A523" s="27"/>
      <c r="B523" s="28"/>
      <c r="C523" s="29"/>
      <c r="D523" s="30"/>
      <c r="E523" s="30"/>
      <c r="F523" s="28"/>
      <c r="G523" s="28"/>
      <c r="H523" s="28"/>
      <c r="I523" s="13"/>
      <c r="J523" s="28"/>
      <c r="K523" s="13"/>
      <c r="L523" s="28"/>
      <c r="M523" s="13"/>
      <c r="N523" s="28"/>
      <c r="O523" s="13"/>
      <c r="P523" s="28"/>
      <c r="Q523" s="20"/>
      <c r="R523" s="28"/>
      <c r="S523" s="20"/>
      <c r="T523" s="28"/>
      <c r="U523" s="13"/>
      <c r="V523" s="28"/>
      <c r="W523" s="13"/>
      <c r="X523" s="28"/>
      <c r="Y523" s="13"/>
      <c r="Z523" s="28"/>
      <c r="AA523" s="13"/>
      <c r="AB523" s="28"/>
      <c r="AC523" s="13"/>
      <c r="AD523" s="28"/>
      <c r="AE523" s="13"/>
      <c r="AF523" s="28"/>
      <c r="AG523" s="13"/>
      <c r="AH523" s="28"/>
      <c r="AI523" s="13"/>
      <c r="AJ523" s="28"/>
      <c r="AK523" s="13"/>
      <c r="AL523" s="28"/>
      <c r="AM523" s="13"/>
      <c r="AN523" s="28"/>
      <c r="AO523" s="13"/>
      <c r="AP523" s="28"/>
      <c r="AQ523" s="13"/>
      <c r="AR523" s="28"/>
      <c r="AS523" s="19">
        <f>SUM(H523,J523,L523,N523,P523,R523,T523,V523,X523,Z523,AB523,AD523,AF523,AH523,AJ523,AL523,AN523)</f>
        <v>0</v>
      </c>
      <c r="AT523" s="29" t="str">
        <f>IF(C523="","",DATE(YEAR(C523),MONTH(C523),1))</f>
        <v/>
      </c>
      <c r="AU523" s="28" t="str">
        <f>IF(AT523="","",TEXT(AT523,"mmmm yyyy"))</f>
        <v/>
      </c>
      <c r="AV523" s="29" t="str">
        <f>IF(C523="","",C523-WEEKDAY(C523,2)+1)</f>
        <v/>
      </c>
      <c r="AW523" s="29" t="str">
        <f>IF(AV523="","",AV523+6)</f>
        <v/>
      </c>
      <c r="AX523" s="28" t="str">
        <f>IF(AV523="","",TEXT(AV523,"dd/mm/yyyy")&amp;" - "&amp;TEXT(AW523,"dd/mm/yyyy"))</f>
        <v/>
      </c>
      <c r="AY523" s="28" t="str">
        <f>IF(B523="","",COUNTIFS($B$5:B523,B523,$AT$5:AT523,AT523))</f>
        <v/>
      </c>
      <c r="AZ523" s="28" t="str">
        <f>IF(B523="","",COUNTIFS($B$5:B523,B523,$AV$5:AV523,AV523))</f>
        <v/>
      </c>
      <c r="BA523" s="28" t="str">
        <f>IF(B523="","",TEXT(AY523,"00")&amp;"|"&amp;B523&amp;"|"&amp;TEXT(AT523,"yyyymmdd"))</f>
        <v/>
      </c>
      <c r="BB523" s="28" t="str">
        <f>IF(B523="","",TEXT(AZ523,"00")&amp;"|"&amp;B523&amp;"|"&amp;TEXT(AV523,"yyyymmdd"))</f>
        <v/>
      </c>
      <c r="BC523" s="28">
        <f>IF(OR(AQ523="YES",AQ523="Yes",AQ523="Y",AQ523=1),1,0)</f>
        <v>0</v>
      </c>
    </row>
    <row r="524" spans="1:55" ht="15" customHeight="1">
      <c r="A524" s="27"/>
      <c r="B524" s="28"/>
      <c r="C524" s="29"/>
      <c r="D524" s="30"/>
      <c r="E524" s="30"/>
      <c r="F524" s="28"/>
      <c r="G524" s="28"/>
      <c r="H524" s="28"/>
      <c r="I524" s="13"/>
      <c r="J524" s="28"/>
      <c r="K524" s="13"/>
      <c r="L524" s="28"/>
      <c r="M524" s="13"/>
      <c r="N524" s="28"/>
      <c r="O524" s="13"/>
      <c r="P524" s="28"/>
      <c r="Q524" s="20"/>
      <c r="R524" s="28"/>
      <c r="S524" s="20"/>
      <c r="T524" s="28"/>
      <c r="U524" s="13"/>
      <c r="V524" s="28"/>
      <c r="W524" s="13"/>
      <c r="X524" s="28"/>
      <c r="Y524" s="13"/>
      <c r="Z524" s="28"/>
      <c r="AA524" s="13"/>
      <c r="AB524" s="28"/>
      <c r="AC524" s="13"/>
      <c r="AD524" s="28"/>
      <c r="AE524" s="13"/>
      <c r="AF524" s="28"/>
      <c r="AG524" s="13"/>
      <c r="AH524" s="28"/>
      <c r="AI524" s="13"/>
      <c r="AJ524" s="28"/>
      <c r="AK524" s="13"/>
      <c r="AL524" s="28"/>
      <c r="AM524" s="13"/>
      <c r="AN524" s="28"/>
      <c r="AO524" s="13"/>
      <c r="AP524" s="28"/>
      <c r="AQ524" s="13"/>
      <c r="AR524" s="28"/>
      <c r="AS524" s="19">
        <f>SUM(H524,J524,L524,N524,P524,R524,T524,V524,X524,Z524,AB524,AD524,AF524,AH524,AJ524,AL524,AN524)</f>
        <v>0</v>
      </c>
      <c r="AT524" s="29" t="str">
        <f>IF(C524="","",DATE(YEAR(C524),MONTH(C524),1))</f>
        <v/>
      </c>
      <c r="AU524" s="28" t="str">
        <f>IF(AT524="","",TEXT(AT524,"mmmm yyyy"))</f>
        <v/>
      </c>
      <c r="AV524" s="29" t="str">
        <f>IF(C524="","",C524-WEEKDAY(C524,2)+1)</f>
        <v/>
      </c>
      <c r="AW524" s="29" t="str">
        <f>IF(AV524="","",AV524+6)</f>
        <v/>
      </c>
      <c r="AX524" s="28" t="str">
        <f>IF(AV524="","",TEXT(AV524,"dd/mm/yyyy")&amp;" - "&amp;TEXT(AW524,"dd/mm/yyyy"))</f>
        <v/>
      </c>
      <c r="AY524" s="28" t="str">
        <f>IF(B524="","",COUNTIFS($B$5:B524,B524,$AT$5:AT524,AT524))</f>
        <v/>
      </c>
      <c r="AZ524" s="28" t="str">
        <f>IF(B524="","",COUNTIFS($B$5:B524,B524,$AV$5:AV524,AV524))</f>
        <v/>
      </c>
      <c r="BA524" s="28" t="str">
        <f>IF(B524="","",TEXT(AY524,"00")&amp;"|"&amp;B524&amp;"|"&amp;TEXT(AT524,"yyyymmdd"))</f>
        <v/>
      </c>
      <c r="BB524" s="28" t="str">
        <f>IF(B524="","",TEXT(AZ524,"00")&amp;"|"&amp;B524&amp;"|"&amp;TEXT(AV524,"yyyymmdd"))</f>
        <v/>
      </c>
      <c r="BC524" s="28">
        <f>IF(OR(AQ524="YES",AQ524="Yes",AQ524="Y",AQ524=1),1,0)</f>
        <v>0</v>
      </c>
    </row>
    <row r="525" spans="1:55" ht="15" customHeight="1">
      <c r="A525" s="27"/>
      <c r="B525" s="28"/>
      <c r="C525" s="29"/>
      <c r="D525" s="30"/>
      <c r="E525" s="30"/>
      <c r="F525" s="28"/>
      <c r="G525" s="28"/>
      <c r="H525" s="28"/>
      <c r="I525" s="13"/>
      <c r="J525" s="28"/>
      <c r="K525" s="13"/>
      <c r="L525" s="28"/>
      <c r="M525" s="13"/>
      <c r="N525" s="28"/>
      <c r="O525" s="13"/>
      <c r="P525" s="28"/>
      <c r="Q525" s="20"/>
      <c r="R525" s="28"/>
      <c r="S525" s="20"/>
      <c r="T525" s="28"/>
      <c r="U525" s="13"/>
      <c r="V525" s="28"/>
      <c r="W525" s="13"/>
      <c r="X525" s="28"/>
      <c r="Y525" s="13"/>
      <c r="Z525" s="28"/>
      <c r="AA525" s="13"/>
      <c r="AB525" s="28"/>
      <c r="AC525" s="13"/>
      <c r="AD525" s="28"/>
      <c r="AE525" s="13"/>
      <c r="AF525" s="28"/>
      <c r="AG525" s="13"/>
      <c r="AH525" s="28"/>
      <c r="AI525" s="13"/>
      <c r="AJ525" s="28"/>
      <c r="AK525" s="13"/>
      <c r="AL525" s="28"/>
      <c r="AM525" s="13"/>
      <c r="AN525" s="28"/>
      <c r="AO525" s="13"/>
      <c r="AP525" s="28"/>
      <c r="AQ525" s="13"/>
      <c r="AR525" s="28"/>
      <c r="AS525" s="19">
        <f>SUM(H525,J525,L525,N525,P525,R525,T525,V525,X525,Z525,AB525,AD525,AF525,AH525,AJ525,AL525,AN525)</f>
        <v>0</v>
      </c>
      <c r="AT525" s="29" t="str">
        <f>IF(C525="","",DATE(YEAR(C525),MONTH(C525),1))</f>
        <v/>
      </c>
      <c r="AU525" s="28" t="str">
        <f>IF(AT525="","",TEXT(AT525,"mmmm yyyy"))</f>
        <v/>
      </c>
      <c r="AV525" s="29" t="str">
        <f>IF(C525="","",C525-WEEKDAY(C525,2)+1)</f>
        <v/>
      </c>
      <c r="AW525" s="29" t="str">
        <f>IF(AV525="","",AV525+6)</f>
        <v/>
      </c>
      <c r="AX525" s="28" t="str">
        <f>IF(AV525="","",TEXT(AV525,"dd/mm/yyyy")&amp;" - "&amp;TEXT(AW525,"dd/mm/yyyy"))</f>
        <v/>
      </c>
      <c r="AY525" s="28" t="str">
        <f>IF(B525="","",COUNTIFS($B$5:B525,B525,$AT$5:AT525,AT525))</f>
        <v/>
      </c>
      <c r="AZ525" s="28" t="str">
        <f>IF(B525="","",COUNTIFS($B$5:B525,B525,$AV$5:AV525,AV525))</f>
        <v/>
      </c>
      <c r="BA525" s="28" t="str">
        <f>IF(B525="","",TEXT(AY525,"00")&amp;"|"&amp;B525&amp;"|"&amp;TEXT(AT525,"yyyymmdd"))</f>
        <v/>
      </c>
      <c r="BB525" s="28" t="str">
        <f>IF(B525="","",TEXT(AZ525,"00")&amp;"|"&amp;B525&amp;"|"&amp;TEXT(AV525,"yyyymmdd"))</f>
        <v/>
      </c>
      <c r="BC525" s="28">
        <f>IF(OR(AQ525="YES",AQ525="Yes",AQ525="Y",AQ525=1),1,0)</f>
        <v>0</v>
      </c>
    </row>
    <row r="526" spans="1:55" ht="15" customHeight="1">
      <c r="A526" s="27"/>
      <c r="B526" s="28"/>
      <c r="C526" s="29"/>
      <c r="D526" s="30"/>
      <c r="E526" s="30"/>
      <c r="F526" s="28"/>
      <c r="G526" s="28"/>
      <c r="H526" s="28"/>
      <c r="I526" s="13"/>
      <c r="J526" s="28"/>
      <c r="K526" s="13"/>
      <c r="L526" s="28"/>
      <c r="M526" s="13"/>
      <c r="N526" s="28"/>
      <c r="O526" s="13"/>
      <c r="P526" s="28"/>
      <c r="Q526" s="20"/>
      <c r="R526" s="28"/>
      <c r="S526" s="20"/>
      <c r="T526" s="28"/>
      <c r="U526" s="13"/>
      <c r="V526" s="28"/>
      <c r="W526" s="13"/>
      <c r="X526" s="28"/>
      <c r="Y526" s="13"/>
      <c r="Z526" s="28"/>
      <c r="AA526" s="13"/>
      <c r="AB526" s="28"/>
      <c r="AC526" s="13"/>
      <c r="AD526" s="28"/>
      <c r="AE526" s="13"/>
      <c r="AF526" s="28"/>
      <c r="AG526" s="13"/>
      <c r="AH526" s="28"/>
      <c r="AI526" s="13"/>
      <c r="AJ526" s="28"/>
      <c r="AK526" s="13"/>
      <c r="AL526" s="28"/>
      <c r="AM526" s="13"/>
      <c r="AN526" s="28"/>
      <c r="AO526" s="13"/>
      <c r="AP526" s="28"/>
      <c r="AQ526" s="13"/>
      <c r="AR526" s="28"/>
      <c r="AS526" s="19">
        <f>SUM(H526,J526,L526,N526,P526,R526,T526,V526,X526,Z526,AB526,AD526,AF526,AH526,AJ526,AL526,AN526)</f>
        <v>0</v>
      </c>
      <c r="AT526" s="29" t="str">
        <f>IF(C526="","",DATE(YEAR(C526),MONTH(C526),1))</f>
        <v/>
      </c>
      <c r="AU526" s="28" t="str">
        <f>IF(AT526="","",TEXT(AT526,"mmmm yyyy"))</f>
        <v/>
      </c>
      <c r="AV526" s="29" t="str">
        <f>IF(C526="","",C526-WEEKDAY(C526,2)+1)</f>
        <v/>
      </c>
      <c r="AW526" s="29" t="str">
        <f>IF(AV526="","",AV526+6)</f>
        <v/>
      </c>
      <c r="AX526" s="28" t="str">
        <f>IF(AV526="","",TEXT(AV526,"dd/mm/yyyy")&amp;" - "&amp;TEXT(AW526,"dd/mm/yyyy"))</f>
        <v/>
      </c>
      <c r="AY526" s="28" t="str">
        <f>IF(B526="","",COUNTIFS($B$5:B526,B526,$AT$5:AT526,AT526))</f>
        <v/>
      </c>
      <c r="AZ526" s="28" t="str">
        <f>IF(B526="","",COUNTIFS($B$5:B526,B526,$AV$5:AV526,AV526))</f>
        <v/>
      </c>
      <c r="BA526" s="28" t="str">
        <f>IF(B526="","",TEXT(AY526,"00")&amp;"|"&amp;B526&amp;"|"&amp;TEXT(AT526,"yyyymmdd"))</f>
        <v/>
      </c>
      <c r="BB526" s="28" t="str">
        <f>IF(B526="","",TEXT(AZ526,"00")&amp;"|"&amp;B526&amp;"|"&amp;TEXT(AV526,"yyyymmdd"))</f>
        <v/>
      </c>
      <c r="BC526" s="28">
        <f>IF(OR(AQ526="YES",AQ526="Yes",AQ526="Y",AQ526=1),1,0)</f>
        <v>0</v>
      </c>
    </row>
    <row r="527" spans="1:55" ht="15" customHeight="1">
      <c r="A527" s="27"/>
      <c r="B527" s="28"/>
      <c r="C527" s="29"/>
      <c r="D527" s="30"/>
      <c r="E527" s="30"/>
      <c r="F527" s="28"/>
      <c r="G527" s="28"/>
      <c r="H527" s="28"/>
      <c r="I527" s="13"/>
      <c r="J527" s="28"/>
      <c r="K527" s="13"/>
      <c r="L527" s="28"/>
      <c r="M527" s="13"/>
      <c r="N527" s="28"/>
      <c r="O527" s="13"/>
      <c r="P527" s="28"/>
      <c r="Q527" s="20"/>
      <c r="R527" s="28"/>
      <c r="S527" s="20"/>
      <c r="T527" s="28"/>
      <c r="U527" s="13"/>
      <c r="V527" s="28"/>
      <c r="W527" s="13"/>
      <c r="X527" s="28"/>
      <c r="Y527" s="13"/>
      <c r="Z527" s="28"/>
      <c r="AA527" s="13"/>
      <c r="AB527" s="28"/>
      <c r="AC527" s="13"/>
      <c r="AD527" s="28"/>
      <c r="AE527" s="13"/>
      <c r="AF527" s="28"/>
      <c r="AG527" s="13"/>
      <c r="AH527" s="28"/>
      <c r="AI527" s="13"/>
      <c r="AJ527" s="28"/>
      <c r="AK527" s="13"/>
      <c r="AL527" s="28"/>
      <c r="AM527" s="13"/>
      <c r="AN527" s="28"/>
      <c r="AO527" s="13"/>
      <c r="AP527" s="28"/>
      <c r="AQ527" s="13"/>
      <c r="AR527" s="28"/>
      <c r="AS527" s="19">
        <f>SUM(H527,J527,L527,N527,P527,R527,T527,V527,X527,Z527,AB527,AD527,AF527,AH527,AJ527,AL527,AN527)</f>
        <v>0</v>
      </c>
      <c r="AT527" s="29" t="str">
        <f>IF(C527="","",DATE(YEAR(C527),MONTH(C527),1))</f>
        <v/>
      </c>
      <c r="AU527" s="28" t="str">
        <f>IF(AT527="","",TEXT(AT527,"mmmm yyyy"))</f>
        <v/>
      </c>
      <c r="AV527" s="29" t="str">
        <f>IF(C527="","",C527-WEEKDAY(C527,2)+1)</f>
        <v/>
      </c>
      <c r="AW527" s="29" t="str">
        <f>IF(AV527="","",AV527+6)</f>
        <v/>
      </c>
      <c r="AX527" s="28" t="str">
        <f>IF(AV527="","",TEXT(AV527,"dd/mm/yyyy")&amp;" - "&amp;TEXT(AW527,"dd/mm/yyyy"))</f>
        <v/>
      </c>
      <c r="AY527" s="28" t="str">
        <f>IF(B527="","",COUNTIFS($B$5:B527,B527,$AT$5:AT527,AT527))</f>
        <v/>
      </c>
      <c r="AZ527" s="28" t="str">
        <f>IF(B527="","",COUNTIFS($B$5:B527,B527,$AV$5:AV527,AV527))</f>
        <v/>
      </c>
      <c r="BA527" s="28" t="str">
        <f>IF(B527="","",TEXT(AY527,"00")&amp;"|"&amp;B527&amp;"|"&amp;TEXT(AT527,"yyyymmdd"))</f>
        <v/>
      </c>
      <c r="BB527" s="28" t="str">
        <f>IF(B527="","",TEXT(AZ527,"00")&amp;"|"&amp;B527&amp;"|"&amp;TEXT(AV527,"yyyymmdd"))</f>
        <v/>
      </c>
      <c r="BC527" s="28">
        <f>IF(OR(AQ527="YES",AQ527="Yes",AQ527="Y",AQ527=1),1,0)</f>
        <v>0</v>
      </c>
    </row>
    <row r="528" spans="1:55" ht="15" customHeight="1">
      <c r="A528" s="27"/>
      <c r="B528" s="28"/>
      <c r="C528" s="29"/>
      <c r="D528" s="30"/>
      <c r="E528" s="30"/>
      <c r="F528" s="28"/>
      <c r="G528" s="28"/>
      <c r="H528" s="28"/>
      <c r="I528" s="13"/>
      <c r="J528" s="28"/>
      <c r="K528" s="13"/>
      <c r="L528" s="28"/>
      <c r="M528" s="13"/>
      <c r="N528" s="28"/>
      <c r="O528" s="13"/>
      <c r="P528" s="28"/>
      <c r="Q528" s="20"/>
      <c r="R528" s="28"/>
      <c r="S528" s="20"/>
      <c r="T528" s="28"/>
      <c r="U528" s="13"/>
      <c r="V528" s="28"/>
      <c r="W528" s="13"/>
      <c r="X528" s="28"/>
      <c r="Y528" s="13"/>
      <c r="Z528" s="28"/>
      <c r="AA528" s="13"/>
      <c r="AB528" s="28"/>
      <c r="AC528" s="13"/>
      <c r="AD528" s="28"/>
      <c r="AE528" s="13"/>
      <c r="AF528" s="28"/>
      <c r="AG528" s="13"/>
      <c r="AH528" s="28"/>
      <c r="AI528" s="13"/>
      <c r="AJ528" s="28"/>
      <c r="AK528" s="13"/>
      <c r="AL528" s="28"/>
      <c r="AM528" s="13"/>
      <c r="AN528" s="28"/>
      <c r="AO528" s="13"/>
      <c r="AP528" s="28"/>
      <c r="AQ528" s="13"/>
      <c r="AR528" s="28"/>
      <c r="AS528" s="19">
        <f>SUM(H528,J528,L528,N528,P528,R528,T528,V528,X528,Z528,AB528,AD528,AF528,AH528,AJ528,AL528,AN528)</f>
        <v>0</v>
      </c>
      <c r="AT528" s="29" t="str">
        <f>IF(C528="","",DATE(YEAR(C528),MONTH(C528),1))</f>
        <v/>
      </c>
      <c r="AU528" s="28" t="str">
        <f>IF(AT528="","",TEXT(AT528,"mmmm yyyy"))</f>
        <v/>
      </c>
      <c r="AV528" s="29" t="str">
        <f>IF(C528="","",C528-WEEKDAY(C528,2)+1)</f>
        <v/>
      </c>
      <c r="AW528" s="29" t="str">
        <f>IF(AV528="","",AV528+6)</f>
        <v/>
      </c>
      <c r="AX528" s="28" t="str">
        <f>IF(AV528="","",TEXT(AV528,"dd/mm/yyyy")&amp;" - "&amp;TEXT(AW528,"dd/mm/yyyy"))</f>
        <v/>
      </c>
      <c r="AY528" s="28" t="str">
        <f>IF(B528="","",COUNTIFS($B$5:B528,B528,$AT$5:AT528,AT528))</f>
        <v/>
      </c>
      <c r="AZ528" s="28" t="str">
        <f>IF(B528="","",COUNTIFS($B$5:B528,B528,$AV$5:AV528,AV528))</f>
        <v/>
      </c>
      <c r="BA528" s="28" t="str">
        <f>IF(B528="","",TEXT(AY528,"00")&amp;"|"&amp;B528&amp;"|"&amp;TEXT(AT528,"yyyymmdd"))</f>
        <v/>
      </c>
      <c r="BB528" s="28" t="str">
        <f>IF(B528="","",TEXT(AZ528,"00")&amp;"|"&amp;B528&amp;"|"&amp;TEXT(AV528,"yyyymmdd"))</f>
        <v/>
      </c>
      <c r="BC528" s="28">
        <f>IF(OR(AQ528="YES",AQ528="Yes",AQ528="Y",AQ528=1),1,0)</f>
        <v>0</v>
      </c>
    </row>
    <row r="529" spans="1:55" ht="15" customHeight="1">
      <c r="A529" s="27"/>
      <c r="B529" s="28"/>
      <c r="C529" s="29"/>
      <c r="D529" s="30"/>
      <c r="E529" s="30"/>
      <c r="F529" s="28"/>
      <c r="G529" s="28"/>
      <c r="H529" s="28"/>
      <c r="I529" s="13"/>
      <c r="J529" s="28"/>
      <c r="K529" s="13"/>
      <c r="L529" s="28"/>
      <c r="M529" s="13"/>
      <c r="N529" s="28"/>
      <c r="O529" s="13"/>
      <c r="P529" s="28"/>
      <c r="Q529" s="20"/>
      <c r="R529" s="28"/>
      <c r="S529" s="20"/>
      <c r="T529" s="28"/>
      <c r="U529" s="13"/>
      <c r="V529" s="28"/>
      <c r="W529" s="13"/>
      <c r="X529" s="28"/>
      <c r="Y529" s="13"/>
      <c r="Z529" s="28"/>
      <c r="AA529" s="13"/>
      <c r="AB529" s="28"/>
      <c r="AC529" s="13"/>
      <c r="AD529" s="28"/>
      <c r="AE529" s="13"/>
      <c r="AF529" s="28"/>
      <c r="AG529" s="13"/>
      <c r="AH529" s="28"/>
      <c r="AI529" s="13"/>
      <c r="AJ529" s="28"/>
      <c r="AK529" s="13"/>
      <c r="AL529" s="28"/>
      <c r="AM529" s="13"/>
      <c r="AN529" s="28"/>
      <c r="AO529" s="13"/>
      <c r="AP529" s="28"/>
      <c r="AQ529" s="13"/>
      <c r="AR529" s="28"/>
      <c r="AS529" s="19">
        <f>SUM(H529,J529,L529,N529,P529,R529,T529,V529,X529,Z529,AB529,AD529,AF529,AH529,AJ529,AL529,AN529)</f>
        <v>0</v>
      </c>
      <c r="AT529" s="29" t="str">
        <f>IF(C529="","",DATE(YEAR(C529),MONTH(C529),1))</f>
        <v/>
      </c>
      <c r="AU529" s="28" t="str">
        <f>IF(AT529="","",TEXT(AT529,"mmmm yyyy"))</f>
        <v/>
      </c>
      <c r="AV529" s="29" t="str">
        <f>IF(C529="","",C529-WEEKDAY(C529,2)+1)</f>
        <v/>
      </c>
      <c r="AW529" s="29" t="str">
        <f>IF(AV529="","",AV529+6)</f>
        <v/>
      </c>
      <c r="AX529" s="28" t="str">
        <f>IF(AV529="","",TEXT(AV529,"dd/mm/yyyy")&amp;" - "&amp;TEXT(AW529,"dd/mm/yyyy"))</f>
        <v/>
      </c>
      <c r="AY529" s="28" t="str">
        <f>IF(B529="","",COUNTIFS($B$5:B529,B529,$AT$5:AT529,AT529))</f>
        <v/>
      </c>
      <c r="AZ529" s="28" t="str">
        <f>IF(B529="","",COUNTIFS($B$5:B529,B529,$AV$5:AV529,AV529))</f>
        <v/>
      </c>
      <c r="BA529" s="28" t="str">
        <f>IF(B529="","",TEXT(AY529,"00")&amp;"|"&amp;B529&amp;"|"&amp;TEXT(AT529,"yyyymmdd"))</f>
        <v/>
      </c>
      <c r="BB529" s="28" t="str">
        <f>IF(B529="","",TEXT(AZ529,"00")&amp;"|"&amp;B529&amp;"|"&amp;TEXT(AV529,"yyyymmdd"))</f>
        <v/>
      </c>
      <c r="BC529" s="28">
        <f>IF(OR(AQ529="YES",AQ529="Yes",AQ529="Y",AQ529=1),1,0)</f>
        <v>0</v>
      </c>
    </row>
    <row r="530" spans="1:55" ht="15" customHeight="1">
      <c r="A530" s="27"/>
      <c r="B530" s="28"/>
      <c r="C530" s="29"/>
      <c r="D530" s="30"/>
      <c r="E530" s="30"/>
      <c r="F530" s="28"/>
      <c r="G530" s="28"/>
      <c r="H530" s="28"/>
      <c r="I530" s="13"/>
      <c r="J530" s="28"/>
      <c r="K530" s="13"/>
      <c r="L530" s="28"/>
      <c r="M530" s="13"/>
      <c r="N530" s="28"/>
      <c r="O530" s="13"/>
      <c r="P530" s="28"/>
      <c r="Q530" s="20"/>
      <c r="R530" s="28"/>
      <c r="S530" s="20"/>
      <c r="T530" s="28"/>
      <c r="U530" s="13"/>
      <c r="V530" s="28"/>
      <c r="W530" s="13"/>
      <c r="X530" s="28"/>
      <c r="Y530" s="13"/>
      <c r="Z530" s="28"/>
      <c r="AA530" s="13"/>
      <c r="AB530" s="28"/>
      <c r="AC530" s="13"/>
      <c r="AD530" s="28"/>
      <c r="AE530" s="13"/>
      <c r="AF530" s="28"/>
      <c r="AG530" s="13"/>
      <c r="AH530" s="28"/>
      <c r="AI530" s="13"/>
      <c r="AJ530" s="28"/>
      <c r="AK530" s="13"/>
      <c r="AL530" s="28"/>
      <c r="AM530" s="13"/>
      <c r="AN530" s="28"/>
      <c r="AO530" s="13"/>
      <c r="AP530" s="28"/>
      <c r="AQ530" s="13"/>
      <c r="AR530" s="28"/>
      <c r="AS530" s="19">
        <f>SUM(H530,J530,L530,N530,P530,R530,T530,V530,X530,Z530,AB530,AD530,AF530,AH530,AJ530,AL530,AN530)</f>
        <v>0</v>
      </c>
      <c r="AT530" s="29" t="str">
        <f>IF(C530="","",DATE(YEAR(C530),MONTH(C530),1))</f>
        <v/>
      </c>
      <c r="AU530" s="28" t="str">
        <f>IF(AT530="","",TEXT(AT530,"mmmm yyyy"))</f>
        <v/>
      </c>
      <c r="AV530" s="29" t="str">
        <f>IF(C530="","",C530-WEEKDAY(C530,2)+1)</f>
        <v/>
      </c>
      <c r="AW530" s="29" t="str">
        <f>IF(AV530="","",AV530+6)</f>
        <v/>
      </c>
      <c r="AX530" s="28" t="str">
        <f>IF(AV530="","",TEXT(AV530,"dd/mm/yyyy")&amp;" - "&amp;TEXT(AW530,"dd/mm/yyyy"))</f>
        <v/>
      </c>
      <c r="AY530" s="28" t="str">
        <f>IF(B530="","",COUNTIFS($B$5:B530,B530,$AT$5:AT530,AT530))</f>
        <v/>
      </c>
      <c r="AZ530" s="28" t="str">
        <f>IF(B530="","",COUNTIFS($B$5:B530,B530,$AV$5:AV530,AV530))</f>
        <v/>
      </c>
      <c r="BA530" s="28" t="str">
        <f>IF(B530="","",TEXT(AY530,"00")&amp;"|"&amp;B530&amp;"|"&amp;TEXT(AT530,"yyyymmdd"))</f>
        <v/>
      </c>
      <c r="BB530" s="28" t="str">
        <f>IF(B530="","",TEXT(AZ530,"00")&amp;"|"&amp;B530&amp;"|"&amp;TEXT(AV530,"yyyymmdd"))</f>
        <v/>
      </c>
      <c r="BC530" s="28">
        <f>IF(OR(AQ530="YES",AQ530="Yes",AQ530="Y",AQ530=1),1,0)</f>
        <v>0</v>
      </c>
    </row>
    <row r="531" spans="1:55" ht="15" customHeight="1">
      <c r="A531" s="27"/>
      <c r="B531" s="28"/>
      <c r="C531" s="29"/>
      <c r="D531" s="30"/>
      <c r="E531" s="30"/>
      <c r="F531" s="28"/>
      <c r="G531" s="28"/>
      <c r="H531" s="28"/>
      <c r="I531" s="13"/>
      <c r="J531" s="28"/>
      <c r="K531" s="13"/>
      <c r="L531" s="28"/>
      <c r="M531" s="13"/>
      <c r="N531" s="28"/>
      <c r="O531" s="13"/>
      <c r="P531" s="28"/>
      <c r="Q531" s="20"/>
      <c r="R531" s="28"/>
      <c r="S531" s="20"/>
      <c r="T531" s="28"/>
      <c r="U531" s="13"/>
      <c r="V531" s="28"/>
      <c r="W531" s="13"/>
      <c r="X531" s="28"/>
      <c r="Y531" s="13"/>
      <c r="Z531" s="28"/>
      <c r="AA531" s="13"/>
      <c r="AB531" s="28"/>
      <c r="AC531" s="13"/>
      <c r="AD531" s="28"/>
      <c r="AE531" s="13"/>
      <c r="AF531" s="28"/>
      <c r="AG531" s="13"/>
      <c r="AH531" s="28"/>
      <c r="AI531" s="13"/>
      <c r="AJ531" s="28"/>
      <c r="AK531" s="13"/>
      <c r="AL531" s="28"/>
      <c r="AM531" s="13"/>
      <c r="AN531" s="28"/>
      <c r="AO531" s="13"/>
      <c r="AP531" s="28"/>
      <c r="AQ531" s="13"/>
      <c r="AR531" s="28"/>
      <c r="AS531" s="19">
        <f>SUM(H531,J531,L531,N531,P531,R531,T531,V531,X531,Z531,AB531,AD531,AF531,AH531,AJ531,AL531,AN531)</f>
        <v>0</v>
      </c>
      <c r="AT531" s="29" t="str">
        <f>IF(C531="","",DATE(YEAR(C531),MONTH(C531),1))</f>
        <v/>
      </c>
      <c r="AU531" s="28" t="str">
        <f>IF(AT531="","",TEXT(AT531,"mmmm yyyy"))</f>
        <v/>
      </c>
      <c r="AV531" s="29" t="str">
        <f>IF(C531="","",C531-WEEKDAY(C531,2)+1)</f>
        <v/>
      </c>
      <c r="AW531" s="29" t="str">
        <f>IF(AV531="","",AV531+6)</f>
        <v/>
      </c>
      <c r="AX531" s="28" t="str">
        <f>IF(AV531="","",TEXT(AV531,"dd/mm/yyyy")&amp;" - "&amp;TEXT(AW531,"dd/mm/yyyy"))</f>
        <v/>
      </c>
      <c r="AY531" s="28" t="str">
        <f>IF(B531="","",COUNTIFS($B$5:B531,B531,$AT$5:AT531,AT531))</f>
        <v/>
      </c>
      <c r="AZ531" s="28" t="str">
        <f>IF(B531="","",COUNTIFS($B$5:B531,B531,$AV$5:AV531,AV531))</f>
        <v/>
      </c>
      <c r="BA531" s="28" t="str">
        <f>IF(B531="","",TEXT(AY531,"00")&amp;"|"&amp;B531&amp;"|"&amp;TEXT(AT531,"yyyymmdd"))</f>
        <v/>
      </c>
      <c r="BB531" s="28" t="str">
        <f>IF(B531="","",TEXT(AZ531,"00")&amp;"|"&amp;B531&amp;"|"&amp;TEXT(AV531,"yyyymmdd"))</f>
        <v/>
      </c>
      <c r="BC531" s="28">
        <f>IF(OR(AQ531="YES",AQ531="Yes",AQ531="Y",AQ531=1),1,0)</f>
        <v>0</v>
      </c>
    </row>
    <row r="532" spans="1:55" ht="15" customHeight="1">
      <c r="A532" s="27"/>
      <c r="B532" s="28"/>
      <c r="C532" s="29"/>
      <c r="D532" s="30"/>
      <c r="E532" s="30"/>
      <c r="F532" s="28"/>
      <c r="G532" s="28"/>
      <c r="H532" s="28"/>
      <c r="I532" s="13"/>
      <c r="J532" s="28"/>
      <c r="K532" s="13"/>
      <c r="L532" s="28"/>
      <c r="M532" s="13"/>
      <c r="N532" s="28"/>
      <c r="O532" s="13"/>
      <c r="P532" s="28"/>
      <c r="Q532" s="20"/>
      <c r="R532" s="28"/>
      <c r="S532" s="20"/>
      <c r="T532" s="28"/>
      <c r="U532" s="13"/>
      <c r="V532" s="28"/>
      <c r="W532" s="13"/>
      <c r="X532" s="28"/>
      <c r="Y532" s="13"/>
      <c r="Z532" s="28"/>
      <c r="AA532" s="13"/>
      <c r="AB532" s="28"/>
      <c r="AC532" s="13"/>
      <c r="AD532" s="28"/>
      <c r="AE532" s="13"/>
      <c r="AF532" s="28"/>
      <c r="AG532" s="13"/>
      <c r="AH532" s="28"/>
      <c r="AI532" s="13"/>
      <c r="AJ532" s="28"/>
      <c r="AK532" s="13"/>
      <c r="AL532" s="28"/>
      <c r="AM532" s="13"/>
      <c r="AN532" s="28"/>
      <c r="AO532" s="13"/>
      <c r="AP532" s="28"/>
      <c r="AQ532" s="13"/>
      <c r="AR532" s="28"/>
      <c r="AS532" s="19">
        <f>SUM(H532,J532,L532,N532,P532,R532,T532,V532,X532,Z532,AB532,AD532,AF532,AH532,AJ532,AL532,AN532)</f>
        <v>0</v>
      </c>
      <c r="AT532" s="29" t="str">
        <f>IF(C532="","",DATE(YEAR(C532),MONTH(C532),1))</f>
        <v/>
      </c>
      <c r="AU532" s="28" t="str">
        <f>IF(AT532="","",TEXT(AT532,"mmmm yyyy"))</f>
        <v/>
      </c>
      <c r="AV532" s="29" t="str">
        <f>IF(C532="","",C532-WEEKDAY(C532,2)+1)</f>
        <v/>
      </c>
      <c r="AW532" s="29" t="str">
        <f>IF(AV532="","",AV532+6)</f>
        <v/>
      </c>
      <c r="AX532" s="28" t="str">
        <f>IF(AV532="","",TEXT(AV532,"dd/mm/yyyy")&amp;" - "&amp;TEXT(AW532,"dd/mm/yyyy"))</f>
        <v/>
      </c>
      <c r="AY532" s="28" t="str">
        <f>IF(B532="","",COUNTIFS($B$5:B532,B532,$AT$5:AT532,AT532))</f>
        <v/>
      </c>
      <c r="AZ532" s="28" t="str">
        <f>IF(B532="","",COUNTIFS($B$5:B532,B532,$AV$5:AV532,AV532))</f>
        <v/>
      </c>
      <c r="BA532" s="28" t="str">
        <f>IF(B532="","",TEXT(AY532,"00")&amp;"|"&amp;B532&amp;"|"&amp;TEXT(AT532,"yyyymmdd"))</f>
        <v/>
      </c>
      <c r="BB532" s="28" t="str">
        <f>IF(B532="","",TEXT(AZ532,"00")&amp;"|"&amp;B532&amp;"|"&amp;TEXT(AV532,"yyyymmdd"))</f>
        <v/>
      </c>
      <c r="BC532" s="28">
        <f>IF(OR(AQ532="YES",AQ532="Yes",AQ532="Y",AQ532=1),1,0)</f>
        <v>0</v>
      </c>
    </row>
    <row r="533" spans="1:55" ht="15" customHeight="1">
      <c r="A533" s="27"/>
      <c r="B533" s="28"/>
      <c r="C533" s="29"/>
      <c r="D533" s="30"/>
      <c r="E533" s="30"/>
      <c r="F533" s="28"/>
      <c r="G533" s="28"/>
      <c r="H533" s="28"/>
      <c r="I533" s="13"/>
      <c r="J533" s="28"/>
      <c r="K533" s="13"/>
      <c r="L533" s="28"/>
      <c r="M533" s="13"/>
      <c r="N533" s="28"/>
      <c r="O533" s="13"/>
      <c r="P533" s="28"/>
      <c r="Q533" s="20"/>
      <c r="R533" s="28"/>
      <c r="S533" s="20"/>
      <c r="T533" s="28"/>
      <c r="U533" s="13"/>
      <c r="V533" s="28"/>
      <c r="W533" s="13"/>
      <c r="X533" s="28"/>
      <c r="Y533" s="13"/>
      <c r="Z533" s="28"/>
      <c r="AA533" s="13"/>
      <c r="AB533" s="28"/>
      <c r="AC533" s="13"/>
      <c r="AD533" s="28"/>
      <c r="AE533" s="13"/>
      <c r="AF533" s="28"/>
      <c r="AG533" s="13"/>
      <c r="AH533" s="28"/>
      <c r="AI533" s="13"/>
      <c r="AJ533" s="28"/>
      <c r="AK533" s="13"/>
      <c r="AL533" s="28"/>
      <c r="AM533" s="13"/>
      <c r="AN533" s="28"/>
      <c r="AO533" s="13"/>
      <c r="AP533" s="28"/>
      <c r="AQ533" s="13"/>
      <c r="AR533" s="28"/>
      <c r="AS533" s="19">
        <f>SUM(H533,J533,L533,N533,P533,R533,T533,V533,X533,Z533,AB533,AD533,AF533,AH533,AJ533,AL533,AN533)</f>
        <v>0</v>
      </c>
      <c r="AT533" s="29" t="str">
        <f>IF(C533="","",DATE(YEAR(C533),MONTH(C533),1))</f>
        <v/>
      </c>
      <c r="AU533" s="28" t="str">
        <f>IF(AT533="","",TEXT(AT533,"mmmm yyyy"))</f>
        <v/>
      </c>
      <c r="AV533" s="29" t="str">
        <f>IF(C533="","",C533-WEEKDAY(C533,2)+1)</f>
        <v/>
      </c>
      <c r="AW533" s="29" t="str">
        <f>IF(AV533="","",AV533+6)</f>
        <v/>
      </c>
      <c r="AX533" s="28" t="str">
        <f>IF(AV533="","",TEXT(AV533,"dd/mm/yyyy")&amp;" - "&amp;TEXT(AW533,"dd/mm/yyyy"))</f>
        <v/>
      </c>
      <c r="AY533" s="28" t="str">
        <f>IF(B533="","",COUNTIFS($B$5:B533,B533,$AT$5:AT533,AT533))</f>
        <v/>
      </c>
      <c r="AZ533" s="28" t="str">
        <f>IF(B533="","",COUNTIFS($B$5:B533,B533,$AV$5:AV533,AV533))</f>
        <v/>
      </c>
      <c r="BA533" s="28" t="str">
        <f>IF(B533="","",TEXT(AY533,"00")&amp;"|"&amp;B533&amp;"|"&amp;TEXT(AT533,"yyyymmdd"))</f>
        <v/>
      </c>
      <c r="BB533" s="28" t="str">
        <f>IF(B533="","",TEXT(AZ533,"00")&amp;"|"&amp;B533&amp;"|"&amp;TEXT(AV533,"yyyymmdd"))</f>
        <v/>
      </c>
      <c r="BC533" s="28">
        <f>IF(OR(AQ533="YES",AQ533="Yes",AQ533="Y",AQ533=1),1,0)</f>
        <v>0</v>
      </c>
    </row>
    <row r="534" spans="1:55" ht="15" customHeight="1">
      <c r="A534" s="27"/>
      <c r="B534" s="28"/>
      <c r="C534" s="29"/>
      <c r="D534" s="30"/>
      <c r="E534" s="30"/>
      <c r="F534" s="28"/>
      <c r="G534" s="28"/>
      <c r="H534" s="28"/>
      <c r="I534" s="13"/>
      <c r="J534" s="28"/>
      <c r="K534" s="13"/>
      <c r="L534" s="28"/>
      <c r="M534" s="13"/>
      <c r="N534" s="28"/>
      <c r="O534" s="13"/>
      <c r="P534" s="28"/>
      <c r="Q534" s="20"/>
      <c r="R534" s="28"/>
      <c r="S534" s="20"/>
      <c r="T534" s="28"/>
      <c r="U534" s="13"/>
      <c r="V534" s="28"/>
      <c r="W534" s="13"/>
      <c r="X534" s="28"/>
      <c r="Y534" s="13"/>
      <c r="Z534" s="28"/>
      <c r="AA534" s="13"/>
      <c r="AB534" s="28"/>
      <c r="AC534" s="13"/>
      <c r="AD534" s="28"/>
      <c r="AE534" s="13"/>
      <c r="AF534" s="28"/>
      <c r="AG534" s="13"/>
      <c r="AH534" s="28"/>
      <c r="AI534" s="13"/>
      <c r="AJ534" s="28"/>
      <c r="AK534" s="13"/>
      <c r="AL534" s="28"/>
      <c r="AM534" s="13"/>
      <c r="AN534" s="28"/>
      <c r="AO534" s="13"/>
      <c r="AP534" s="28"/>
      <c r="AQ534" s="13"/>
      <c r="AR534" s="28"/>
      <c r="AS534" s="19">
        <f>SUM(H534,J534,L534,N534,P534,R534,T534,V534,X534,Z534,AB534,AD534,AF534,AH534,AJ534,AL534,AN534)</f>
        <v>0</v>
      </c>
      <c r="AT534" s="29" t="str">
        <f>IF(C534="","",DATE(YEAR(C534),MONTH(C534),1))</f>
        <v/>
      </c>
      <c r="AU534" s="28" t="str">
        <f>IF(AT534="","",TEXT(AT534,"mmmm yyyy"))</f>
        <v/>
      </c>
      <c r="AV534" s="29" t="str">
        <f>IF(C534="","",C534-WEEKDAY(C534,2)+1)</f>
        <v/>
      </c>
      <c r="AW534" s="29" t="str">
        <f>IF(AV534="","",AV534+6)</f>
        <v/>
      </c>
      <c r="AX534" s="28" t="str">
        <f>IF(AV534="","",TEXT(AV534,"dd/mm/yyyy")&amp;" - "&amp;TEXT(AW534,"dd/mm/yyyy"))</f>
        <v/>
      </c>
      <c r="AY534" s="28" t="str">
        <f>IF(B534="","",COUNTIFS($B$5:B534,B534,$AT$5:AT534,AT534))</f>
        <v/>
      </c>
      <c r="AZ534" s="28" t="str">
        <f>IF(B534="","",COUNTIFS($B$5:B534,B534,$AV$5:AV534,AV534))</f>
        <v/>
      </c>
      <c r="BA534" s="28" t="str">
        <f>IF(B534="","",TEXT(AY534,"00")&amp;"|"&amp;B534&amp;"|"&amp;TEXT(AT534,"yyyymmdd"))</f>
        <v/>
      </c>
      <c r="BB534" s="28" t="str">
        <f>IF(B534="","",TEXT(AZ534,"00")&amp;"|"&amp;B534&amp;"|"&amp;TEXT(AV534,"yyyymmdd"))</f>
        <v/>
      </c>
      <c r="BC534" s="28">
        <f>IF(OR(AQ534="YES",AQ534="Yes",AQ534="Y",AQ534=1),1,0)</f>
        <v>0</v>
      </c>
    </row>
    <row r="535" spans="1:55" ht="15" customHeight="1">
      <c r="A535" s="27"/>
      <c r="B535" s="28"/>
      <c r="C535" s="29"/>
      <c r="D535" s="30"/>
      <c r="E535" s="30"/>
      <c r="F535" s="28"/>
      <c r="G535" s="28"/>
      <c r="H535" s="28"/>
      <c r="I535" s="13"/>
      <c r="J535" s="28"/>
      <c r="K535" s="13"/>
      <c r="L535" s="28"/>
      <c r="M535" s="13"/>
      <c r="N535" s="28"/>
      <c r="O535" s="13"/>
      <c r="P535" s="28"/>
      <c r="Q535" s="20"/>
      <c r="R535" s="28"/>
      <c r="S535" s="20"/>
      <c r="T535" s="28"/>
      <c r="U535" s="13"/>
      <c r="V535" s="28"/>
      <c r="W535" s="13"/>
      <c r="X535" s="28"/>
      <c r="Y535" s="13"/>
      <c r="Z535" s="28"/>
      <c r="AA535" s="13"/>
      <c r="AB535" s="28"/>
      <c r="AC535" s="13"/>
      <c r="AD535" s="28"/>
      <c r="AE535" s="13"/>
      <c r="AF535" s="28"/>
      <c r="AG535" s="13"/>
      <c r="AH535" s="28"/>
      <c r="AI535" s="13"/>
      <c r="AJ535" s="28"/>
      <c r="AK535" s="13"/>
      <c r="AL535" s="28"/>
      <c r="AM535" s="13"/>
      <c r="AN535" s="28"/>
      <c r="AO535" s="13"/>
      <c r="AP535" s="28"/>
      <c r="AQ535" s="13"/>
      <c r="AR535" s="28"/>
      <c r="AS535" s="19">
        <f>SUM(H535,J535,L535,N535,P535,R535,T535,V535,X535,Z535,AB535,AD535,AF535,AH535,AJ535,AL535,AN535)</f>
        <v>0</v>
      </c>
      <c r="AT535" s="29" t="str">
        <f>IF(C535="","",DATE(YEAR(C535),MONTH(C535),1))</f>
        <v/>
      </c>
      <c r="AU535" s="28" t="str">
        <f>IF(AT535="","",TEXT(AT535,"mmmm yyyy"))</f>
        <v/>
      </c>
      <c r="AV535" s="29" t="str">
        <f>IF(C535="","",C535-WEEKDAY(C535,2)+1)</f>
        <v/>
      </c>
      <c r="AW535" s="29" t="str">
        <f>IF(AV535="","",AV535+6)</f>
        <v/>
      </c>
      <c r="AX535" s="28" t="str">
        <f>IF(AV535="","",TEXT(AV535,"dd/mm/yyyy")&amp;" - "&amp;TEXT(AW535,"dd/mm/yyyy"))</f>
        <v/>
      </c>
      <c r="AY535" s="28" t="str">
        <f>IF(B535="","",COUNTIFS($B$5:B535,B535,$AT$5:AT535,AT535))</f>
        <v/>
      </c>
      <c r="AZ535" s="28" t="str">
        <f>IF(B535="","",COUNTIFS($B$5:B535,B535,$AV$5:AV535,AV535))</f>
        <v/>
      </c>
      <c r="BA535" s="28" t="str">
        <f>IF(B535="","",TEXT(AY535,"00")&amp;"|"&amp;B535&amp;"|"&amp;TEXT(AT535,"yyyymmdd"))</f>
        <v/>
      </c>
      <c r="BB535" s="28" t="str">
        <f>IF(B535="","",TEXT(AZ535,"00")&amp;"|"&amp;B535&amp;"|"&amp;TEXT(AV535,"yyyymmdd"))</f>
        <v/>
      </c>
      <c r="BC535" s="28">
        <f>IF(OR(AQ535="YES",AQ535="Yes",AQ535="Y",AQ535=1),1,0)</f>
        <v>0</v>
      </c>
    </row>
    <row r="536" spans="1:55" ht="15" customHeight="1">
      <c r="A536" s="27"/>
      <c r="B536" s="28"/>
      <c r="C536" s="29"/>
      <c r="D536" s="30"/>
      <c r="E536" s="30"/>
      <c r="F536" s="28"/>
      <c r="G536" s="28"/>
      <c r="H536" s="28"/>
      <c r="I536" s="13"/>
      <c r="J536" s="28"/>
      <c r="K536" s="13"/>
      <c r="L536" s="28"/>
      <c r="M536" s="13"/>
      <c r="N536" s="28"/>
      <c r="O536" s="13"/>
      <c r="P536" s="28"/>
      <c r="Q536" s="20"/>
      <c r="R536" s="28"/>
      <c r="S536" s="20"/>
      <c r="T536" s="28"/>
      <c r="U536" s="13"/>
      <c r="V536" s="28"/>
      <c r="W536" s="13"/>
      <c r="X536" s="28"/>
      <c r="Y536" s="13"/>
      <c r="Z536" s="28"/>
      <c r="AA536" s="13"/>
      <c r="AB536" s="28"/>
      <c r="AC536" s="13"/>
      <c r="AD536" s="28"/>
      <c r="AE536" s="13"/>
      <c r="AF536" s="28"/>
      <c r="AG536" s="13"/>
      <c r="AH536" s="28"/>
      <c r="AI536" s="13"/>
      <c r="AJ536" s="28"/>
      <c r="AK536" s="13"/>
      <c r="AL536" s="28"/>
      <c r="AM536" s="13"/>
      <c r="AN536" s="28"/>
      <c r="AO536" s="13"/>
      <c r="AP536" s="28"/>
      <c r="AQ536" s="13"/>
      <c r="AR536" s="28"/>
      <c r="AS536" s="19">
        <f>SUM(H536,J536,L536,N536,P536,R536,T536,V536,X536,Z536,AB536,AD536,AF536,AH536,AJ536,AL536,AN536)</f>
        <v>0</v>
      </c>
      <c r="AT536" s="29" t="str">
        <f>IF(C536="","",DATE(YEAR(C536),MONTH(C536),1))</f>
        <v/>
      </c>
      <c r="AU536" s="28" t="str">
        <f>IF(AT536="","",TEXT(AT536,"mmmm yyyy"))</f>
        <v/>
      </c>
      <c r="AV536" s="29" t="str">
        <f>IF(C536="","",C536-WEEKDAY(C536,2)+1)</f>
        <v/>
      </c>
      <c r="AW536" s="29" t="str">
        <f>IF(AV536="","",AV536+6)</f>
        <v/>
      </c>
      <c r="AX536" s="28" t="str">
        <f>IF(AV536="","",TEXT(AV536,"dd/mm/yyyy")&amp;" - "&amp;TEXT(AW536,"dd/mm/yyyy"))</f>
        <v/>
      </c>
      <c r="AY536" s="28" t="str">
        <f>IF(B536="","",COUNTIFS($B$5:B536,B536,$AT$5:AT536,AT536))</f>
        <v/>
      </c>
      <c r="AZ536" s="28" t="str">
        <f>IF(B536="","",COUNTIFS($B$5:B536,B536,$AV$5:AV536,AV536))</f>
        <v/>
      </c>
      <c r="BA536" s="28" t="str">
        <f>IF(B536="","",TEXT(AY536,"00")&amp;"|"&amp;B536&amp;"|"&amp;TEXT(AT536,"yyyymmdd"))</f>
        <v/>
      </c>
      <c r="BB536" s="28" t="str">
        <f>IF(B536="","",TEXT(AZ536,"00")&amp;"|"&amp;B536&amp;"|"&amp;TEXT(AV536,"yyyymmdd"))</f>
        <v/>
      </c>
      <c r="BC536" s="28">
        <f>IF(OR(AQ536="YES",AQ536="Yes",AQ536="Y",AQ536=1),1,0)</f>
        <v>0</v>
      </c>
    </row>
    <row r="537" spans="1:55" ht="15" customHeight="1">
      <c r="A537" s="27"/>
      <c r="B537" s="28"/>
      <c r="C537" s="29"/>
      <c r="D537" s="30"/>
      <c r="E537" s="30"/>
      <c r="F537" s="28"/>
      <c r="G537" s="28"/>
      <c r="H537" s="28"/>
      <c r="I537" s="13"/>
      <c r="J537" s="28"/>
      <c r="K537" s="13"/>
      <c r="L537" s="28"/>
      <c r="M537" s="13"/>
      <c r="N537" s="28"/>
      <c r="O537" s="13"/>
      <c r="P537" s="28"/>
      <c r="Q537" s="20"/>
      <c r="R537" s="28"/>
      <c r="S537" s="20"/>
      <c r="T537" s="28"/>
      <c r="U537" s="13"/>
      <c r="V537" s="28"/>
      <c r="W537" s="13"/>
      <c r="X537" s="28"/>
      <c r="Y537" s="13"/>
      <c r="Z537" s="28"/>
      <c r="AA537" s="13"/>
      <c r="AB537" s="28"/>
      <c r="AC537" s="13"/>
      <c r="AD537" s="28"/>
      <c r="AE537" s="13"/>
      <c r="AF537" s="28"/>
      <c r="AG537" s="13"/>
      <c r="AH537" s="28"/>
      <c r="AI537" s="13"/>
      <c r="AJ537" s="28"/>
      <c r="AK537" s="13"/>
      <c r="AL537" s="28"/>
      <c r="AM537" s="13"/>
      <c r="AN537" s="28"/>
      <c r="AO537" s="13"/>
      <c r="AP537" s="28"/>
      <c r="AQ537" s="13"/>
      <c r="AR537" s="28"/>
      <c r="AS537" s="19">
        <f>SUM(H537,J537,L537,N537,P537,R537,T537,V537,X537,Z537,AB537,AD537,AF537,AH537,AJ537,AL537,AN537)</f>
        <v>0</v>
      </c>
      <c r="AT537" s="29" t="str">
        <f>IF(C537="","",DATE(YEAR(C537),MONTH(C537),1))</f>
        <v/>
      </c>
      <c r="AU537" s="28" t="str">
        <f>IF(AT537="","",TEXT(AT537,"mmmm yyyy"))</f>
        <v/>
      </c>
      <c r="AV537" s="29" t="str">
        <f>IF(C537="","",C537-WEEKDAY(C537,2)+1)</f>
        <v/>
      </c>
      <c r="AW537" s="29" t="str">
        <f>IF(AV537="","",AV537+6)</f>
        <v/>
      </c>
      <c r="AX537" s="28" t="str">
        <f>IF(AV537="","",TEXT(AV537,"dd/mm/yyyy")&amp;" - "&amp;TEXT(AW537,"dd/mm/yyyy"))</f>
        <v/>
      </c>
      <c r="AY537" s="28" t="str">
        <f>IF(B537="","",COUNTIFS($B$5:B537,B537,$AT$5:AT537,AT537))</f>
        <v/>
      </c>
      <c r="AZ537" s="28" t="str">
        <f>IF(B537="","",COUNTIFS($B$5:B537,B537,$AV$5:AV537,AV537))</f>
        <v/>
      </c>
      <c r="BA537" s="28" t="str">
        <f>IF(B537="","",TEXT(AY537,"00")&amp;"|"&amp;B537&amp;"|"&amp;TEXT(AT537,"yyyymmdd"))</f>
        <v/>
      </c>
      <c r="BB537" s="28" t="str">
        <f>IF(B537="","",TEXT(AZ537,"00")&amp;"|"&amp;B537&amp;"|"&amp;TEXT(AV537,"yyyymmdd"))</f>
        <v/>
      </c>
      <c r="BC537" s="28">
        <f>IF(OR(AQ537="YES",AQ537="Yes",AQ537="Y",AQ537=1),1,0)</f>
        <v>0</v>
      </c>
    </row>
    <row r="538" spans="1:55" ht="15" customHeight="1">
      <c r="A538" s="27"/>
      <c r="B538" s="28"/>
      <c r="C538" s="29"/>
      <c r="D538" s="30"/>
      <c r="E538" s="30"/>
      <c r="F538" s="28"/>
      <c r="G538" s="28"/>
      <c r="H538" s="28"/>
      <c r="I538" s="13"/>
      <c r="J538" s="28"/>
      <c r="K538" s="13"/>
      <c r="L538" s="28"/>
      <c r="M538" s="13"/>
      <c r="N538" s="28"/>
      <c r="O538" s="13"/>
      <c r="P538" s="28"/>
      <c r="Q538" s="20"/>
      <c r="R538" s="28"/>
      <c r="S538" s="20"/>
      <c r="T538" s="28"/>
      <c r="U538" s="13"/>
      <c r="V538" s="28"/>
      <c r="W538" s="13"/>
      <c r="X538" s="28"/>
      <c r="Y538" s="13"/>
      <c r="Z538" s="28"/>
      <c r="AA538" s="13"/>
      <c r="AB538" s="28"/>
      <c r="AC538" s="13"/>
      <c r="AD538" s="28"/>
      <c r="AE538" s="13"/>
      <c r="AF538" s="28"/>
      <c r="AG538" s="13"/>
      <c r="AH538" s="28"/>
      <c r="AI538" s="13"/>
      <c r="AJ538" s="28"/>
      <c r="AK538" s="13"/>
      <c r="AL538" s="28"/>
      <c r="AM538" s="13"/>
      <c r="AN538" s="28"/>
      <c r="AO538" s="13"/>
      <c r="AP538" s="28"/>
      <c r="AQ538" s="13"/>
      <c r="AR538" s="28"/>
      <c r="AS538" s="19">
        <f>SUM(H538,J538,L538,N538,P538,R538,T538,V538,X538,Z538,AB538,AD538,AF538,AH538,AJ538,AL538,AN538)</f>
        <v>0</v>
      </c>
      <c r="AT538" s="29" t="str">
        <f>IF(C538="","",DATE(YEAR(C538),MONTH(C538),1))</f>
        <v/>
      </c>
      <c r="AU538" s="28" t="str">
        <f>IF(AT538="","",TEXT(AT538,"mmmm yyyy"))</f>
        <v/>
      </c>
      <c r="AV538" s="29" t="str">
        <f>IF(C538="","",C538-WEEKDAY(C538,2)+1)</f>
        <v/>
      </c>
      <c r="AW538" s="29" t="str">
        <f>IF(AV538="","",AV538+6)</f>
        <v/>
      </c>
      <c r="AX538" s="28" t="str">
        <f>IF(AV538="","",TEXT(AV538,"dd/mm/yyyy")&amp;" - "&amp;TEXT(AW538,"dd/mm/yyyy"))</f>
        <v/>
      </c>
      <c r="AY538" s="28" t="str">
        <f>IF(B538="","",COUNTIFS($B$5:B538,B538,$AT$5:AT538,AT538))</f>
        <v/>
      </c>
      <c r="AZ538" s="28" t="str">
        <f>IF(B538="","",COUNTIFS($B$5:B538,B538,$AV$5:AV538,AV538))</f>
        <v/>
      </c>
      <c r="BA538" s="28" t="str">
        <f>IF(B538="","",TEXT(AY538,"00")&amp;"|"&amp;B538&amp;"|"&amp;TEXT(AT538,"yyyymmdd"))</f>
        <v/>
      </c>
      <c r="BB538" s="28" t="str">
        <f>IF(B538="","",TEXT(AZ538,"00")&amp;"|"&amp;B538&amp;"|"&amp;TEXT(AV538,"yyyymmdd"))</f>
        <v/>
      </c>
      <c r="BC538" s="28">
        <f>IF(OR(AQ538="YES",AQ538="Yes",AQ538="Y",AQ538=1),1,0)</f>
        <v>0</v>
      </c>
    </row>
    <row r="539" spans="1:55" ht="15" customHeight="1">
      <c r="A539" s="27"/>
      <c r="B539" s="28"/>
      <c r="C539" s="29"/>
      <c r="D539" s="30"/>
      <c r="E539" s="30"/>
      <c r="F539" s="28"/>
      <c r="G539" s="28"/>
      <c r="H539" s="28"/>
      <c r="I539" s="13"/>
      <c r="J539" s="28"/>
      <c r="K539" s="13"/>
      <c r="L539" s="28"/>
      <c r="M539" s="13"/>
      <c r="N539" s="28"/>
      <c r="O539" s="13"/>
      <c r="P539" s="28"/>
      <c r="Q539" s="20"/>
      <c r="R539" s="28"/>
      <c r="S539" s="20"/>
      <c r="T539" s="28"/>
      <c r="U539" s="13"/>
      <c r="V539" s="28"/>
      <c r="W539" s="13"/>
      <c r="X539" s="28"/>
      <c r="Y539" s="13"/>
      <c r="Z539" s="28"/>
      <c r="AA539" s="13"/>
      <c r="AB539" s="28"/>
      <c r="AC539" s="13"/>
      <c r="AD539" s="28"/>
      <c r="AE539" s="13"/>
      <c r="AF539" s="28"/>
      <c r="AG539" s="13"/>
      <c r="AH539" s="28"/>
      <c r="AI539" s="13"/>
      <c r="AJ539" s="28"/>
      <c r="AK539" s="13"/>
      <c r="AL539" s="28"/>
      <c r="AM539" s="13"/>
      <c r="AN539" s="28"/>
      <c r="AO539" s="13"/>
      <c r="AP539" s="28"/>
      <c r="AQ539" s="13"/>
      <c r="AR539" s="28"/>
      <c r="AS539" s="19">
        <f>SUM(H539,J539,L539,N539,P539,R539,T539,V539,X539,Z539,AB539,AD539,AF539,AH539,AJ539,AL539,AN539)</f>
        <v>0</v>
      </c>
      <c r="AT539" s="29" t="str">
        <f>IF(C539="","",DATE(YEAR(C539),MONTH(C539),1))</f>
        <v/>
      </c>
      <c r="AU539" s="28" t="str">
        <f>IF(AT539="","",TEXT(AT539,"mmmm yyyy"))</f>
        <v/>
      </c>
      <c r="AV539" s="29" t="str">
        <f>IF(C539="","",C539-WEEKDAY(C539,2)+1)</f>
        <v/>
      </c>
      <c r="AW539" s="29" t="str">
        <f>IF(AV539="","",AV539+6)</f>
        <v/>
      </c>
      <c r="AX539" s="28" t="str">
        <f>IF(AV539="","",TEXT(AV539,"dd/mm/yyyy")&amp;" - "&amp;TEXT(AW539,"dd/mm/yyyy"))</f>
        <v/>
      </c>
      <c r="AY539" s="28" t="str">
        <f>IF(B539="","",COUNTIFS($B$5:B539,B539,$AT$5:AT539,AT539))</f>
        <v/>
      </c>
      <c r="AZ539" s="28" t="str">
        <f>IF(B539="","",COUNTIFS($B$5:B539,B539,$AV$5:AV539,AV539))</f>
        <v/>
      </c>
      <c r="BA539" s="28" t="str">
        <f>IF(B539="","",TEXT(AY539,"00")&amp;"|"&amp;B539&amp;"|"&amp;TEXT(AT539,"yyyymmdd"))</f>
        <v/>
      </c>
      <c r="BB539" s="28" t="str">
        <f>IF(B539="","",TEXT(AZ539,"00")&amp;"|"&amp;B539&amp;"|"&amp;TEXT(AV539,"yyyymmdd"))</f>
        <v/>
      </c>
      <c r="BC539" s="28">
        <f>IF(OR(AQ539="YES",AQ539="Yes",AQ539="Y",AQ539=1),1,0)</f>
        <v>0</v>
      </c>
    </row>
    <row r="540" spans="1:55" ht="15" customHeight="1">
      <c r="A540" s="27"/>
      <c r="B540" s="28"/>
      <c r="C540" s="29"/>
      <c r="D540" s="30"/>
      <c r="E540" s="30"/>
      <c r="F540" s="28"/>
      <c r="G540" s="28"/>
      <c r="H540" s="28"/>
      <c r="I540" s="13"/>
      <c r="J540" s="28"/>
      <c r="K540" s="13"/>
      <c r="L540" s="28"/>
      <c r="M540" s="13"/>
      <c r="N540" s="28"/>
      <c r="O540" s="13"/>
      <c r="P540" s="28"/>
      <c r="Q540" s="20"/>
      <c r="R540" s="28"/>
      <c r="S540" s="20"/>
      <c r="T540" s="28"/>
      <c r="U540" s="13"/>
      <c r="V540" s="28"/>
      <c r="W540" s="13"/>
      <c r="X540" s="28"/>
      <c r="Y540" s="13"/>
      <c r="Z540" s="28"/>
      <c r="AA540" s="13"/>
      <c r="AB540" s="28"/>
      <c r="AC540" s="13"/>
      <c r="AD540" s="28"/>
      <c r="AE540" s="13"/>
      <c r="AF540" s="28"/>
      <c r="AG540" s="13"/>
      <c r="AH540" s="28"/>
      <c r="AI540" s="13"/>
      <c r="AJ540" s="28"/>
      <c r="AK540" s="13"/>
      <c r="AL540" s="28"/>
      <c r="AM540" s="13"/>
      <c r="AN540" s="28"/>
      <c r="AO540" s="13"/>
      <c r="AP540" s="28"/>
      <c r="AQ540" s="13"/>
      <c r="AR540" s="28"/>
      <c r="AS540" s="19">
        <f>SUM(H540,J540,L540,N540,P540,R540,T540,V540,X540,Z540,AB540,AD540,AF540,AH540,AJ540,AL540,AN540)</f>
        <v>0</v>
      </c>
      <c r="AT540" s="29" t="str">
        <f>IF(C540="","",DATE(YEAR(C540),MONTH(C540),1))</f>
        <v/>
      </c>
      <c r="AU540" s="28" t="str">
        <f>IF(AT540="","",TEXT(AT540,"mmmm yyyy"))</f>
        <v/>
      </c>
      <c r="AV540" s="29" t="str">
        <f>IF(C540="","",C540-WEEKDAY(C540,2)+1)</f>
        <v/>
      </c>
      <c r="AW540" s="29" t="str">
        <f>IF(AV540="","",AV540+6)</f>
        <v/>
      </c>
      <c r="AX540" s="28" t="str">
        <f>IF(AV540="","",TEXT(AV540,"dd/mm/yyyy")&amp;" - "&amp;TEXT(AW540,"dd/mm/yyyy"))</f>
        <v/>
      </c>
      <c r="AY540" s="28" t="str">
        <f>IF(B540="","",COUNTIFS($B$5:B540,B540,$AT$5:AT540,AT540))</f>
        <v/>
      </c>
      <c r="AZ540" s="28" t="str">
        <f>IF(B540="","",COUNTIFS($B$5:B540,B540,$AV$5:AV540,AV540))</f>
        <v/>
      </c>
      <c r="BA540" s="28" t="str">
        <f>IF(B540="","",TEXT(AY540,"00")&amp;"|"&amp;B540&amp;"|"&amp;TEXT(AT540,"yyyymmdd"))</f>
        <v/>
      </c>
      <c r="BB540" s="28" t="str">
        <f>IF(B540="","",TEXT(AZ540,"00")&amp;"|"&amp;B540&amp;"|"&amp;TEXT(AV540,"yyyymmdd"))</f>
        <v/>
      </c>
      <c r="BC540" s="28">
        <f>IF(OR(AQ540="YES",AQ540="Yes",AQ540="Y",AQ540=1),1,0)</f>
        <v>0</v>
      </c>
    </row>
    <row r="541" spans="1:55" ht="15" customHeight="1">
      <c r="A541" s="27"/>
      <c r="B541" s="28"/>
      <c r="C541" s="29"/>
      <c r="D541" s="30"/>
      <c r="E541" s="30"/>
      <c r="F541" s="28"/>
      <c r="G541" s="28"/>
      <c r="H541" s="28"/>
      <c r="I541" s="13"/>
      <c r="J541" s="28"/>
      <c r="K541" s="13"/>
      <c r="L541" s="28"/>
      <c r="M541" s="13"/>
      <c r="N541" s="28"/>
      <c r="O541" s="13"/>
      <c r="P541" s="28"/>
      <c r="Q541" s="20"/>
      <c r="R541" s="28"/>
      <c r="S541" s="20"/>
      <c r="T541" s="28"/>
      <c r="U541" s="13"/>
      <c r="V541" s="28"/>
      <c r="W541" s="13"/>
      <c r="X541" s="28"/>
      <c r="Y541" s="13"/>
      <c r="Z541" s="28"/>
      <c r="AA541" s="13"/>
      <c r="AB541" s="28"/>
      <c r="AC541" s="13"/>
      <c r="AD541" s="28"/>
      <c r="AE541" s="13"/>
      <c r="AF541" s="28"/>
      <c r="AG541" s="13"/>
      <c r="AH541" s="28"/>
      <c r="AI541" s="13"/>
      <c r="AJ541" s="28"/>
      <c r="AK541" s="13"/>
      <c r="AL541" s="28"/>
      <c r="AM541" s="13"/>
      <c r="AN541" s="28"/>
      <c r="AO541" s="13"/>
      <c r="AP541" s="28"/>
      <c r="AQ541" s="13"/>
      <c r="AR541" s="28"/>
      <c r="AS541" s="19">
        <f>SUM(H541,J541,L541,N541,P541,R541,T541,V541,X541,Z541,AB541,AD541,AF541,AH541,AJ541,AL541,AN541)</f>
        <v>0</v>
      </c>
      <c r="AT541" s="29" t="str">
        <f>IF(C541="","",DATE(YEAR(C541),MONTH(C541),1))</f>
        <v/>
      </c>
      <c r="AU541" s="28" t="str">
        <f>IF(AT541="","",TEXT(AT541,"mmmm yyyy"))</f>
        <v/>
      </c>
      <c r="AV541" s="29" t="str">
        <f>IF(C541="","",C541-WEEKDAY(C541,2)+1)</f>
        <v/>
      </c>
      <c r="AW541" s="29" t="str">
        <f>IF(AV541="","",AV541+6)</f>
        <v/>
      </c>
      <c r="AX541" s="28" t="str">
        <f>IF(AV541="","",TEXT(AV541,"dd/mm/yyyy")&amp;" - "&amp;TEXT(AW541,"dd/mm/yyyy"))</f>
        <v/>
      </c>
      <c r="AY541" s="28" t="str">
        <f>IF(B541="","",COUNTIFS($B$5:B541,B541,$AT$5:AT541,AT541))</f>
        <v/>
      </c>
      <c r="AZ541" s="28" t="str">
        <f>IF(B541="","",COUNTIFS($B$5:B541,B541,$AV$5:AV541,AV541))</f>
        <v/>
      </c>
      <c r="BA541" s="28" t="str">
        <f>IF(B541="","",TEXT(AY541,"00")&amp;"|"&amp;B541&amp;"|"&amp;TEXT(AT541,"yyyymmdd"))</f>
        <v/>
      </c>
      <c r="BB541" s="28" t="str">
        <f>IF(B541="","",TEXT(AZ541,"00")&amp;"|"&amp;B541&amp;"|"&amp;TEXT(AV541,"yyyymmdd"))</f>
        <v/>
      </c>
      <c r="BC541" s="28">
        <f>IF(OR(AQ541="YES",AQ541="Yes",AQ541="Y",AQ541=1),1,0)</f>
        <v>0</v>
      </c>
    </row>
    <row r="542" spans="1:55" ht="15" customHeight="1">
      <c r="A542" s="27"/>
      <c r="B542" s="28"/>
      <c r="C542" s="29"/>
      <c r="D542" s="30"/>
      <c r="E542" s="30"/>
      <c r="F542" s="28"/>
      <c r="G542" s="28"/>
      <c r="H542" s="28"/>
      <c r="I542" s="13"/>
      <c r="J542" s="28"/>
      <c r="K542" s="13"/>
      <c r="L542" s="28"/>
      <c r="M542" s="13"/>
      <c r="N542" s="28"/>
      <c r="O542" s="13"/>
      <c r="P542" s="28"/>
      <c r="Q542" s="20"/>
      <c r="R542" s="28"/>
      <c r="S542" s="20"/>
      <c r="T542" s="28"/>
      <c r="U542" s="13"/>
      <c r="V542" s="28"/>
      <c r="W542" s="13"/>
      <c r="X542" s="28"/>
      <c r="Y542" s="13"/>
      <c r="Z542" s="28"/>
      <c r="AA542" s="13"/>
      <c r="AB542" s="28"/>
      <c r="AC542" s="13"/>
      <c r="AD542" s="28"/>
      <c r="AE542" s="13"/>
      <c r="AF542" s="28"/>
      <c r="AG542" s="13"/>
      <c r="AH542" s="28"/>
      <c r="AI542" s="13"/>
      <c r="AJ542" s="28"/>
      <c r="AK542" s="13"/>
      <c r="AL542" s="28"/>
      <c r="AM542" s="13"/>
      <c r="AN542" s="28"/>
      <c r="AO542" s="13"/>
      <c r="AP542" s="28"/>
      <c r="AQ542" s="13"/>
      <c r="AR542" s="28"/>
      <c r="AS542" s="19">
        <f>SUM(H542,J542,L542,N542,P542,R542,T542,V542,X542,Z542,AB542,AD542,AF542,AH542,AJ542,AL542,AN542)</f>
        <v>0</v>
      </c>
      <c r="AT542" s="29" t="str">
        <f>IF(C542="","",DATE(YEAR(C542),MONTH(C542),1))</f>
        <v/>
      </c>
      <c r="AU542" s="28" t="str">
        <f>IF(AT542="","",TEXT(AT542,"mmmm yyyy"))</f>
        <v/>
      </c>
      <c r="AV542" s="29" t="str">
        <f>IF(C542="","",C542-WEEKDAY(C542,2)+1)</f>
        <v/>
      </c>
      <c r="AW542" s="29" t="str">
        <f>IF(AV542="","",AV542+6)</f>
        <v/>
      </c>
      <c r="AX542" s="28" t="str">
        <f>IF(AV542="","",TEXT(AV542,"dd/mm/yyyy")&amp;" - "&amp;TEXT(AW542,"dd/mm/yyyy"))</f>
        <v/>
      </c>
      <c r="AY542" s="28" t="str">
        <f>IF(B542="","",COUNTIFS($B$5:B542,B542,$AT$5:AT542,AT542))</f>
        <v/>
      </c>
      <c r="AZ542" s="28" t="str">
        <f>IF(B542="","",COUNTIFS($B$5:B542,B542,$AV$5:AV542,AV542))</f>
        <v/>
      </c>
      <c r="BA542" s="28" t="str">
        <f>IF(B542="","",TEXT(AY542,"00")&amp;"|"&amp;B542&amp;"|"&amp;TEXT(AT542,"yyyymmdd"))</f>
        <v/>
      </c>
      <c r="BB542" s="28" t="str">
        <f>IF(B542="","",TEXT(AZ542,"00")&amp;"|"&amp;B542&amp;"|"&amp;TEXT(AV542,"yyyymmdd"))</f>
        <v/>
      </c>
      <c r="BC542" s="28">
        <f>IF(OR(AQ542="YES",AQ542="Yes",AQ542="Y",AQ542=1),1,0)</f>
        <v>0</v>
      </c>
    </row>
    <row r="543" spans="1:55" ht="15" customHeight="1">
      <c r="A543" s="27"/>
      <c r="B543" s="28"/>
      <c r="C543" s="29"/>
      <c r="D543" s="30"/>
      <c r="E543" s="30"/>
      <c r="F543" s="28"/>
      <c r="G543" s="28"/>
      <c r="H543" s="28"/>
      <c r="I543" s="13"/>
      <c r="J543" s="28"/>
      <c r="K543" s="13"/>
      <c r="L543" s="28"/>
      <c r="M543" s="13"/>
      <c r="N543" s="28"/>
      <c r="O543" s="13"/>
      <c r="P543" s="28"/>
      <c r="Q543" s="20"/>
      <c r="R543" s="28"/>
      <c r="S543" s="20"/>
      <c r="T543" s="28"/>
      <c r="U543" s="13"/>
      <c r="V543" s="28"/>
      <c r="W543" s="13"/>
      <c r="X543" s="28"/>
      <c r="Y543" s="13"/>
      <c r="Z543" s="28"/>
      <c r="AA543" s="13"/>
      <c r="AB543" s="28"/>
      <c r="AC543" s="13"/>
      <c r="AD543" s="28"/>
      <c r="AE543" s="13"/>
      <c r="AF543" s="28"/>
      <c r="AG543" s="13"/>
      <c r="AH543" s="28"/>
      <c r="AI543" s="13"/>
      <c r="AJ543" s="28"/>
      <c r="AK543" s="13"/>
      <c r="AL543" s="28"/>
      <c r="AM543" s="13"/>
      <c r="AN543" s="28"/>
      <c r="AO543" s="13"/>
      <c r="AP543" s="28"/>
      <c r="AQ543" s="13"/>
      <c r="AR543" s="28"/>
      <c r="AS543" s="19">
        <f>SUM(H543,J543,L543,N543,P543,R543,T543,V543,X543,Z543,AB543,AD543,AF543,AH543,AJ543,AL543,AN543)</f>
        <v>0</v>
      </c>
      <c r="AT543" s="29" t="str">
        <f>IF(C543="","",DATE(YEAR(C543),MONTH(C543),1))</f>
        <v/>
      </c>
      <c r="AU543" s="28" t="str">
        <f>IF(AT543="","",TEXT(AT543,"mmmm yyyy"))</f>
        <v/>
      </c>
      <c r="AV543" s="29" t="str">
        <f>IF(C543="","",C543-WEEKDAY(C543,2)+1)</f>
        <v/>
      </c>
      <c r="AW543" s="29" t="str">
        <f>IF(AV543="","",AV543+6)</f>
        <v/>
      </c>
      <c r="AX543" s="28" t="str">
        <f>IF(AV543="","",TEXT(AV543,"dd/mm/yyyy")&amp;" - "&amp;TEXT(AW543,"dd/mm/yyyy"))</f>
        <v/>
      </c>
      <c r="AY543" s="28" t="str">
        <f>IF(B543="","",COUNTIFS($B$5:B543,B543,$AT$5:AT543,AT543))</f>
        <v/>
      </c>
      <c r="AZ543" s="28" t="str">
        <f>IF(B543="","",COUNTIFS($B$5:B543,B543,$AV$5:AV543,AV543))</f>
        <v/>
      </c>
      <c r="BA543" s="28" t="str">
        <f>IF(B543="","",TEXT(AY543,"00")&amp;"|"&amp;B543&amp;"|"&amp;TEXT(AT543,"yyyymmdd"))</f>
        <v/>
      </c>
      <c r="BB543" s="28" t="str">
        <f>IF(B543="","",TEXT(AZ543,"00")&amp;"|"&amp;B543&amp;"|"&amp;TEXT(AV543,"yyyymmdd"))</f>
        <v/>
      </c>
      <c r="BC543" s="28">
        <f>IF(OR(AQ543="YES",AQ543="Yes",AQ543="Y",AQ543=1),1,0)</f>
        <v>0</v>
      </c>
    </row>
    <row r="544" spans="1:55" ht="15" customHeight="1">
      <c r="A544" s="27"/>
      <c r="B544" s="28"/>
      <c r="C544" s="29"/>
      <c r="D544" s="30"/>
      <c r="E544" s="30"/>
      <c r="F544" s="28"/>
      <c r="G544" s="28"/>
      <c r="H544" s="28"/>
      <c r="I544" s="13"/>
      <c r="J544" s="28"/>
      <c r="K544" s="13"/>
      <c r="L544" s="28"/>
      <c r="M544" s="13"/>
      <c r="N544" s="28"/>
      <c r="O544" s="13"/>
      <c r="P544" s="28"/>
      <c r="Q544" s="20"/>
      <c r="R544" s="28"/>
      <c r="S544" s="20"/>
      <c r="T544" s="28"/>
      <c r="U544" s="13"/>
      <c r="V544" s="28"/>
      <c r="W544" s="13"/>
      <c r="X544" s="28"/>
      <c r="Y544" s="13"/>
      <c r="Z544" s="28"/>
      <c r="AA544" s="13"/>
      <c r="AB544" s="28"/>
      <c r="AC544" s="13"/>
      <c r="AD544" s="28"/>
      <c r="AE544" s="13"/>
      <c r="AF544" s="28"/>
      <c r="AG544" s="13"/>
      <c r="AH544" s="28"/>
      <c r="AI544" s="13"/>
      <c r="AJ544" s="28"/>
      <c r="AK544" s="13"/>
      <c r="AL544" s="28"/>
      <c r="AM544" s="13"/>
      <c r="AN544" s="28"/>
      <c r="AO544" s="13"/>
      <c r="AP544" s="28"/>
      <c r="AQ544" s="13"/>
      <c r="AR544" s="28"/>
      <c r="AS544" s="19">
        <f>SUM(H544,J544,L544,N544,P544,R544,T544,V544,X544,Z544,AB544,AD544,AF544,AH544,AJ544,AL544,AN544)</f>
        <v>0</v>
      </c>
      <c r="AT544" s="29" t="str">
        <f>IF(C544="","",DATE(YEAR(C544),MONTH(C544),1))</f>
        <v/>
      </c>
      <c r="AU544" s="28" t="str">
        <f>IF(AT544="","",TEXT(AT544,"mmmm yyyy"))</f>
        <v/>
      </c>
      <c r="AV544" s="29" t="str">
        <f>IF(C544="","",C544-WEEKDAY(C544,2)+1)</f>
        <v/>
      </c>
      <c r="AW544" s="29" t="str">
        <f>IF(AV544="","",AV544+6)</f>
        <v/>
      </c>
      <c r="AX544" s="28" t="str">
        <f>IF(AV544="","",TEXT(AV544,"dd/mm/yyyy")&amp;" - "&amp;TEXT(AW544,"dd/mm/yyyy"))</f>
        <v/>
      </c>
      <c r="AY544" s="28" t="str">
        <f>IF(B544="","",COUNTIFS($B$5:B544,B544,$AT$5:AT544,AT544))</f>
        <v/>
      </c>
      <c r="AZ544" s="28" t="str">
        <f>IF(B544="","",COUNTIFS($B$5:B544,B544,$AV$5:AV544,AV544))</f>
        <v/>
      </c>
      <c r="BA544" s="28" t="str">
        <f>IF(B544="","",TEXT(AY544,"00")&amp;"|"&amp;B544&amp;"|"&amp;TEXT(AT544,"yyyymmdd"))</f>
        <v/>
      </c>
      <c r="BB544" s="28" t="str">
        <f>IF(B544="","",TEXT(AZ544,"00")&amp;"|"&amp;B544&amp;"|"&amp;TEXT(AV544,"yyyymmdd"))</f>
        <v/>
      </c>
      <c r="BC544" s="28">
        <f>IF(OR(AQ544="YES",AQ544="Yes",AQ544="Y",AQ544=1),1,0)</f>
        <v>0</v>
      </c>
    </row>
    <row r="545" spans="1:55" ht="15" customHeight="1">
      <c r="A545" s="27"/>
      <c r="B545" s="28"/>
      <c r="C545" s="29"/>
      <c r="D545" s="30"/>
      <c r="E545" s="30"/>
      <c r="F545" s="28"/>
      <c r="G545" s="28"/>
      <c r="H545" s="28"/>
      <c r="I545" s="13"/>
      <c r="J545" s="28"/>
      <c r="K545" s="13"/>
      <c r="L545" s="28"/>
      <c r="M545" s="13"/>
      <c r="N545" s="28"/>
      <c r="O545" s="13"/>
      <c r="P545" s="28"/>
      <c r="Q545" s="20"/>
      <c r="R545" s="28"/>
      <c r="S545" s="20"/>
      <c r="T545" s="28"/>
      <c r="U545" s="13"/>
      <c r="V545" s="28"/>
      <c r="W545" s="13"/>
      <c r="X545" s="28"/>
      <c r="Y545" s="13"/>
      <c r="Z545" s="28"/>
      <c r="AA545" s="13"/>
      <c r="AB545" s="28"/>
      <c r="AC545" s="13"/>
      <c r="AD545" s="28"/>
      <c r="AE545" s="13"/>
      <c r="AF545" s="28"/>
      <c r="AG545" s="13"/>
      <c r="AH545" s="28"/>
      <c r="AI545" s="13"/>
      <c r="AJ545" s="28"/>
      <c r="AK545" s="13"/>
      <c r="AL545" s="28"/>
      <c r="AM545" s="13"/>
      <c r="AN545" s="28"/>
      <c r="AO545" s="13"/>
      <c r="AP545" s="28"/>
      <c r="AQ545" s="13"/>
      <c r="AR545" s="28"/>
      <c r="AS545" s="19">
        <f>SUM(H545,J545,L545,N545,P545,R545,T545,V545,X545,Z545,AB545,AD545,AF545,AH545,AJ545,AL545,AN545)</f>
        <v>0</v>
      </c>
      <c r="AT545" s="29" t="str">
        <f>IF(C545="","",DATE(YEAR(C545),MONTH(C545),1))</f>
        <v/>
      </c>
      <c r="AU545" s="28" t="str">
        <f>IF(AT545="","",TEXT(AT545,"mmmm yyyy"))</f>
        <v/>
      </c>
      <c r="AV545" s="29" t="str">
        <f>IF(C545="","",C545-WEEKDAY(C545,2)+1)</f>
        <v/>
      </c>
      <c r="AW545" s="29" t="str">
        <f>IF(AV545="","",AV545+6)</f>
        <v/>
      </c>
      <c r="AX545" s="28" t="str">
        <f>IF(AV545="","",TEXT(AV545,"dd/mm/yyyy")&amp;" - "&amp;TEXT(AW545,"dd/mm/yyyy"))</f>
        <v/>
      </c>
      <c r="AY545" s="28" t="str">
        <f>IF(B545="","",COUNTIFS($B$5:B545,B545,$AT$5:AT545,AT545))</f>
        <v/>
      </c>
      <c r="AZ545" s="28" t="str">
        <f>IF(B545="","",COUNTIFS($B$5:B545,B545,$AV$5:AV545,AV545))</f>
        <v/>
      </c>
      <c r="BA545" s="28" t="str">
        <f>IF(B545="","",TEXT(AY545,"00")&amp;"|"&amp;B545&amp;"|"&amp;TEXT(AT545,"yyyymmdd"))</f>
        <v/>
      </c>
      <c r="BB545" s="28" t="str">
        <f>IF(B545="","",TEXT(AZ545,"00")&amp;"|"&amp;B545&amp;"|"&amp;TEXT(AV545,"yyyymmdd"))</f>
        <v/>
      </c>
      <c r="BC545" s="28">
        <f>IF(OR(AQ545="YES",AQ545="Yes",AQ545="Y",AQ545=1),1,0)</f>
        <v>0</v>
      </c>
    </row>
    <row r="546" spans="1:55" ht="15" customHeight="1">
      <c r="A546" s="27"/>
      <c r="B546" s="28"/>
      <c r="C546" s="29"/>
      <c r="D546" s="30"/>
      <c r="E546" s="30"/>
      <c r="F546" s="28"/>
      <c r="G546" s="28"/>
      <c r="H546" s="28"/>
      <c r="I546" s="13"/>
      <c r="J546" s="28"/>
      <c r="K546" s="13"/>
      <c r="L546" s="28"/>
      <c r="M546" s="13"/>
      <c r="N546" s="28"/>
      <c r="O546" s="13"/>
      <c r="P546" s="28"/>
      <c r="Q546" s="20"/>
      <c r="R546" s="28"/>
      <c r="S546" s="20"/>
      <c r="T546" s="28"/>
      <c r="U546" s="13"/>
      <c r="V546" s="28"/>
      <c r="W546" s="13"/>
      <c r="X546" s="28"/>
      <c r="Y546" s="13"/>
      <c r="Z546" s="28"/>
      <c r="AA546" s="13"/>
      <c r="AB546" s="28"/>
      <c r="AC546" s="13"/>
      <c r="AD546" s="28"/>
      <c r="AE546" s="13"/>
      <c r="AF546" s="28"/>
      <c r="AG546" s="13"/>
      <c r="AH546" s="28"/>
      <c r="AI546" s="13"/>
      <c r="AJ546" s="28"/>
      <c r="AK546" s="13"/>
      <c r="AL546" s="28"/>
      <c r="AM546" s="13"/>
      <c r="AN546" s="28"/>
      <c r="AO546" s="13"/>
      <c r="AP546" s="28"/>
      <c r="AQ546" s="13"/>
      <c r="AR546" s="28"/>
      <c r="AS546" s="19">
        <f>SUM(H546,J546,L546,N546,P546,R546,T546,V546,X546,Z546,AB546,AD546,AF546,AH546,AJ546,AL546,AN546)</f>
        <v>0</v>
      </c>
      <c r="AT546" s="29" t="str">
        <f>IF(C546="","",DATE(YEAR(C546),MONTH(C546),1))</f>
        <v/>
      </c>
      <c r="AU546" s="28" t="str">
        <f>IF(AT546="","",TEXT(AT546,"mmmm yyyy"))</f>
        <v/>
      </c>
      <c r="AV546" s="29" t="str">
        <f>IF(C546="","",C546-WEEKDAY(C546,2)+1)</f>
        <v/>
      </c>
      <c r="AW546" s="29" t="str">
        <f>IF(AV546="","",AV546+6)</f>
        <v/>
      </c>
      <c r="AX546" s="28" t="str">
        <f>IF(AV546="","",TEXT(AV546,"dd/mm/yyyy")&amp;" - "&amp;TEXT(AW546,"dd/mm/yyyy"))</f>
        <v/>
      </c>
      <c r="AY546" s="28" t="str">
        <f>IF(B546="","",COUNTIFS($B$5:B546,B546,$AT$5:AT546,AT546))</f>
        <v/>
      </c>
      <c r="AZ546" s="28" t="str">
        <f>IF(B546="","",COUNTIFS($B$5:B546,B546,$AV$5:AV546,AV546))</f>
        <v/>
      </c>
      <c r="BA546" s="28" t="str">
        <f>IF(B546="","",TEXT(AY546,"00")&amp;"|"&amp;B546&amp;"|"&amp;TEXT(AT546,"yyyymmdd"))</f>
        <v/>
      </c>
      <c r="BB546" s="28" t="str">
        <f>IF(B546="","",TEXT(AZ546,"00")&amp;"|"&amp;B546&amp;"|"&amp;TEXT(AV546,"yyyymmdd"))</f>
        <v/>
      </c>
      <c r="BC546" s="28">
        <f>IF(OR(AQ546="YES",AQ546="Yes",AQ546="Y",AQ546=1),1,0)</f>
        <v>0</v>
      </c>
    </row>
    <row r="547" spans="1:55" ht="15" customHeight="1">
      <c r="A547" s="27"/>
      <c r="B547" s="28"/>
      <c r="C547" s="29"/>
      <c r="D547" s="30"/>
      <c r="E547" s="30"/>
      <c r="F547" s="28"/>
      <c r="G547" s="28"/>
      <c r="H547" s="28"/>
      <c r="I547" s="13"/>
      <c r="J547" s="28"/>
      <c r="K547" s="13"/>
      <c r="L547" s="28"/>
      <c r="M547" s="13"/>
      <c r="N547" s="28"/>
      <c r="O547" s="13"/>
      <c r="P547" s="28"/>
      <c r="Q547" s="20"/>
      <c r="R547" s="28"/>
      <c r="S547" s="20"/>
      <c r="T547" s="28"/>
      <c r="U547" s="13"/>
      <c r="V547" s="28"/>
      <c r="W547" s="13"/>
      <c r="X547" s="28"/>
      <c r="Y547" s="13"/>
      <c r="Z547" s="28"/>
      <c r="AA547" s="13"/>
      <c r="AB547" s="28"/>
      <c r="AC547" s="13"/>
      <c r="AD547" s="28"/>
      <c r="AE547" s="13"/>
      <c r="AF547" s="28"/>
      <c r="AG547" s="13"/>
      <c r="AH547" s="28"/>
      <c r="AI547" s="13"/>
      <c r="AJ547" s="28"/>
      <c r="AK547" s="13"/>
      <c r="AL547" s="28"/>
      <c r="AM547" s="13"/>
      <c r="AN547" s="28"/>
      <c r="AO547" s="13"/>
      <c r="AP547" s="28"/>
      <c r="AQ547" s="13"/>
      <c r="AR547" s="28"/>
      <c r="AS547" s="19">
        <f>SUM(H547,J547,L547,N547,P547,R547,T547,V547,X547,Z547,AB547,AD547,AF547,AH547,AJ547,AL547,AN547)</f>
        <v>0</v>
      </c>
      <c r="AT547" s="29" t="str">
        <f>IF(C547="","",DATE(YEAR(C547),MONTH(C547),1))</f>
        <v/>
      </c>
      <c r="AU547" s="28" t="str">
        <f>IF(AT547="","",TEXT(AT547,"mmmm yyyy"))</f>
        <v/>
      </c>
      <c r="AV547" s="29" t="str">
        <f>IF(C547="","",C547-WEEKDAY(C547,2)+1)</f>
        <v/>
      </c>
      <c r="AW547" s="29" t="str">
        <f>IF(AV547="","",AV547+6)</f>
        <v/>
      </c>
      <c r="AX547" s="28" t="str">
        <f>IF(AV547="","",TEXT(AV547,"dd/mm/yyyy")&amp;" - "&amp;TEXT(AW547,"dd/mm/yyyy"))</f>
        <v/>
      </c>
      <c r="AY547" s="28" t="str">
        <f>IF(B547="","",COUNTIFS($B$5:B547,B547,$AT$5:AT547,AT547))</f>
        <v/>
      </c>
      <c r="AZ547" s="28" t="str">
        <f>IF(B547="","",COUNTIFS($B$5:B547,B547,$AV$5:AV547,AV547))</f>
        <v/>
      </c>
      <c r="BA547" s="28" t="str">
        <f>IF(B547="","",TEXT(AY547,"00")&amp;"|"&amp;B547&amp;"|"&amp;TEXT(AT547,"yyyymmdd"))</f>
        <v/>
      </c>
      <c r="BB547" s="28" t="str">
        <f>IF(B547="","",TEXT(AZ547,"00")&amp;"|"&amp;B547&amp;"|"&amp;TEXT(AV547,"yyyymmdd"))</f>
        <v/>
      </c>
      <c r="BC547" s="28">
        <f>IF(OR(AQ547="YES",AQ547="Yes",AQ547="Y",AQ547=1),1,0)</f>
        <v>0</v>
      </c>
    </row>
    <row r="548" spans="1:55" ht="15" customHeight="1">
      <c r="A548" s="27"/>
      <c r="B548" s="28"/>
      <c r="C548" s="29"/>
      <c r="D548" s="30"/>
      <c r="E548" s="30"/>
      <c r="F548" s="28"/>
      <c r="G548" s="28"/>
      <c r="H548" s="28"/>
      <c r="I548" s="13"/>
      <c r="J548" s="28"/>
      <c r="K548" s="13"/>
      <c r="L548" s="28"/>
      <c r="M548" s="13"/>
      <c r="N548" s="28"/>
      <c r="O548" s="13"/>
      <c r="P548" s="28"/>
      <c r="Q548" s="20"/>
      <c r="R548" s="28"/>
      <c r="S548" s="20"/>
      <c r="T548" s="28"/>
      <c r="U548" s="13"/>
      <c r="V548" s="28"/>
      <c r="W548" s="13"/>
      <c r="X548" s="28"/>
      <c r="Y548" s="13"/>
      <c r="Z548" s="28"/>
      <c r="AA548" s="13"/>
      <c r="AB548" s="28"/>
      <c r="AC548" s="13"/>
      <c r="AD548" s="28"/>
      <c r="AE548" s="13"/>
      <c r="AF548" s="28"/>
      <c r="AG548" s="13"/>
      <c r="AH548" s="28"/>
      <c r="AI548" s="13"/>
      <c r="AJ548" s="28"/>
      <c r="AK548" s="13"/>
      <c r="AL548" s="28"/>
      <c r="AM548" s="13"/>
      <c r="AN548" s="28"/>
      <c r="AO548" s="13"/>
      <c r="AP548" s="28"/>
      <c r="AQ548" s="13"/>
      <c r="AR548" s="28"/>
      <c r="AS548" s="19">
        <f>SUM(H548,J548,L548,N548,P548,R548,T548,V548,X548,Z548,AB548,AD548,AF548,AH548,AJ548,AL548,AN548)</f>
        <v>0</v>
      </c>
      <c r="AT548" s="29" t="str">
        <f>IF(C548="","",DATE(YEAR(C548),MONTH(C548),1))</f>
        <v/>
      </c>
      <c r="AU548" s="28" t="str">
        <f>IF(AT548="","",TEXT(AT548,"mmmm yyyy"))</f>
        <v/>
      </c>
      <c r="AV548" s="29" t="str">
        <f>IF(C548="","",C548-WEEKDAY(C548,2)+1)</f>
        <v/>
      </c>
      <c r="AW548" s="29" t="str">
        <f>IF(AV548="","",AV548+6)</f>
        <v/>
      </c>
      <c r="AX548" s="28" t="str">
        <f>IF(AV548="","",TEXT(AV548,"dd/mm/yyyy")&amp;" - "&amp;TEXT(AW548,"dd/mm/yyyy"))</f>
        <v/>
      </c>
      <c r="AY548" s="28" t="str">
        <f>IF(B548="","",COUNTIFS($B$5:B548,B548,$AT$5:AT548,AT548))</f>
        <v/>
      </c>
      <c r="AZ548" s="28" t="str">
        <f>IF(B548="","",COUNTIFS($B$5:B548,B548,$AV$5:AV548,AV548))</f>
        <v/>
      </c>
      <c r="BA548" s="28" t="str">
        <f>IF(B548="","",TEXT(AY548,"00")&amp;"|"&amp;B548&amp;"|"&amp;TEXT(AT548,"yyyymmdd"))</f>
        <v/>
      </c>
      <c r="BB548" s="28" t="str">
        <f>IF(B548="","",TEXT(AZ548,"00")&amp;"|"&amp;B548&amp;"|"&amp;TEXT(AV548,"yyyymmdd"))</f>
        <v/>
      </c>
      <c r="BC548" s="28">
        <f>IF(OR(AQ548="YES",AQ548="Yes",AQ548="Y",AQ548=1),1,0)</f>
        <v>0</v>
      </c>
    </row>
    <row r="549" spans="1:55" ht="15" customHeight="1">
      <c r="A549" s="27"/>
      <c r="B549" s="28"/>
      <c r="C549" s="29"/>
      <c r="D549" s="30"/>
      <c r="E549" s="30"/>
      <c r="F549" s="28"/>
      <c r="G549" s="28"/>
      <c r="H549" s="28"/>
      <c r="I549" s="13"/>
      <c r="J549" s="28"/>
      <c r="K549" s="13"/>
      <c r="L549" s="28"/>
      <c r="M549" s="13"/>
      <c r="N549" s="28"/>
      <c r="O549" s="13"/>
      <c r="P549" s="28"/>
      <c r="Q549" s="20"/>
      <c r="R549" s="28"/>
      <c r="S549" s="20"/>
      <c r="T549" s="28"/>
      <c r="U549" s="13"/>
      <c r="V549" s="28"/>
      <c r="W549" s="13"/>
      <c r="X549" s="28"/>
      <c r="Y549" s="13"/>
      <c r="Z549" s="28"/>
      <c r="AA549" s="13"/>
      <c r="AB549" s="28"/>
      <c r="AC549" s="13"/>
      <c r="AD549" s="28"/>
      <c r="AE549" s="13"/>
      <c r="AF549" s="28"/>
      <c r="AG549" s="13"/>
      <c r="AH549" s="28"/>
      <c r="AI549" s="13"/>
      <c r="AJ549" s="28"/>
      <c r="AK549" s="13"/>
      <c r="AL549" s="28"/>
      <c r="AM549" s="13"/>
      <c r="AN549" s="28"/>
      <c r="AO549" s="13"/>
      <c r="AP549" s="28"/>
      <c r="AQ549" s="13"/>
      <c r="AR549" s="28"/>
      <c r="AS549" s="19">
        <f>SUM(H549,J549,L549,N549,P549,R549,T549,V549,X549,Z549,AB549,AD549,AF549,AH549,AJ549,AL549,AN549)</f>
        <v>0</v>
      </c>
      <c r="AT549" s="29" t="str">
        <f>IF(C549="","",DATE(YEAR(C549),MONTH(C549),1))</f>
        <v/>
      </c>
      <c r="AU549" s="28" t="str">
        <f>IF(AT549="","",TEXT(AT549,"mmmm yyyy"))</f>
        <v/>
      </c>
      <c r="AV549" s="29" t="str">
        <f>IF(C549="","",C549-WEEKDAY(C549,2)+1)</f>
        <v/>
      </c>
      <c r="AW549" s="29" t="str">
        <f>IF(AV549="","",AV549+6)</f>
        <v/>
      </c>
      <c r="AX549" s="28" t="str">
        <f>IF(AV549="","",TEXT(AV549,"dd/mm/yyyy")&amp;" - "&amp;TEXT(AW549,"dd/mm/yyyy"))</f>
        <v/>
      </c>
      <c r="AY549" s="28" t="str">
        <f>IF(B549="","",COUNTIFS($B$5:B549,B549,$AT$5:AT549,AT549))</f>
        <v/>
      </c>
      <c r="AZ549" s="28" t="str">
        <f>IF(B549="","",COUNTIFS($B$5:B549,B549,$AV$5:AV549,AV549))</f>
        <v/>
      </c>
      <c r="BA549" s="28" t="str">
        <f>IF(B549="","",TEXT(AY549,"00")&amp;"|"&amp;B549&amp;"|"&amp;TEXT(AT549,"yyyymmdd"))</f>
        <v/>
      </c>
      <c r="BB549" s="28" t="str">
        <f>IF(B549="","",TEXT(AZ549,"00")&amp;"|"&amp;B549&amp;"|"&amp;TEXT(AV549,"yyyymmdd"))</f>
        <v/>
      </c>
      <c r="BC549" s="28">
        <f>IF(OR(AQ549="YES",AQ549="Yes",AQ549="Y",AQ549=1),1,0)</f>
        <v>0</v>
      </c>
    </row>
    <row r="550" spans="1:55" ht="15" customHeight="1">
      <c r="A550" s="27"/>
      <c r="B550" s="28"/>
      <c r="C550" s="29"/>
      <c r="D550" s="30"/>
      <c r="E550" s="30"/>
      <c r="F550" s="28"/>
      <c r="G550" s="28"/>
      <c r="H550" s="28"/>
      <c r="I550" s="13"/>
      <c r="J550" s="28"/>
      <c r="K550" s="13"/>
      <c r="L550" s="28"/>
      <c r="M550" s="13"/>
      <c r="N550" s="28"/>
      <c r="O550" s="13"/>
      <c r="P550" s="28"/>
      <c r="Q550" s="20"/>
      <c r="R550" s="28"/>
      <c r="S550" s="20"/>
      <c r="T550" s="28"/>
      <c r="U550" s="13"/>
      <c r="V550" s="28"/>
      <c r="W550" s="13"/>
      <c r="X550" s="28"/>
      <c r="Y550" s="13"/>
      <c r="Z550" s="28"/>
      <c r="AA550" s="13"/>
      <c r="AB550" s="28"/>
      <c r="AC550" s="13"/>
      <c r="AD550" s="28"/>
      <c r="AE550" s="13"/>
      <c r="AF550" s="28"/>
      <c r="AG550" s="13"/>
      <c r="AH550" s="28"/>
      <c r="AI550" s="13"/>
      <c r="AJ550" s="28"/>
      <c r="AK550" s="13"/>
      <c r="AL550" s="28"/>
      <c r="AM550" s="13"/>
      <c r="AN550" s="28"/>
      <c r="AO550" s="13"/>
      <c r="AP550" s="28"/>
      <c r="AQ550" s="13"/>
      <c r="AR550" s="28"/>
      <c r="AS550" s="19">
        <f>SUM(H550,J550,L550,N550,P550,R550,T550,V550,X550,Z550,AB550,AD550,AF550,AH550,AJ550,AL550,AN550)</f>
        <v>0</v>
      </c>
      <c r="AT550" s="29" t="str">
        <f>IF(C550="","",DATE(YEAR(C550),MONTH(C550),1))</f>
        <v/>
      </c>
      <c r="AU550" s="28" t="str">
        <f>IF(AT550="","",TEXT(AT550,"mmmm yyyy"))</f>
        <v/>
      </c>
      <c r="AV550" s="29" t="str">
        <f>IF(C550="","",C550-WEEKDAY(C550,2)+1)</f>
        <v/>
      </c>
      <c r="AW550" s="29" t="str">
        <f>IF(AV550="","",AV550+6)</f>
        <v/>
      </c>
      <c r="AX550" s="28" t="str">
        <f>IF(AV550="","",TEXT(AV550,"dd/mm/yyyy")&amp;" - "&amp;TEXT(AW550,"dd/mm/yyyy"))</f>
        <v/>
      </c>
      <c r="AY550" s="28" t="str">
        <f>IF(B550="","",COUNTIFS($B$5:B550,B550,$AT$5:AT550,AT550))</f>
        <v/>
      </c>
      <c r="AZ550" s="28" t="str">
        <f>IF(B550="","",COUNTIFS($B$5:B550,B550,$AV$5:AV550,AV550))</f>
        <v/>
      </c>
      <c r="BA550" s="28" t="str">
        <f>IF(B550="","",TEXT(AY550,"00")&amp;"|"&amp;B550&amp;"|"&amp;TEXT(AT550,"yyyymmdd"))</f>
        <v/>
      </c>
      <c r="BB550" s="28" t="str">
        <f>IF(B550="","",TEXT(AZ550,"00")&amp;"|"&amp;B550&amp;"|"&amp;TEXT(AV550,"yyyymmdd"))</f>
        <v/>
      </c>
      <c r="BC550" s="28">
        <f>IF(OR(AQ550="YES",AQ550="Yes",AQ550="Y",AQ550=1),1,0)</f>
        <v>0</v>
      </c>
    </row>
    <row r="551" spans="1:55" ht="15" customHeight="1">
      <c r="A551" s="27"/>
      <c r="B551" s="28"/>
      <c r="C551" s="29"/>
      <c r="D551" s="30"/>
      <c r="E551" s="30"/>
      <c r="F551" s="28"/>
      <c r="G551" s="28"/>
      <c r="H551" s="28"/>
      <c r="I551" s="13"/>
      <c r="J551" s="28"/>
      <c r="K551" s="13"/>
      <c r="L551" s="28"/>
      <c r="M551" s="13"/>
      <c r="N551" s="28"/>
      <c r="O551" s="13"/>
      <c r="P551" s="28"/>
      <c r="Q551" s="20"/>
      <c r="R551" s="28"/>
      <c r="S551" s="20"/>
      <c r="T551" s="28"/>
      <c r="U551" s="13"/>
      <c r="V551" s="28"/>
      <c r="W551" s="13"/>
      <c r="X551" s="28"/>
      <c r="Y551" s="13"/>
      <c r="Z551" s="28"/>
      <c r="AA551" s="13"/>
      <c r="AB551" s="28"/>
      <c r="AC551" s="13"/>
      <c r="AD551" s="28"/>
      <c r="AE551" s="13"/>
      <c r="AF551" s="28"/>
      <c r="AG551" s="13"/>
      <c r="AH551" s="28"/>
      <c r="AI551" s="13"/>
      <c r="AJ551" s="28"/>
      <c r="AK551" s="13"/>
      <c r="AL551" s="28"/>
      <c r="AM551" s="13"/>
      <c r="AN551" s="28"/>
      <c r="AO551" s="13"/>
      <c r="AP551" s="28"/>
      <c r="AQ551" s="13"/>
      <c r="AR551" s="28"/>
      <c r="AS551" s="19">
        <f>SUM(H551,J551,L551,N551,P551,R551,T551,V551,X551,Z551,AB551,AD551,AF551,AH551,AJ551,AL551,AN551)</f>
        <v>0</v>
      </c>
      <c r="AT551" s="29" t="str">
        <f>IF(C551="","",DATE(YEAR(C551),MONTH(C551),1))</f>
        <v/>
      </c>
      <c r="AU551" s="28" t="str">
        <f>IF(AT551="","",TEXT(AT551,"mmmm yyyy"))</f>
        <v/>
      </c>
      <c r="AV551" s="29" t="str">
        <f>IF(C551="","",C551-WEEKDAY(C551,2)+1)</f>
        <v/>
      </c>
      <c r="AW551" s="29" t="str">
        <f>IF(AV551="","",AV551+6)</f>
        <v/>
      </c>
      <c r="AX551" s="28" t="str">
        <f>IF(AV551="","",TEXT(AV551,"dd/mm/yyyy")&amp;" - "&amp;TEXT(AW551,"dd/mm/yyyy"))</f>
        <v/>
      </c>
      <c r="AY551" s="28" t="str">
        <f>IF(B551="","",COUNTIFS($B$5:B551,B551,$AT$5:AT551,AT551))</f>
        <v/>
      </c>
      <c r="AZ551" s="28" t="str">
        <f>IF(B551="","",COUNTIFS($B$5:B551,B551,$AV$5:AV551,AV551))</f>
        <v/>
      </c>
      <c r="BA551" s="28" t="str">
        <f>IF(B551="","",TEXT(AY551,"00")&amp;"|"&amp;B551&amp;"|"&amp;TEXT(AT551,"yyyymmdd"))</f>
        <v/>
      </c>
      <c r="BB551" s="28" t="str">
        <f>IF(B551="","",TEXT(AZ551,"00")&amp;"|"&amp;B551&amp;"|"&amp;TEXT(AV551,"yyyymmdd"))</f>
        <v/>
      </c>
      <c r="BC551" s="28">
        <f>IF(OR(AQ551="YES",AQ551="Yes",AQ551="Y",AQ551=1),1,0)</f>
        <v>0</v>
      </c>
    </row>
    <row r="552" spans="1:55" ht="15" customHeight="1">
      <c r="A552" s="27"/>
      <c r="B552" s="28"/>
      <c r="C552" s="29"/>
      <c r="D552" s="30"/>
      <c r="E552" s="30"/>
      <c r="F552" s="28"/>
      <c r="G552" s="28"/>
      <c r="H552" s="28"/>
      <c r="I552" s="13"/>
      <c r="J552" s="28"/>
      <c r="K552" s="13"/>
      <c r="L552" s="28"/>
      <c r="M552" s="13"/>
      <c r="N552" s="28"/>
      <c r="O552" s="13"/>
      <c r="P552" s="28"/>
      <c r="Q552" s="20"/>
      <c r="R552" s="28"/>
      <c r="S552" s="20"/>
      <c r="T552" s="28"/>
      <c r="U552" s="13"/>
      <c r="V552" s="28"/>
      <c r="W552" s="13"/>
      <c r="X552" s="28"/>
      <c r="Y552" s="13"/>
      <c r="Z552" s="28"/>
      <c r="AA552" s="13"/>
      <c r="AB552" s="28"/>
      <c r="AC552" s="13"/>
      <c r="AD552" s="28"/>
      <c r="AE552" s="13"/>
      <c r="AF552" s="28"/>
      <c r="AG552" s="13"/>
      <c r="AH552" s="28"/>
      <c r="AI552" s="13"/>
      <c r="AJ552" s="28"/>
      <c r="AK552" s="13"/>
      <c r="AL552" s="28"/>
      <c r="AM552" s="13"/>
      <c r="AN552" s="28"/>
      <c r="AO552" s="13"/>
      <c r="AP552" s="28"/>
      <c r="AQ552" s="13"/>
      <c r="AR552" s="28"/>
      <c r="AS552" s="19">
        <f>SUM(H552,J552,L552,N552,P552,R552,T552,V552,X552,Z552,AB552,AD552,AF552,AH552,AJ552,AL552,AN552)</f>
        <v>0</v>
      </c>
      <c r="AT552" s="29" t="str">
        <f>IF(C552="","",DATE(YEAR(C552),MONTH(C552),1))</f>
        <v/>
      </c>
      <c r="AU552" s="28" t="str">
        <f>IF(AT552="","",TEXT(AT552,"mmmm yyyy"))</f>
        <v/>
      </c>
      <c r="AV552" s="29" t="str">
        <f>IF(C552="","",C552-WEEKDAY(C552,2)+1)</f>
        <v/>
      </c>
      <c r="AW552" s="29" t="str">
        <f>IF(AV552="","",AV552+6)</f>
        <v/>
      </c>
      <c r="AX552" s="28" t="str">
        <f>IF(AV552="","",TEXT(AV552,"dd/mm/yyyy")&amp;" - "&amp;TEXT(AW552,"dd/mm/yyyy"))</f>
        <v/>
      </c>
      <c r="AY552" s="28" t="str">
        <f>IF(B552="","",COUNTIFS($B$5:B552,B552,$AT$5:AT552,AT552))</f>
        <v/>
      </c>
      <c r="AZ552" s="28" t="str">
        <f>IF(B552="","",COUNTIFS($B$5:B552,B552,$AV$5:AV552,AV552))</f>
        <v/>
      </c>
      <c r="BA552" s="28" t="str">
        <f>IF(B552="","",TEXT(AY552,"00")&amp;"|"&amp;B552&amp;"|"&amp;TEXT(AT552,"yyyymmdd"))</f>
        <v/>
      </c>
      <c r="BB552" s="28" t="str">
        <f>IF(B552="","",TEXT(AZ552,"00")&amp;"|"&amp;B552&amp;"|"&amp;TEXT(AV552,"yyyymmdd"))</f>
        <v/>
      </c>
      <c r="BC552" s="28">
        <f>IF(OR(AQ552="YES",AQ552="Yes",AQ552="Y",AQ552=1),1,0)</f>
        <v>0</v>
      </c>
    </row>
    <row r="553" spans="1:55" ht="15" customHeight="1">
      <c r="A553" s="27"/>
      <c r="B553" s="28"/>
      <c r="C553" s="29"/>
      <c r="D553" s="30"/>
      <c r="E553" s="30"/>
      <c r="F553" s="28"/>
      <c r="G553" s="28"/>
      <c r="H553" s="28"/>
      <c r="I553" s="13"/>
      <c r="J553" s="28"/>
      <c r="K553" s="13"/>
      <c r="L553" s="28"/>
      <c r="M553" s="13"/>
      <c r="N553" s="28"/>
      <c r="O553" s="13"/>
      <c r="P553" s="28"/>
      <c r="Q553" s="20"/>
      <c r="R553" s="28"/>
      <c r="S553" s="20"/>
      <c r="T553" s="28"/>
      <c r="U553" s="13"/>
      <c r="V553" s="28"/>
      <c r="W553" s="13"/>
      <c r="X553" s="28"/>
      <c r="Y553" s="13"/>
      <c r="Z553" s="28"/>
      <c r="AA553" s="13"/>
      <c r="AB553" s="28"/>
      <c r="AC553" s="13"/>
      <c r="AD553" s="28"/>
      <c r="AE553" s="13"/>
      <c r="AF553" s="28"/>
      <c r="AG553" s="13"/>
      <c r="AH553" s="28"/>
      <c r="AI553" s="13"/>
      <c r="AJ553" s="28"/>
      <c r="AK553" s="13"/>
      <c r="AL553" s="28"/>
      <c r="AM553" s="13"/>
      <c r="AN553" s="28"/>
      <c r="AO553" s="13"/>
      <c r="AP553" s="28"/>
      <c r="AQ553" s="13"/>
      <c r="AR553" s="28"/>
      <c r="AS553" s="19">
        <f>SUM(H553,J553,L553,N553,P553,R553,T553,V553,X553,Z553,AB553,AD553,AF553,AH553,AJ553,AL553,AN553)</f>
        <v>0</v>
      </c>
      <c r="AT553" s="29" t="str">
        <f>IF(C553="","",DATE(YEAR(C553),MONTH(C553),1))</f>
        <v/>
      </c>
      <c r="AU553" s="28" t="str">
        <f>IF(AT553="","",TEXT(AT553,"mmmm yyyy"))</f>
        <v/>
      </c>
      <c r="AV553" s="29" t="str">
        <f>IF(C553="","",C553-WEEKDAY(C553,2)+1)</f>
        <v/>
      </c>
      <c r="AW553" s="29" t="str">
        <f>IF(AV553="","",AV553+6)</f>
        <v/>
      </c>
      <c r="AX553" s="28" t="str">
        <f>IF(AV553="","",TEXT(AV553,"dd/mm/yyyy")&amp;" - "&amp;TEXT(AW553,"dd/mm/yyyy"))</f>
        <v/>
      </c>
      <c r="AY553" s="28" t="str">
        <f>IF(B553="","",COUNTIFS($B$5:B553,B553,$AT$5:AT553,AT553))</f>
        <v/>
      </c>
      <c r="AZ553" s="28" t="str">
        <f>IF(B553="","",COUNTIFS($B$5:B553,B553,$AV$5:AV553,AV553))</f>
        <v/>
      </c>
      <c r="BA553" s="28" t="str">
        <f>IF(B553="","",TEXT(AY553,"00")&amp;"|"&amp;B553&amp;"|"&amp;TEXT(AT553,"yyyymmdd"))</f>
        <v/>
      </c>
      <c r="BB553" s="28" t="str">
        <f>IF(B553="","",TEXT(AZ553,"00")&amp;"|"&amp;B553&amp;"|"&amp;TEXT(AV553,"yyyymmdd"))</f>
        <v/>
      </c>
      <c r="BC553" s="28">
        <f>IF(OR(AQ553="YES",AQ553="Yes",AQ553="Y",AQ553=1),1,0)</f>
        <v>0</v>
      </c>
    </row>
    <row r="554" spans="1:55" ht="15" customHeight="1">
      <c r="A554" s="27"/>
      <c r="B554" s="28"/>
      <c r="C554" s="29"/>
      <c r="D554" s="30"/>
      <c r="E554" s="30"/>
      <c r="F554" s="28"/>
      <c r="G554" s="28"/>
      <c r="H554" s="28"/>
      <c r="I554" s="13"/>
      <c r="J554" s="28"/>
      <c r="K554" s="13"/>
      <c r="L554" s="28"/>
      <c r="M554" s="13"/>
      <c r="N554" s="28"/>
      <c r="O554" s="13"/>
      <c r="P554" s="28"/>
      <c r="Q554" s="20"/>
      <c r="R554" s="28"/>
      <c r="S554" s="20"/>
      <c r="T554" s="28"/>
      <c r="U554" s="13"/>
      <c r="V554" s="28"/>
      <c r="W554" s="13"/>
      <c r="X554" s="28"/>
      <c r="Y554" s="13"/>
      <c r="Z554" s="28"/>
      <c r="AA554" s="13"/>
      <c r="AB554" s="28"/>
      <c r="AC554" s="13"/>
      <c r="AD554" s="28"/>
      <c r="AE554" s="13"/>
      <c r="AF554" s="28"/>
      <c r="AG554" s="13"/>
      <c r="AH554" s="28"/>
      <c r="AI554" s="13"/>
      <c r="AJ554" s="28"/>
      <c r="AK554" s="13"/>
      <c r="AL554" s="28"/>
      <c r="AM554" s="13"/>
      <c r="AN554" s="28"/>
      <c r="AO554" s="13"/>
      <c r="AP554" s="28"/>
      <c r="AQ554" s="13"/>
      <c r="AR554" s="28"/>
      <c r="AS554" s="19">
        <f>SUM(H554,J554,L554,N554,P554,R554,T554,V554,X554,Z554,AB554,AD554,AF554,AH554,AJ554,AL554,AN554)</f>
        <v>0</v>
      </c>
      <c r="AT554" s="29" t="str">
        <f>IF(C554="","",DATE(YEAR(C554),MONTH(C554),1))</f>
        <v/>
      </c>
      <c r="AU554" s="28" t="str">
        <f>IF(AT554="","",TEXT(AT554,"mmmm yyyy"))</f>
        <v/>
      </c>
      <c r="AV554" s="29" t="str">
        <f>IF(C554="","",C554-WEEKDAY(C554,2)+1)</f>
        <v/>
      </c>
      <c r="AW554" s="29" t="str">
        <f>IF(AV554="","",AV554+6)</f>
        <v/>
      </c>
      <c r="AX554" s="28" t="str">
        <f>IF(AV554="","",TEXT(AV554,"dd/mm/yyyy")&amp;" - "&amp;TEXT(AW554,"dd/mm/yyyy"))</f>
        <v/>
      </c>
      <c r="AY554" s="28" t="str">
        <f>IF(B554="","",COUNTIFS($B$5:B554,B554,$AT$5:AT554,AT554))</f>
        <v/>
      </c>
      <c r="AZ554" s="28" t="str">
        <f>IF(B554="","",COUNTIFS($B$5:B554,B554,$AV$5:AV554,AV554))</f>
        <v/>
      </c>
      <c r="BA554" s="28" t="str">
        <f>IF(B554="","",TEXT(AY554,"00")&amp;"|"&amp;B554&amp;"|"&amp;TEXT(AT554,"yyyymmdd"))</f>
        <v/>
      </c>
      <c r="BB554" s="28" t="str">
        <f>IF(B554="","",TEXT(AZ554,"00")&amp;"|"&amp;B554&amp;"|"&amp;TEXT(AV554,"yyyymmdd"))</f>
        <v/>
      </c>
      <c r="BC554" s="28">
        <f>IF(OR(AQ554="YES",AQ554="Yes",AQ554="Y",AQ554=1),1,0)</f>
        <v>0</v>
      </c>
    </row>
    <row r="555" spans="1:55" ht="15" customHeight="1">
      <c r="A555" s="27"/>
      <c r="B555" s="28"/>
      <c r="C555" s="29"/>
      <c r="D555" s="30"/>
      <c r="E555" s="30"/>
      <c r="F555" s="28"/>
      <c r="G555" s="28"/>
      <c r="H555" s="28"/>
      <c r="I555" s="13"/>
      <c r="J555" s="28"/>
      <c r="K555" s="13"/>
      <c r="L555" s="28"/>
      <c r="M555" s="13"/>
      <c r="N555" s="28"/>
      <c r="O555" s="13"/>
      <c r="P555" s="28"/>
      <c r="Q555" s="20"/>
      <c r="R555" s="28"/>
      <c r="S555" s="20"/>
      <c r="T555" s="28"/>
      <c r="U555" s="13"/>
      <c r="V555" s="28"/>
      <c r="W555" s="13"/>
      <c r="X555" s="28"/>
      <c r="Y555" s="13"/>
      <c r="Z555" s="28"/>
      <c r="AA555" s="13"/>
      <c r="AB555" s="28"/>
      <c r="AC555" s="13"/>
      <c r="AD555" s="28"/>
      <c r="AE555" s="13"/>
      <c r="AF555" s="28"/>
      <c r="AG555" s="13"/>
      <c r="AH555" s="28"/>
      <c r="AI555" s="13"/>
      <c r="AJ555" s="28"/>
      <c r="AK555" s="13"/>
      <c r="AL555" s="28"/>
      <c r="AM555" s="13"/>
      <c r="AN555" s="28"/>
      <c r="AO555" s="13"/>
      <c r="AP555" s="28"/>
      <c r="AQ555" s="13"/>
      <c r="AR555" s="28"/>
      <c r="AS555" s="19">
        <f>SUM(H555,J555,L555,N555,P555,R555,T555,V555,X555,Z555,AB555,AD555,AF555,AH555,AJ555,AL555,AN555)</f>
        <v>0</v>
      </c>
      <c r="AT555" s="29" t="str">
        <f>IF(C555="","",DATE(YEAR(C555),MONTH(C555),1))</f>
        <v/>
      </c>
      <c r="AU555" s="28" t="str">
        <f>IF(AT555="","",TEXT(AT555,"mmmm yyyy"))</f>
        <v/>
      </c>
      <c r="AV555" s="29" t="str">
        <f>IF(C555="","",C555-WEEKDAY(C555,2)+1)</f>
        <v/>
      </c>
      <c r="AW555" s="29" t="str">
        <f>IF(AV555="","",AV555+6)</f>
        <v/>
      </c>
      <c r="AX555" s="28" t="str">
        <f>IF(AV555="","",TEXT(AV555,"dd/mm/yyyy")&amp;" - "&amp;TEXT(AW555,"dd/mm/yyyy"))</f>
        <v/>
      </c>
      <c r="AY555" s="28" t="str">
        <f>IF(B555="","",COUNTIFS($B$5:B555,B555,$AT$5:AT555,AT555))</f>
        <v/>
      </c>
      <c r="AZ555" s="28" t="str">
        <f>IF(B555="","",COUNTIFS($B$5:B555,B555,$AV$5:AV555,AV555))</f>
        <v/>
      </c>
      <c r="BA555" s="28" t="str">
        <f>IF(B555="","",TEXT(AY555,"00")&amp;"|"&amp;B555&amp;"|"&amp;TEXT(AT555,"yyyymmdd"))</f>
        <v/>
      </c>
      <c r="BB555" s="28" t="str">
        <f>IF(B555="","",TEXT(AZ555,"00")&amp;"|"&amp;B555&amp;"|"&amp;TEXT(AV555,"yyyymmdd"))</f>
        <v/>
      </c>
      <c r="BC555" s="28">
        <f>IF(OR(AQ555="YES",AQ555="Yes",AQ555="Y",AQ555=1),1,0)</f>
        <v>0</v>
      </c>
    </row>
    <row r="556" spans="1:55" ht="15" customHeight="1">
      <c r="A556" s="27"/>
      <c r="B556" s="28"/>
      <c r="C556" s="29"/>
      <c r="D556" s="30"/>
      <c r="E556" s="30"/>
      <c r="F556" s="28"/>
      <c r="G556" s="28"/>
      <c r="H556" s="28"/>
      <c r="I556" s="13"/>
      <c r="J556" s="28"/>
      <c r="K556" s="13"/>
      <c r="L556" s="28"/>
      <c r="M556" s="13"/>
      <c r="N556" s="28"/>
      <c r="O556" s="13"/>
      <c r="P556" s="28"/>
      <c r="Q556" s="20"/>
      <c r="R556" s="28"/>
      <c r="S556" s="20"/>
      <c r="T556" s="28"/>
      <c r="U556" s="13"/>
      <c r="V556" s="28"/>
      <c r="W556" s="13"/>
      <c r="X556" s="28"/>
      <c r="Y556" s="13"/>
      <c r="Z556" s="28"/>
      <c r="AA556" s="13"/>
      <c r="AB556" s="28"/>
      <c r="AC556" s="13"/>
      <c r="AD556" s="28"/>
      <c r="AE556" s="13"/>
      <c r="AF556" s="28"/>
      <c r="AG556" s="13"/>
      <c r="AH556" s="28"/>
      <c r="AI556" s="13"/>
      <c r="AJ556" s="28"/>
      <c r="AK556" s="13"/>
      <c r="AL556" s="28"/>
      <c r="AM556" s="13"/>
      <c r="AN556" s="28"/>
      <c r="AO556" s="13"/>
      <c r="AP556" s="28"/>
      <c r="AQ556" s="13"/>
      <c r="AR556" s="28"/>
      <c r="AS556" s="19">
        <f>SUM(H556,J556,L556,N556,P556,R556,T556,V556,X556,Z556,AB556,AD556,AF556,AH556,AJ556,AL556,AN556)</f>
        <v>0</v>
      </c>
      <c r="AT556" s="29" t="str">
        <f>IF(C556="","",DATE(YEAR(C556),MONTH(C556),1))</f>
        <v/>
      </c>
      <c r="AU556" s="28" t="str">
        <f>IF(AT556="","",TEXT(AT556,"mmmm yyyy"))</f>
        <v/>
      </c>
      <c r="AV556" s="29" t="str">
        <f>IF(C556="","",C556-WEEKDAY(C556,2)+1)</f>
        <v/>
      </c>
      <c r="AW556" s="29" t="str">
        <f>IF(AV556="","",AV556+6)</f>
        <v/>
      </c>
      <c r="AX556" s="28" t="str">
        <f>IF(AV556="","",TEXT(AV556,"dd/mm/yyyy")&amp;" - "&amp;TEXT(AW556,"dd/mm/yyyy"))</f>
        <v/>
      </c>
      <c r="AY556" s="28" t="str">
        <f>IF(B556="","",COUNTIFS($B$5:B556,B556,$AT$5:AT556,AT556))</f>
        <v/>
      </c>
      <c r="AZ556" s="28" t="str">
        <f>IF(B556="","",COUNTIFS($B$5:B556,B556,$AV$5:AV556,AV556))</f>
        <v/>
      </c>
      <c r="BA556" s="28" t="str">
        <f>IF(B556="","",TEXT(AY556,"00")&amp;"|"&amp;B556&amp;"|"&amp;TEXT(AT556,"yyyymmdd"))</f>
        <v/>
      </c>
      <c r="BB556" s="28" t="str">
        <f>IF(B556="","",TEXT(AZ556,"00")&amp;"|"&amp;B556&amp;"|"&amp;TEXT(AV556,"yyyymmdd"))</f>
        <v/>
      </c>
      <c r="BC556" s="28">
        <f>IF(OR(AQ556="YES",AQ556="Yes",AQ556="Y",AQ556=1),1,0)</f>
        <v>0</v>
      </c>
    </row>
    <row r="557" spans="1:55" ht="15" customHeight="1">
      <c r="A557" s="27"/>
      <c r="B557" s="28"/>
      <c r="C557" s="29"/>
      <c r="D557" s="30"/>
      <c r="E557" s="30"/>
      <c r="F557" s="28"/>
      <c r="G557" s="28"/>
      <c r="H557" s="28"/>
      <c r="I557" s="13"/>
      <c r="J557" s="28"/>
      <c r="K557" s="13"/>
      <c r="L557" s="28"/>
      <c r="M557" s="13"/>
      <c r="N557" s="28"/>
      <c r="O557" s="13"/>
      <c r="P557" s="28"/>
      <c r="Q557" s="20"/>
      <c r="R557" s="28"/>
      <c r="S557" s="20"/>
      <c r="T557" s="28"/>
      <c r="U557" s="13"/>
      <c r="V557" s="28"/>
      <c r="W557" s="13"/>
      <c r="X557" s="28"/>
      <c r="Y557" s="13"/>
      <c r="Z557" s="28"/>
      <c r="AA557" s="13"/>
      <c r="AB557" s="28"/>
      <c r="AC557" s="13"/>
      <c r="AD557" s="28"/>
      <c r="AE557" s="13"/>
      <c r="AF557" s="28"/>
      <c r="AG557" s="13"/>
      <c r="AH557" s="28"/>
      <c r="AI557" s="13"/>
      <c r="AJ557" s="28"/>
      <c r="AK557" s="13"/>
      <c r="AL557" s="28"/>
      <c r="AM557" s="13"/>
      <c r="AN557" s="28"/>
      <c r="AO557" s="13"/>
      <c r="AP557" s="28"/>
      <c r="AQ557" s="13"/>
      <c r="AR557" s="28"/>
      <c r="AS557" s="19">
        <f>SUM(H557,J557,L557,N557,P557,R557,T557,V557,X557,Z557,AB557,AD557,AF557,AH557,AJ557,AL557,AN557)</f>
        <v>0</v>
      </c>
      <c r="AT557" s="29" t="str">
        <f>IF(C557="","",DATE(YEAR(C557),MONTH(C557),1))</f>
        <v/>
      </c>
      <c r="AU557" s="28" t="str">
        <f>IF(AT557="","",TEXT(AT557,"mmmm yyyy"))</f>
        <v/>
      </c>
      <c r="AV557" s="29" t="str">
        <f>IF(C557="","",C557-WEEKDAY(C557,2)+1)</f>
        <v/>
      </c>
      <c r="AW557" s="29" t="str">
        <f>IF(AV557="","",AV557+6)</f>
        <v/>
      </c>
      <c r="AX557" s="28" t="str">
        <f>IF(AV557="","",TEXT(AV557,"dd/mm/yyyy")&amp;" - "&amp;TEXT(AW557,"dd/mm/yyyy"))</f>
        <v/>
      </c>
      <c r="AY557" s="28" t="str">
        <f>IF(B557="","",COUNTIFS($B$5:B557,B557,$AT$5:AT557,AT557))</f>
        <v/>
      </c>
      <c r="AZ557" s="28" t="str">
        <f>IF(B557="","",COUNTIFS($B$5:B557,B557,$AV$5:AV557,AV557))</f>
        <v/>
      </c>
      <c r="BA557" s="28" t="str">
        <f>IF(B557="","",TEXT(AY557,"00")&amp;"|"&amp;B557&amp;"|"&amp;TEXT(AT557,"yyyymmdd"))</f>
        <v/>
      </c>
      <c r="BB557" s="28" t="str">
        <f>IF(B557="","",TEXT(AZ557,"00")&amp;"|"&amp;B557&amp;"|"&amp;TEXT(AV557,"yyyymmdd"))</f>
        <v/>
      </c>
      <c r="BC557" s="28">
        <f>IF(OR(AQ557="YES",AQ557="Yes",AQ557="Y",AQ557=1),1,0)</f>
        <v>0</v>
      </c>
    </row>
    <row r="558" spans="1:55" ht="15" customHeight="1">
      <c r="A558" s="27"/>
      <c r="B558" s="28"/>
      <c r="C558" s="29"/>
      <c r="D558" s="30"/>
      <c r="E558" s="30"/>
      <c r="F558" s="28"/>
      <c r="G558" s="28"/>
      <c r="H558" s="28"/>
      <c r="I558" s="13"/>
      <c r="J558" s="28"/>
      <c r="K558" s="13"/>
      <c r="L558" s="28"/>
      <c r="M558" s="13"/>
      <c r="N558" s="28"/>
      <c r="O558" s="13"/>
      <c r="P558" s="28"/>
      <c r="Q558" s="20"/>
      <c r="R558" s="28"/>
      <c r="S558" s="20"/>
      <c r="T558" s="28"/>
      <c r="U558" s="13"/>
      <c r="V558" s="28"/>
      <c r="W558" s="13"/>
      <c r="X558" s="28"/>
      <c r="Y558" s="13"/>
      <c r="Z558" s="28"/>
      <c r="AA558" s="13"/>
      <c r="AB558" s="28"/>
      <c r="AC558" s="13"/>
      <c r="AD558" s="28"/>
      <c r="AE558" s="13"/>
      <c r="AF558" s="28"/>
      <c r="AG558" s="13"/>
      <c r="AH558" s="28"/>
      <c r="AI558" s="13"/>
      <c r="AJ558" s="28"/>
      <c r="AK558" s="13"/>
      <c r="AL558" s="28"/>
      <c r="AM558" s="13"/>
      <c r="AN558" s="28"/>
      <c r="AO558" s="13"/>
      <c r="AP558" s="28"/>
      <c r="AQ558" s="13"/>
      <c r="AR558" s="28"/>
      <c r="AS558" s="19">
        <f>SUM(H558,J558,L558,N558,P558,R558,T558,V558,X558,Z558,AB558,AD558,AF558,AH558,AJ558,AL558,AN558)</f>
        <v>0</v>
      </c>
      <c r="AT558" s="29" t="str">
        <f>IF(C558="","",DATE(YEAR(C558),MONTH(C558),1))</f>
        <v/>
      </c>
      <c r="AU558" s="28" t="str">
        <f>IF(AT558="","",TEXT(AT558,"mmmm yyyy"))</f>
        <v/>
      </c>
      <c r="AV558" s="29" t="str">
        <f>IF(C558="","",C558-WEEKDAY(C558,2)+1)</f>
        <v/>
      </c>
      <c r="AW558" s="29" t="str">
        <f>IF(AV558="","",AV558+6)</f>
        <v/>
      </c>
      <c r="AX558" s="28" t="str">
        <f>IF(AV558="","",TEXT(AV558,"dd/mm/yyyy")&amp;" - "&amp;TEXT(AW558,"dd/mm/yyyy"))</f>
        <v/>
      </c>
      <c r="AY558" s="28" t="str">
        <f>IF(B558="","",COUNTIFS($B$5:B558,B558,$AT$5:AT558,AT558))</f>
        <v/>
      </c>
      <c r="AZ558" s="28" t="str">
        <f>IF(B558="","",COUNTIFS($B$5:B558,B558,$AV$5:AV558,AV558))</f>
        <v/>
      </c>
      <c r="BA558" s="28" t="str">
        <f>IF(B558="","",TEXT(AY558,"00")&amp;"|"&amp;B558&amp;"|"&amp;TEXT(AT558,"yyyymmdd"))</f>
        <v/>
      </c>
      <c r="BB558" s="28" t="str">
        <f>IF(B558="","",TEXT(AZ558,"00")&amp;"|"&amp;B558&amp;"|"&amp;TEXT(AV558,"yyyymmdd"))</f>
        <v/>
      </c>
      <c r="BC558" s="28">
        <f>IF(OR(AQ558="YES",AQ558="Yes",AQ558="Y",AQ558=1),1,0)</f>
        <v>0</v>
      </c>
    </row>
    <row r="559" spans="1:55" ht="15" customHeight="1">
      <c r="A559" s="27"/>
      <c r="B559" s="28"/>
      <c r="C559" s="29"/>
      <c r="D559" s="30"/>
      <c r="E559" s="30"/>
      <c r="F559" s="28"/>
      <c r="G559" s="28"/>
      <c r="H559" s="28"/>
      <c r="I559" s="13"/>
      <c r="J559" s="28"/>
      <c r="K559" s="13"/>
      <c r="L559" s="28"/>
      <c r="M559" s="13"/>
      <c r="N559" s="28"/>
      <c r="O559" s="13"/>
      <c r="P559" s="28"/>
      <c r="Q559" s="20"/>
      <c r="R559" s="28"/>
      <c r="S559" s="20"/>
      <c r="T559" s="28"/>
      <c r="U559" s="13"/>
      <c r="V559" s="28"/>
      <c r="W559" s="13"/>
      <c r="X559" s="28"/>
      <c r="Y559" s="13"/>
      <c r="Z559" s="28"/>
      <c r="AA559" s="13"/>
      <c r="AB559" s="28"/>
      <c r="AC559" s="13"/>
      <c r="AD559" s="28"/>
      <c r="AE559" s="13"/>
      <c r="AF559" s="28"/>
      <c r="AG559" s="13"/>
      <c r="AH559" s="28"/>
      <c r="AI559" s="13"/>
      <c r="AJ559" s="28"/>
      <c r="AK559" s="13"/>
      <c r="AL559" s="28"/>
      <c r="AM559" s="13"/>
      <c r="AN559" s="28"/>
      <c r="AO559" s="13"/>
      <c r="AP559" s="28"/>
      <c r="AQ559" s="13"/>
      <c r="AR559" s="28"/>
      <c r="AS559" s="19">
        <f>SUM(H559,J559,L559,N559,P559,R559,T559,V559,X559,Z559,AB559,AD559,AF559,AH559,AJ559,AL559,AN559)</f>
        <v>0</v>
      </c>
      <c r="AT559" s="29" t="str">
        <f>IF(C559="","",DATE(YEAR(C559),MONTH(C559),1))</f>
        <v/>
      </c>
      <c r="AU559" s="28" t="str">
        <f>IF(AT559="","",TEXT(AT559,"mmmm yyyy"))</f>
        <v/>
      </c>
      <c r="AV559" s="29" t="str">
        <f>IF(C559="","",C559-WEEKDAY(C559,2)+1)</f>
        <v/>
      </c>
      <c r="AW559" s="29" t="str">
        <f>IF(AV559="","",AV559+6)</f>
        <v/>
      </c>
      <c r="AX559" s="28" t="str">
        <f>IF(AV559="","",TEXT(AV559,"dd/mm/yyyy")&amp;" - "&amp;TEXT(AW559,"dd/mm/yyyy"))</f>
        <v/>
      </c>
      <c r="AY559" s="28" t="str">
        <f>IF(B559="","",COUNTIFS($B$5:B559,B559,$AT$5:AT559,AT559))</f>
        <v/>
      </c>
      <c r="AZ559" s="28" t="str">
        <f>IF(B559="","",COUNTIFS($B$5:B559,B559,$AV$5:AV559,AV559))</f>
        <v/>
      </c>
      <c r="BA559" s="28" t="str">
        <f>IF(B559="","",TEXT(AY559,"00")&amp;"|"&amp;B559&amp;"|"&amp;TEXT(AT559,"yyyymmdd"))</f>
        <v/>
      </c>
      <c r="BB559" s="28" t="str">
        <f>IF(B559="","",TEXT(AZ559,"00")&amp;"|"&amp;B559&amp;"|"&amp;TEXT(AV559,"yyyymmdd"))</f>
        <v/>
      </c>
      <c r="BC559" s="28">
        <f>IF(OR(AQ559="YES",AQ559="Yes",AQ559="Y",AQ559=1),1,0)</f>
        <v>0</v>
      </c>
    </row>
    <row r="560" spans="1:55" ht="15" customHeight="1">
      <c r="A560" s="27"/>
      <c r="B560" s="28"/>
      <c r="C560" s="29"/>
      <c r="D560" s="30"/>
      <c r="E560" s="30"/>
      <c r="F560" s="28"/>
      <c r="G560" s="28"/>
      <c r="H560" s="28"/>
      <c r="I560" s="13"/>
      <c r="J560" s="28"/>
      <c r="K560" s="13"/>
      <c r="L560" s="28"/>
      <c r="M560" s="13"/>
      <c r="N560" s="28"/>
      <c r="O560" s="13"/>
      <c r="P560" s="28"/>
      <c r="Q560" s="20"/>
      <c r="R560" s="28"/>
      <c r="S560" s="20"/>
      <c r="T560" s="28"/>
      <c r="U560" s="13"/>
      <c r="V560" s="28"/>
      <c r="W560" s="13"/>
      <c r="X560" s="28"/>
      <c r="Y560" s="13"/>
      <c r="Z560" s="28"/>
      <c r="AA560" s="13"/>
      <c r="AB560" s="28"/>
      <c r="AC560" s="13"/>
      <c r="AD560" s="28"/>
      <c r="AE560" s="13"/>
      <c r="AF560" s="28"/>
      <c r="AG560" s="13"/>
      <c r="AH560" s="28"/>
      <c r="AI560" s="13"/>
      <c r="AJ560" s="28"/>
      <c r="AK560" s="13"/>
      <c r="AL560" s="28"/>
      <c r="AM560" s="13"/>
      <c r="AN560" s="28"/>
      <c r="AO560" s="13"/>
      <c r="AP560" s="28"/>
      <c r="AQ560" s="13"/>
      <c r="AR560" s="28"/>
      <c r="AS560" s="19">
        <f>SUM(H560,J560,L560,N560,P560,R560,T560,V560,X560,Z560,AB560,AD560,AF560,AH560,AJ560,AL560,AN560)</f>
        <v>0</v>
      </c>
      <c r="AT560" s="29" t="str">
        <f>IF(C560="","",DATE(YEAR(C560),MONTH(C560),1))</f>
        <v/>
      </c>
      <c r="AU560" s="28" t="str">
        <f>IF(AT560="","",TEXT(AT560,"mmmm yyyy"))</f>
        <v/>
      </c>
      <c r="AV560" s="29" t="str">
        <f>IF(C560="","",C560-WEEKDAY(C560,2)+1)</f>
        <v/>
      </c>
      <c r="AW560" s="29" t="str">
        <f>IF(AV560="","",AV560+6)</f>
        <v/>
      </c>
      <c r="AX560" s="28" t="str">
        <f>IF(AV560="","",TEXT(AV560,"dd/mm/yyyy")&amp;" - "&amp;TEXT(AW560,"dd/mm/yyyy"))</f>
        <v/>
      </c>
      <c r="AY560" s="28" t="str">
        <f>IF(B560="","",COUNTIFS($B$5:B560,B560,$AT$5:AT560,AT560))</f>
        <v/>
      </c>
      <c r="AZ560" s="28" t="str">
        <f>IF(B560="","",COUNTIFS($B$5:B560,B560,$AV$5:AV560,AV560))</f>
        <v/>
      </c>
      <c r="BA560" s="28" t="str">
        <f>IF(B560="","",TEXT(AY560,"00")&amp;"|"&amp;B560&amp;"|"&amp;TEXT(AT560,"yyyymmdd"))</f>
        <v/>
      </c>
      <c r="BB560" s="28" t="str">
        <f>IF(B560="","",TEXT(AZ560,"00")&amp;"|"&amp;B560&amp;"|"&amp;TEXT(AV560,"yyyymmdd"))</f>
        <v/>
      </c>
      <c r="BC560" s="28">
        <f>IF(OR(AQ560="YES",AQ560="Yes",AQ560="Y",AQ560=1),1,0)</f>
        <v>0</v>
      </c>
    </row>
    <row r="561" spans="1:55" ht="15" customHeight="1">
      <c r="A561" s="27"/>
      <c r="B561" s="28"/>
      <c r="C561" s="29"/>
      <c r="D561" s="30"/>
      <c r="E561" s="30"/>
      <c r="F561" s="28"/>
      <c r="G561" s="28"/>
      <c r="H561" s="28"/>
      <c r="I561" s="13"/>
      <c r="J561" s="28"/>
      <c r="K561" s="13"/>
      <c r="L561" s="28"/>
      <c r="M561" s="13"/>
      <c r="N561" s="28"/>
      <c r="O561" s="13"/>
      <c r="P561" s="28"/>
      <c r="Q561" s="20"/>
      <c r="R561" s="28"/>
      <c r="S561" s="20"/>
      <c r="T561" s="28"/>
      <c r="U561" s="13"/>
      <c r="V561" s="28"/>
      <c r="W561" s="13"/>
      <c r="X561" s="28"/>
      <c r="Y561" s="13"/>
      <c r="Z561" s="28"/>
      <c r="AA561" s="13"/>
      <c r="AB561" s="28"/>
      <c r="AC561" s="13"/>
      <c r="AD561" s="28"/>
      <c r="AE561" s="13"/>
      <c r="AF561" s="28"/>
      <c r="AG561" s="13"/>
      <c r="AH561" s="28"/>
      <c r="AI561" s="13"/>
      <c r="AJ561" s="28"/>
      <c r="AK561" s="13"/>
      <c r="AL561" s="28"/>
      <c r="AM561" s="13"/>
      <c r="AN561" s="28"/>
      <c r="AO561" s="13"/>
      <c r="AP561" s="28"/>
      <c r="AQ561" s="13"/>
      <c r="AR561" s="28"/>
      <c r="AS561" s="19">
        <f>SUM(H561,J561,L561,N561,P561,R561,T561,V561,X561,Z561,AB561,AD561,AF561,AH561,AJ561,AL561,AN561)</f>
        <v>0</v>
      </c>
      <c r="AT561" s="29" t="str">
        <f>IF(C561="","",DATE(YEAR(C561),MONTH(C561),1))</f>
        <v/>
      </c>
      <c r="AU561" s="28" t="str">
        <f>IF(AT561="","",TEXT(AT561,"mmmm yyyy"))</f>
        <v/>
      </c>
      <c r="AV561" s="29" t="str">
        <f>IF(C561="","",C561-WEEKDAY(C561,2)+1)</f>
        <v/>
      </c>
      <c r="AW561" s="29" t="str">
        <f>IF(AV561="","",AV561+6)</f>
        <v/>
      </c>
      <c r="AX561" s="28" t="str">
        <f>IF(AV561="","",TEXT(AV561,"dd/mm/yyyy")&amp;" - "&amp;TEXT(AW561,"dd/mm/yyyy"))</f>
        <v/>
      </c>
      <c r="AY561" s="28" t="str">
        <f>IF(B561="","",COUNTIFS($B$5:B561,B561,$AT$5:AT561,AT561))</f>
        <v/>
      </c>
      <c r="AZ561" s="28" t="str">
        <f>IF(B561="","",COUNTIFS($B$5:B561,B561,$AV$5:AV561,AV561))</f>
        <v/>
      </c>
      <c r="BA561" s="28" t="str">
        <f>IF(B561="","",TEXT(AY561,"00")&amp;"|"&amp;B561&amp;"|"&amp;TEXT(AT561,"yyyymmdd"))</f>
        <v/>
      </c>
      <c r="BB561" s="28" t="str">
        <f>IF(B561="","",TEXT(AZ561,"00")&amp;"|"&amp;B561&amp;"|"&amp;TEXT(AV561,"yyyymmdd"))</f>
        <v/>
      </c>
      <c r="BC561" s="28">
        <f>IF(OR(AQ561="YES",AQ561="Yes",AQ561="Y",AQ561=1),1,0)</f>
        <v>0</v>
      </c>
    </row>
    <row r="562" spans="1:55" ht="15" customHeight="1">
      <c r="A562" s="27"/>
      <c r="B562" s="28"/>
      <c r="C562" s="29"/>
      <c r="D562" s="30"/>
      <c r="E562" s="30"/>
      <c r="F562" s="28"/>
      <c r="G562" s="28"/>
      <c r="H562" s="28"/>
      <c r="I562" s="13"/>
      <c r="J562" s="28"/>
      <c r="K562" s="13"/>
      <c r="L562" s="28"/>
      <c r="M562" s="13"/>
      <c r="N562" s="28"/>
      <c r="O562" s="13"/>
      <c r="P562" s="28"/>
      <c r="Q562" s="20"/>
      <c r="R562" s="28"/>
      <c r="S562" s="20"/>
      <c r="T562" s="28"/>
      <c r="U562" s="13"/>
      <c r="V562" s="28"/>
      <c r="W562" s="13"/>
      <c r="X562" s="28"/>
      <c r="Y562" s="13"/>
      <c r="Z562" s="28"/>
      <c r="AA562" s="13"/>
      <c r="AB562" s="28"/>
      <c r="AC562" s="13"/>
      <c r="AD562" s="28"/>
      <c r="AE562" s="13"/>
      <c r="AF562" s="28"/>
      <c r="AG562" s="13"/>
      <c r="AH562" s="28"/>
      <c r="AI562" s="13"/>
      <c r="AJ562" s="28"/>
      <c r="AK562" s="13"/>
      <c r="AL562" s="28"/>
      <c r="AM562" s="13"/>
      <c r="AN562" s="28"/>
      <c r="AO562" s="13"/>
      <c r="AP562" s="28"/>
      <c r="AQ562" s="13"/>
      <c r="AR562" s="28"/>
      <c r="AS562" s="19">
        <f>SUM(H562,J562,L562,N562,P562,R562,T562,V562,X562,Z562,AB562,AD562,AF562,AH562,AJ562,AL562,AN562)</f>
        <v>0</v>
      </c>
      <c r="AT562" s="29" t="str">
        <f>IF(C562="","",DATE(YEAR(C562),MONTH(C562),1))</f>
        <v/>
      </c>
      <c r="AU562" s="28" t="str">
        <f>IF(AT562="","",TEXT(AT562,"mmmm yyyy"))</f>
        <v/>
      </c>
      <c r="AV562" s="29" t="str">
        <f>IF(C562="","",C562-WEEKDAY(C562,2)+1)</f>
        <v/>
      </c>
      <c r="AW562" s="29" t="str">
        <f>IF(AV562="","",AV562+6)</f>
        <v/>
      </c>
      <c r="AX562" s="28" t="str">
        <f>IF(AV562="","",TEXT(AV562,"dd/mm/yyyy")&amp;" - "&amp;TEXT(AW562,"dd/mm/yyyy"))</f>
        <v/>
      </c>
      <c r="AY562" s="28" t="str">
        <f>IF(B562="","",COUNTIFS($B$5:B562,B562,$AT$5:AT562,AT562))</f>
        <v/>
      </c>
      <c r="AZ562" s="28" t="str">
        <f>IF(B562="","",COUNTIFS($B$5:B562,B562,$AV$5:AV562,AV562))</f>
        <v/>
      </c>
      <c r="BA562" s="28" t="str">
        <f>IF(B562="","",TEXT(AY562,"00")&amp;"|"&amp;B562&amp;"|"&amp;TEXT(AT562,"yyyymmdd"))</f>
        <v/>
      </c>
      <c r="BB562" s="28" t="str">
        <f>IF(B562="","",TEXT(AZ562,"00")&amp;"|"&amp;B562&amp;"|"&amp;TEXT(AV562,"yyyymmdd"))</f>
        <v/>
      </c>
      <c r="BC562" s="28">
        <f>IF(OR(AQ562="YES",AQ562="Yes",AQ562="Y",AQ562=1),1,0)</f>
        <v>0</v>
      </c>
    </row>
    <row r="563" spans="1:55" ht="15" customHeight="1">
      <c r="A563" s="27"/>
      <c r="B563" s="28"/>
      <c r="C563" s="29"/>
      <c r="D563" s="30"/>
      <c r="E563" s="30"/>
      <c r="F563" s="28"/>
      <c r="G563" s="28"/>
      <c r="H563" s="28"/>
      <c r="I563" s="13"/>
      <c r="J563" s="28"/>
      <c r="K563" s="13"/>
      <c r="L563" s="28"/>
      <c r="M563" s="13"/>
      <c r="N563" s="28"/>
      <c r="O563" s="13"/>
      <c r="P563" s="28"/>
      <c r="Q563" s="20"/>
      <c r="R563" s="28"/>
      <c r="S563" s="20"/>
      <c r="T563" s="28"/>
      <c r="U563" s="13"/>
      <c r="V563" s="28"/>
      <c r="W563" s="13"/>
      <c r="X563" s="28"/>
      <c r="Y563" s="13"/>
      <c r="Z563" s="28"/>
      <c r="AA563" s="13"/>
      <c r="AB563" s="28"/>
      <c r="AC563" s="13"/>
      <c r="AD563" s="28"/>
      <c r="AE563" s="13"/>
      <c r="AF563" s="28"/>
      <c r="AG563" s="13"/>
      <c r="AH563" s="28"/>
      <c r="AI563" s="13"/>
      <c r="AJ563" s="28"/>
      <c r="AK563" s="13"/>
      <c r="AL563" s="28"/>
      <c r="AM563" s="13"/>
      <c r="AN563" s="28"/>
      <c r="AO563" s="13"/>
      <c r="AP563" s="28"/>
      <c r="AQ563" s="13"/>
      <c r="AR563" s="28"/>
      <c r="AS563" s="19">
        <f>SUM(H563,J563,L563,N563,P563,R563,T563,V563,X563,Z563,AB563,AD563,AF563,AH563,AJ563,AL563,AN563)</f>
        <v>0</v>
      </c>
      <c r="AT563" s="29" t="str">
        <f>IF(C563="","",DATE(YEAR(C563),MONTH(C563),1))</f>
        <v/>
      </c>
      <c r="AU563" s="28" t="str">
        <f>IF(AT563="","",TEXT(AT563,"mmmm yyyy"))</f>
        <v/>
      </c>
      <c r="AV563" s="29" t="str">
        <f>IF(C563="","",C563-WEEKDAY(C563,2)+1)</f>
        <v/>
      </c>
      <c r="AW563" s="29" t="str">
        <f>IF(AV563="","",AV563+6)</f>
        <v/>
      </c>
      <c r="AX563" s="28" t="str">
        <f>IF(AV563="","",TEXT(AV563,"dd/mm/yyyy")&amp;" - "&amp;TEXT(AW563,"dd/mm/yyyy"))</f>
        <v/>
      </c>
      <c r="AY563" s="28" t="str">
        <f>IF(B563="","",COUNTIFS($B$5:B563,B563,$AT$5:AT563,AT563))</f>
        <v/>
      </c>
      <c r="AZ563" s="28" t="str">
        <f>IF(B563="","",COUNTIFS($B$5:B563,B563,$AV$5:AV563,AV563))</f>
        <v/>
      </c>
      <c r="BA563" s="28" t="str">
        <f>IF(B563="","",TEXT(AY563,"00")&amp;"|"&amp;B563&amp;"|"&amp;TEXT(AT563,"yyyymmdd"))</f>
        <v/>
      </c>
      <c r="BB563" s="28" t="str">
        <f>IF(B563="","",TEXT(AZ563,"00")&amp;"|"&amp;B563&amp;"|"&amp;TEXT(AV563,"yyyymmdd"))</f>
        <v/>
      </c>
      <c r="BC563" s="28">
        <f>IF(OR(AQ563="YES",AQ563="Yes",AQ563="Y",AQ563=1),1,0)</f>
        <v>0</v>
      </c>
    </row>
    <row r="564" spans="1:55" ht="15" customHeight="1">
      <c r="A564" s="27"/>
      <c r="B564" s="28"/>
      <c r="C564" s="29"/>
      <c r="D564" s="30"/>
      <c r="E564" s="30"/>
      <c r="F564" s="28"/>
      <c r="G564" s="28"/>
      <c r="H564" s="28"/>
      <c r="I564" s="13"/>
      <c r="J564" s="28"/>
      <c r="K564" s="13"/>
      <c r="L564" s="28"/>
      <c r="M564" s="13"/>
      <c r="N564" s="28"/>
      <c r="O564" s="13"/>
      <c r="P564" s="28"/>
      <c r="Q564" s="20"/>
      <c r="R564" s="28"/>
      <c r="S564" s="20"/>
      <c r="T564" s="28"/>
      <c r="U564" s="13"/>
      <c r="V564" s="28"/>
      <c r="W564" s="13"/>
      <c r="X564" s="28"/>
      <c r="Y564" s="13"/>
      <c r="Z564" s="28"/>
      <c r="AA564" s="13"/>
      <c r="AB564" s="28"/>
      <c r="AC564" s="13"/>
      <c r="AD564" s="28"/>
      <c r="AE564" s="13"/>
      <c r="AF564" s="28"/>
      <c r="AG564" s="13"/>
      <c r="AH564" s="28"/>
      <c r="AI564" s="13"/>
      <c r="AJ564" s="28"/>
      <c r="AK564" s="13"/>
      <c r="AL564" s="28"/>
      <c r="AM564" s="13"/>
      <c r="AN564" s="28"/>
      <c r="AO564" s="13"/>
      <c r="AP564" s="28"/>
      <c r="AQ564" s="13"/>
      <c r="AR564" s="28"/>
      <c r="AS564" s="19">
        <f>SUM(H564,J564,L564,N564,P564,R564,T564,V564,X564,Z564,AB564,AD564,AF564,AH564,AJ564,AL564,AN564)</f>
        <v>0</v>
      </c>
      <c r="AT564" s="29" t="str">
        <f>IF(C564="","",DATE(YEAR(C564),MONTH(C564),1))</f>
        <v/>
      </c>
      <c r="AU564" s="28" t="str">
        <f>IF(AT564="","",TEXT(AT564,"mmmm yyyy"))</f>
        <v/>
      </c>
      <c r="AV564" s="29" t="str">
        <f>IF(C564="","",C564-WEEKDAY(C564,2)+1)</f>
        <v/>
      </c>
      <c r="AW564" s="29" t="str">
        <f>IF(AV564="","",AV564+6)</f>
        <v/>
      </c>
      <c r="AX564" s="28" t="str">
        <f>IF(AV564="","",TEXT(AV564,"dd/mm/yyyy")&amp;" - "&amp;TEXT(AW564,"dd/mm/yyyy"))</f>
        <v/>
      </c>
      <c r="AY564" s="28" t="str">
        <f>IF(B564="","",COUNTIFS($B$5:B564,B564,$AT$5:AT564,AT564))</f>
        <v/>
      </c>
      <c r="AZ564" s="28" t="str">
        <f>IF(B564="","",COUNTIFS($B$5:B564,B564,$AV$5:AV564,AV564))</f>
        <v/>
      </c>
      <c r="BA564" s="28" t="str">
        <f>IF(B564="","",TEXT(AY564,"00")&amp;"|"&amp;B564&amp;"|"&amp;TEXT(AT564,"yyyymmdd"))</f>
        <v/>
      </c>
      <c r="BB564" s="28" t="str">
        <f>IF(B564="","",TEXT(AZ564,"00")&amp;"|"&amp;B564&amp;"|"&amp;TEXT(AV564,"yyyymmdd"))</f>
        <v/>
      </c>
      <c r="BC564" s="28">
        <f>IF(OR(AQ564="YES",AQ564="Yes",AQ564="Y",AQ564=1),1,0)</f>
        <v>0</v>
      </c>
    </row>
    <row r="565" spans="1:55" ht="15" customHeight="1">
      <c r="A565" s="27"/>
      <c r="B565" s="28"/>
      <c r="C565" s="29"/>
      <c r="D565" s="30"/>
      <c r="E565" s="30"/>
      <c r="F565" s="28"/>
      <c r="G565" s="28"/>
      <c r="H565" s="28"/>
      <c r="I565" s="13"/>
      <c r="J565" s="28"/>
      <c r="K565" s="13"/>
      <c r="L565" s="28"/>
      <c r="M565" s="13"/>
      <c r="N565" s="28"/>
      <c r="O565" s="13"/>
      <c r="P565" s="28"/>
      <c r="Q565" s="20"/>
      <c r="R565" s="28"/>
      <c r="S565" s="20"/>
      <c r="T565" s="28"/>
      <c r="U565" s="13"/>
      <c r="V565" s="28"/>
      <c r="W565" s="13"/>
      <c r="X565" s="28"/>
      <c r="Y565" s="13"/>
      <c r="Z565" s="28"/>
      <c r="AA565" s="13"/>
      <c r="AB565" s="28"/>
      <c r="AC565" s="13"/>
      <c r="AD565" s="28"/>
      <c r="AE565" s="13"/>
      <c r="AF565" s="28"/>
      <c r="AG565" s="13"/>
      <c r="AH565" s="28"/>
      <c r="AI565" s="13"/>
      <c r="AJ565" s="28"/>
      <c r="AK565" s="13"/>
      <c r="AL565" s="28"/>
      <c r="AM565" s="13"/>
      <c r="AN565" s="28"/>
      <c r="AO565" s="13"/>
      <c r="AP565" s="28"/>
      <c r="AQ565" s="13"/>
      <c r="AR565" s="28"/>
      <c r="AS565" s="19">
        <f>SUM(H565,J565,L565,N565,P565,R565,T565,V565,X565,Z565,AB565,AD565,AF565,AH565,AJ565,AL565,AN565)</f>
        <v>0</v>
      </c>
      <c r="AT565" s="29" t="str">
        <f>IF(C565="","",DATE(YEAR(C565),MONTH(C565),1))</f>
        <v/>
      </c>
      <c r="AU565" s="28" t="str">
        <f>IF(AT565="","",TEXT(AT565,"mmmm yyyy"))</f>
        <v/>
      </c>
      <c r="AV565" s="29" t="str">
        <f>IF(C565="","",C565-WEEKDAY(C565,2)+1)</f>
        <v/>
      </c>
      <c r="AW565" s="29" t="str">
        <f>IF(AV565="","",AV565+6)</f>
        <v/>
      </c>
      <c r="AX565" s="28" t="str">
        <f>IF(AV565="","",TEXT(AV565,"dd/mm/yyyy")&amp;" - "&amp;TEXT(AW565,"dd/mm/yyyy"))</f>
        <v/>
      </c>
      <c r="AY565" s="28" t="str">
        <f>IF(B565="","",COUNTIFS($B$5:B565,B565,$AT$5:AT565,AT565))</f>
        <v/>
      </c>
      <c r="AZ565" s="28" t="str">
        <f>IF(B565="","",COUNTIFS($B$5:B565,B565,$AV$5:AV565,AV565))</f>
        <v/>
      </c>
      <c r="BA565" s="28" t="str">
        <f>IF(B565="","",TEXT(AY565,"00")&amp;"|"&amp;B565&amp;"|"&amp;TEXT(AT565,"yyyymmdd"))</f>
        <v/>
      </c>
      <c r="BB565" s="28" t="str">
        <f>IF(B565="","",TEXT(AZ565,"00")&amp;"|"&amp;B565&amp;"|"&amp;TEXT(AV565,"yyyymmdd"))</f>
        <v/>
      </c>
      <c r="BC565" s="28">
        <f>IF(OR(AQ565="YES",AQ565="Yes",AQ565="Y",AQ565=1),1,0)</f>
        <v>0</v>
      </c>
    </row>
    <row r="566" spans="1:55" ht="15" customHeight="1">
      <c r="A566" s="27"/>
      <c r="B566" s="28"/>
      <c r="C566" s="29"/>
      <c r="D566" s="30"/>
      <c r="E566" s="30"/>
      <c r="F566" s="28"/>
      <c r="G566" s="28"/>
      <c r="H566" s="28"/>
      <c r="I566" s="13"/>
      <c r="J566" s="28"/>
      <c r="K566" s="13"/>
      <c r="L566" s="28"/>
      <c r="M566" s="13"/>
      <c r="N566" s="28"/>
      <c r="O566" s="13"/>
      <c r="P566" s="28"/>
      <c r="Q566" s="20"/>
      <c r="R566" s="28"/>
      <c r="S566" s="20"/>
      <c r="T566" s="28"/>
      <c r="U566" s="13"/>
      <c r="V566" s="28"/>
      <c r="W566" s="13"/>
      <c r="X566" s="28"/>
      <c r="Y566" s="13"/>
      <c r="Z566" s="28"/>
      <c r="AA566" s="13"/>
      <c r="AB566" s="28"/>
      <c r="AC566" s="13"/>
      <c r="AD566" s="28"/>
      <c r="AE566" s="13"/>
      <c r="AF566" s="28"/>
      <c r="AG566" s="13"/>
      <c r="AH566" s="28"/>
      <c r="AI566" s="13"/>
      <c r="AJ566" s="28"/>
      <c r="AK566" s="13"/>
      <c r="AL566" s="28"/>
      <c r="AM566" s="13"/>
      <c r="AN566" s="28"/>
      <c r="AO566" s="13"/>
      <c r="AP566" s="28"/>
      <c r="AQ566" s="13"/>
      <c r="AR566" s="28"/>
      <c r="AS566" s="19">
        <f>SUM(H566,J566,L566,N566,P566,R566,T566,V566,X566,Z566,AB566,AD566,AF566,AH566,AJ566,AL566,AN566)</f>
        <v>0</v>
      </c>
      <c r="AT566" s="29" t="str">
        <f>IF(C566="","",DATE(YEAR(C566),MONTH(C566),1))</f>
        <v/>
      </c>
      <c r="AU566" s="28" t="str">
        <f>IF(AT566="","",TEXT(AT566,"mmmm yyyy"))</f>
        <v/>
      </c>
      <c r="AV566" s="29" t="str">
        <f>IF(C566="","",C566-WEEKDAY(C566,2)+1)</f>
        <v/>
      </c>
      <c r="AW566" s="29" t="str">
        <f>IF(AV566="","",AV566+6)</f>
        <v/>
      </c>
      <c r="AX566" s="28" t="str">
        <f>IF(AV566="","",TEXT(AV566,"dd/mm/yyyy")&amp;" - "&amp;TEXT(AW566,"dd/mm/yyyy"))</f>
        <v/>
      </c>
      <c r="AY566" s="28" t="str">
        <f>IF(B566="","",COUNTIFS($B$5:B566,B566,$AT$5:AT566,AT566))</f>
        <v/>
      </c>
      <c r="AZ566" s="28" t="str">
        <f>IF(B566="","",COUNTIFS($B$5:B566,B566,$AV$5:AV566,AV566))</f>
        <v/>
      </c>
      <c r="BA566" s="28" t="str">
        <f>IF(B566="","",TEXT(AY566,"00")&amp;"|"&amp;B566&amp;"|"&amp;TEXT(AT566,"yyyymmdd"))</f>
        <v/>
      </c>
      <c r="BB566" s="28" t="str">
        <f>IF(B566="","",TEXT(AZ566,"00")&amp;"|"&amp;B566&amp;"|"&amp;TEXT(AV566,"yyyymmdd"))</f>
        <v/>
      </c>
      <c r="BC566" s="28">
        <f>IF(OR(AQ566="YES",AQ566="Yes",AQ566="Y",AQ566=1),1,0)</f>
        <v>0</v>
      </c>
    </row>
    <row r="567" spans="1:55" ht="15" customHeight="1">
      <c r="A567" s="27"/>
      <c r="B567" s="28"/>
      <c r="C567" s="29"/>
      <c r="D567" s="30"/>
      <c r="E567" s="30"/>
      <c r="F567" s="28"/>
      <c r="G567" s="28"/>
      <c r="H567" s="28"/>
      <c r="I567" s="13"/>
      <c r="J567" s="28"/>
      <c r="K567" s="13"/>
      <c r="L567" s="28"/>
      <c r="M567" s="13"/>
      <c r="N567" s="28"/>
      <c r="O567" s="13"/>
      <c r="P567" s="28"/>
      <c r="Q567" s="20"/>
      <c r="R567" s="28"/>
      <c r="S567" s="20"/>
      <c r="T567" s="28"/>
      <c r="U567" s="13"/>
      <c r="V567" s="28"/>
      <c r="W567" s="13"/>
      <c r="X567" s="28"/>
      <c r="Y567" s="13"/>
      <c r="Z567" s="28"/>
      <c r="AA567" s="13"/>
      <c r="AB567" s="28"/>
      <c r="AC567" s="13"/>
      <c r="AD567" s="28"/>
      <c r="AE567" s="13"/>
      <c r="AF567" s="28"/>
      <c r="AG567" s="13"/>
      <c r="AH567" s="28"/>
      <c r="AI567" s="13"/>
      <c r="AJ567" s="28"/>
      <c r="AK567" s="13"/>
      <c r="AL567" s="28"/>
      <c r="AM567" s="13"/>
      <c r="AN567" s="28"/>
      <c r="AO567" s="13"/>
      <c r="AP567" s="28"/>
      <c r="AQ567" s="13"/>
      <c r="AR567" s="28"/>
      <c r="AS567" s="19">
        <f>SUM(H567,J567,L567,N567,P567,R567,T567,V567,X567,Z567,AB567,AD567,AF567,AH567,AJ567,AL567,AN567)</f>
        <v>0</v>
      </c>
      <c r="AT567" s="29" t="str">
        <f>IF(C567="","",DATE(YEAR(C567),MONTH(C567),1))</f>
        <v/>
      </c>
      <c r="AU567" s="28" t="str">
        <f>IF(AT567="","",TEXT(AT567,"mmmm yyyy"))</f>
        <v/>
      </c>
      <c r="AV567" s="29" t="str">
        <f>IF(C567="","",C567-WEEKDAY(C567,2)+1)</f>
        <v/>
      </c>
      <c r="AW567" s="29" t="str">
        <f>IF(AV567="","",AV567+6)</f>
        <v/>
      </c>
      <c r="AX567" s="28" t="str">
        <f>IF(AV567="","",TEXT(AV567,"dd/mm/yyyy")&amp;" - "&amp;TEXT(AW567,"dd/mm/yyyy"))</f>
        <v/>
      </c>
      <c r="AY567" s="28" t="str">
        <f>IF(B567="","",COUNTIFS($B$5:B567,B567,$AT$5:AT567,AT567))</f>
        <v/>
      </c>
      <c r="AZ567" s="28" t="str">
        <f>IF(B567="","",COUNTIFS($B$5:B567,B567,$AV$5:AV567,AV567))</f>
        <v/>
      </c>
      <c r="BA567" s="28" t="str">
        <f>IF(B567="","",TEXT(AY567,"00")&amp;"|"&amp;B567&amp;"|"&amp;TEXT(AT567,"yyyymmdd"))</f>
        <v/>
      </c>
      <c r="BB567" s="28" t="str">
        <f>IF(B567="","",TEXT(AZ567,"00")&amp;"|"&amp;B567&amp;"|"&amp;TEXT(AV567,"yyyymmdd"))</f>
        <v/>
      </c>
      <c r="BC567" s="28">
        <f>IF(OR(AQ567="YES",AQ567="Yes",AQ567="Y",AQ567=1),1,0)</f>
        <v>0</v>
      </c>
    </row>
    <row r="568" spans="1:55" ht="15" customHeight="1">
      <c r="A568" s="27"/>
      <c r="B568" s="28"/>
      <c r="C568" s="29"/>
      <c r="D568" s="30"/>
      <c r="E568" s="30"/>
      <c r="F568" s="28"/>
      <c r="G568" s="28"/>
      <c r="H568" s="28"/>
      <c r="I568" s="13"/>
      <c r="J568" s="28"/>
      <c r="K568" s="13"/>
      <c r="L568" s="28"/>
      <c r="M568" s="13"/>
      <c r="N568" s="28"/>
      <c r="O568" s="13"/>
      <c r="P568" s="28"/>
      <c r="Q568" s="20"/>
      <c r="R568" s="28"/>
      <c r="S568" s="20"/>
      <c r="T568" s="28"/>
      <c r="U568" s="13"/>
      <c r="V568" s="28"/>
      <c r="W568" s="13"/>
      <c r="X568" s="28"/>
      <c r="Y568" s="13"/>
      <c r="Z568" s="28"/>
      <c r="AA568" s="13"/>
      <c r="AB568" s="28"/>
      <c r="AC568" s="13"/>
      <c r="AD568" s="28"/>
      <c r="AE568" s="13"/>
      <c r="AF568" s="28"/>
      <c r="AG568" s="13"/>
      <c r="AH568" s="28"/>
      <c r="AI568" s="13"/>
      <c r="AJ568" s="28"/>
      <c r="AK568" s="13"/>
      <c r="AL568" s="28"/>
      <c r="AM568" s="13"/>
      <c r="AN568" s="28"/>
      <c r="AO568" s="13"/>
      <c r="AP568" s="28"/>
      <c r="AQ568" s="13"/>
      <c r="AR568" s="28"/>
      <c r="AS568" s="19">
        <f>SUM(H568,J568,L568,N568,P568,R568,T568,V568,X568,Z568,AB568,AD568,AF568,AH568,AJ568,AL568,AN568)</f>
        <v>0</v>
      </c>
      <c r="AT568" s="29" t="str">
        <f>IF(C568="","",DATE(YEAR(C568),MONTH(C568),1))</f>
        <v/>
      </c>
      <c r="AU568" s="28" t="str">
        <f>IF(AT568="","",TEXT(AT568,"mmmm yyyy"))</f>
        <v/>
      </c>
      <c r="AV568" s="29" t="str">
        <f>IF(C568="","",C568-WEEKDAY(C568,2)+1)</f>
        <v/>
      </c>
      <c r="AW568" s="29" t="str">
        <f>IF(AV568="","",AV568+6)</f>
        <v/>
      </c>
      <c r="AX568" s="28" t="str">
        <f>IF(AV568="","",TEXT(AV568,"dd/mm/yyyy")&amp;" - "&amp;TEXT(AW568,"dd/mm/yyyy"))</f>
        <v/>
      </c>
      <c r="AY568" s="28" t="str">
        <f>IF(B568="","",COUNTIFS($B$5:B568,B568,$AT$5:AT568,AT568))</f>
        <v/>
      </c>
      <c r="AZ568" s="28" t="str">
        <f>IF(B568="","",COUNTIFS($B$5:B568,B568,$AV$5:AV568,AV568))</f>
        <v/>
      </c>
      <c r="BA568" s="28" t="str">
        <f>IF(B568="","",TEXT(AY568,"00")&amp;"|"&amp;B568&amp;"|"&amp;TEXT(AT568,"yyyymmdd"))</f>
        <v/>
      </c>
      <c r="BB568" s="28" t="str">
        <f>IF(B568="","",TEXT(AZ568,"00")&amp;"|"&amp;B568&amp;"|"&amp;TEXT(AV568,"yyyymmdd"))</f>
        <v/>
      </c>
      <c r="BC568" s="28">
        <f>IF(OR(AQ568="YES",AQ568="Yes",AQ568="Y",AQ568=1),1,0)</f>
        <v>0</v>
      </c>
    </row>
    <row r="569" spans="1:55" ht="15" customHeight="1">
      <c r="A569" s="27"/>
      <c r="B569" s="28"/>
      <c r="C569" s="29"/>
      <c r="D569" s="30"/>
      <c r="E569" s="30"/>
      <c r="F569" s="28"/>
      <c r="G569" s="28"/>
      <c r="H569" s="28"/>
      <c r="I569" s="13"/>
      <c r="J569" s="28"/>
      <c r="K569" s="13"/>
      <c r="L569" s="28"/>
      <c r="M569" s="13"/>
      <c r="N569" s="28"/>
      <c r="O569" s="13"/>
      <c r="P569" s="28"/>
      <c r="Q569" s="20"/>
      <c r="R569" s="28"/>
      <c r="S569" s="20"/>
      <c r="T569" s="28"/>
      <c r="U569" s="13"/>
      <c r="V569" s="28"/>
      <c r="W569" s="13"/>
      <c r="X569" s="28"/>
      <c r="Y569" s="13"/>
      <c r="Z569" s="28"/>
      <c r="AA569" s="13"/>
      <c r="AB569" s="28"/>
      <c r="AC569" s="13"/>
      <c r="AD569" s="28"/>
      <c r="AE569" s="13"/>
      <c r="AF569" s="28"/>
      <c r="AG569" s="13"/>
      <c r="AH569" s="28"/>
      <c r="AI569" s="13"/>
      <c r="AJ569" s="28"/>
      <c r="AK569" s="13"/>
      <c r="AL569" s="28"/>
      <c r="AM569" s="13"/>
      <c r="AN569" s="28"/>
      <c r="AO569" s="13"/>
      <c r="AP569" s="28"/>
      <c r="AQ569" s="13"/>
      <c r="AR569" s="28"/>
      <c r="AS569" s="19">
        <f>SUM(H569,J569,L569,N569,P569,R569,T569,V569,X569,Z569,AB569,AD569,AF569,AH569,AJ569,AL569,AN569)</f>
        <v>0</v>
      </c>
      <c r="AT569" s="29" t="str">
        <f>IF(C569="","",DATE(YEAR(C569),MONTH(C569),1))</f>
        <v/>
      </c>
      <c r="AU569" s="28" t="str">
        <f>IF(AT569="","",TEXT(AT569,"mmmm yyyy"))</f>
        <v/>
      </c>
      <c r="AV569" s="29" t="str">
        <f>IF(C569="","",C569-WEEKDAY(C569,2)+1)</f>
        <v/>
      </c>
      <c r="AW569" s="29" t="str">
        <f>IF(AV569="","",AV569+6)</f>
        <v/>
      </c>
      <c r="AX569" s="28" t="str">
        <f>IF(AV569="","",TEXT(AV569,"dd/mm/yyyy")&amp;" - "&amp;TEXT(AW569,"dd/mm/yyyy"))</f>
        <v/>
      </c>
      <c r="AY569" s="28" t="str">
        <f>IF(B569="","",COUNTIFS($B$5:B569,B569,$AT$5:AT569,AT569))</f>
        <v/>
      </c>
      <c r="AZ569" s="28" t="str">
        <f>IF(B569="","",COUNTIFS($B$5:B569,B569,$AV$5:AV569,AV569))</f>
        <v/>
      </c>
      <c r="BA569" s="28" t="str">
        <f>IF(B569="","",TEXT(AY569,"00")&amp;"|"&amp;B569&amp;"|"&amp;TEXT(AT569,"yyyymmdd"))</f>
        <v/>
      </c>
      <c r="BB569" s="28" t="str">
        <f>IF(B569="","",TEXT(AZ569,"00")&amp;"|"&amp;B569&amp;"|"&amp;TEXT(AV569,"yyyymmdd"))</f>
        <v/>
      </c>
      <c r="BC569" s="28">
        <f>IF(OR(AQ569="YES",AQ569="Yes",AQ569="Y",AQ569=1),1,0)</f>
        <v>0</v>
      </c>
    </row>
    <row r="570" spans="1:55" ht="15" customHeight="1">
      <c r="A570" s="27"/>
      <c r="B570" s="28"/>
      <c r="C570" s="29"/>
      <c r="D570" s="30"/>
      <c r="E570" s="30"/>
      <c r="F570" s="28"/>
      <c r="G570" s="28"/>
      <c r="H570" s="28"/>
      <c r="I570" s="13"/>
      <c r="J570" s="28"/>
      <c r="K570" s="13"/>
      <c r="L570" s="28"/>
      <c r="M570" s="13"/>
      <c r="N570" s="28"/>
      <c r="O570" s="13"/>
      <c r="P570" s="28"/>
      <c r="Q570" s="20"/>
      <c r="R570" s="28"/>
      <c r="S570" s="20"/>
      <c r="T570" s="28"/>
      <c r="U570" s="13"/>
      <c r="V570" s="28"/>
      <c r="W570" s="13"/>
      <c r="X570" s="28"/>
      <c r="Y570" s="13"/>
      <c r="Z570" s="28"/>
      <c r="AA570" s="13"/>
      <c r="AB570" s="28"/>
      <c r="AC570" s="13"/>
      <c r="AD570" s="28"/>
      <c r="AE570" s="13"/>
      <c r="AF570" s="28"/>
      <c r="AG570" s="13"/>
      <c r="AH570" s="28"/>
      <c r="AI570" s="13"/>
      <c r="AJ570" s="28"/>
      <c r="AK570" s="13"/>
      <c r="AL570" s="28"/>
      <c r="AM570" s="13"/>
      <c r="AN570" s="28"/>
      <c r="AO570" s="13"/>
      <c r="AP570" s="28"/>
      <c r="AQ570" s="13"/>
      <c r="AR570" s="28"/>
      <c r="AS570" s="19">
        <f>SUM(H570,J570,L570,N570,P570,R570,T570,V570,X570,Z570,AB570,AD570,AF570,AH570,AJ570,AL570,AN570)</f>
        <v>0</v>
      </c>
      <c r="AT570" s="29" t="str">
        <f>IF(C570="","",DATE(YEAR(C570),MONTH(C570),1))</f>
        <v/>
      </c>
      <c r="AU570" s="28" t="str">
        <f>IF(AT570="","",TEXT(AT570,"mmmm yyyy"))</f>
        <v/>
      </c>
      <c r="AV570" s="29" t="str">
        <f>IF(C570="","",C570-WEEKDAY(C570,2)+1)</f>
        <v/>
      </c>
      <c r="AW570" s="29" t="str">
        <f>IF(AV570="","",AV570+6)</f>
        <v/>
      </c>
      <c r="AX570" s="28" t="str">
        <f>IF(AV570="","",TEXT(AV570,"dd/mm/yyyy")&amp;" - "&amp;TEXT(AW570,"dd/mm/yyyy"))</f>
        <v/>
      </c>
      <c r="AY570" s="28" t="str">
        <f>IF(B570="","",COUNTIFS($B$5:B570,B570,$AT$5:AT570,AT570))</f>
        <v/>
      </c>
      <c r="AZ570" s="28" t="str">
        <f>IF(B570="","",COUNTIFS($B$5:B570,B570,$AV$5:AV570,AV570))</f>
        <v/>
      </c>
      <c r="BA570" s="28" t="str">
        <f>IF(B570="","",TEXT(AY570,"00")&amp;"|"&amp;B570&amp;"|"&amp;TEXT(AT570,"yyyymmdd"))</f>
        <v/>
      </c>
      <c r="BB570" s="28" t="str">
        <f>IF(B570="","",TEXT(AZ570,"00")&amp;"|"&amp;B570&amp;"|"&amp;TEXT(AV570,"yyyymmdd"))</f>
        <v/>
      </c>
      <c r="BC570" s="28">
        <f>IF(OR(AQ570="YES",AQ570="Yes",AQ570="Y",AQ570=1),1,0)</f>
        <v>0</v>
      </c>
    </row>
    <row r="571" spans="1:55" ht="15" customHeight="1">
      <c r="A571" s="27"/>
      <c r="B571" s="28"/>
      <c r="C571" s="29"/>
      <c r="D571" s="30"/>
      <c r="E571" s="30"/>
      <c r="F571" s="28"/>
      <c r="G571" s="28"/>
      <c r="H571" s="28"/>
      <c r="I571" s="13"/>
      <c r="J571" s="28"/>
      <c r="K571" s="13"/>
      <c r="L571" s="28"/>
      <c r="M571" s="13"/>
      <c r="N571" s="28"/>
      <c r="O571" s="13"/>
      <c r="P571" s="28"/>
      <c r="Q571" s="20"/>
      <c r="R571" s="28"/>
      <c r="S571" s="20"/>
      <c r="T571" s="28"/>
      <c r="U571" s="13"/>
      <c r="V571" s="28"/>
      <c r="W571" s="13"/>
      <c r="X571" s="28"/>
      <c r="Y571" s="13"/>
      <c r="Z571" s="28"/>
      <c r="AA571" s="13"/>
      <c r="AB571" s="28"/>
      <c r="AC571" s="13"/>
      <c r="AD571" s="28"/>
      <c r="AE571" s="13"/>
      <c r="AF571" s="28"/>
      <c r="AG571" s="13"/>
      <c r="AH571" s="28"/>
      <c r="AI571" s="13"/>
      <c r="AJ571" s="28"/>
      <c r="AK571" s="13"/>
      <c r="AL571" s="28"/>
      <c r="AM571" s="13"/>
      <c r="AN571" s="28"/>
      <c r="AO571" s="13"/>
      <c r="AP571" s="28"/>
      <c r="AQ571" s="13"/>
      <c r="AR571" s="28"/>
      <c r="AS571" s="19">
        <f>SUM(H571,J571,L571,N571,P571,R571,T571,V571,X571,Z571,AB571,AD571,AF571,AH571,AJ571,AL571,AN571)</f>
        <v>0</v>
      </c>
      <c r="AT571" s="29" t="str">
        <f>IF(C571="","",DATE(YEAR(C571),MONTH(C571),1))</f>
        <v/>
      </c>
      <c r="AU571" s="28" t="str">
        <f>IF(AT571="","",TEXT(AT571,"mmmm yyyy"))</f>
        <v/>
      </c>
      <c r="AV571" s="29" t="str">
        <f>IF(C571="","",C571-WEEKDAY(C571,2)+1)</f>
        <v/>
      </c>
      <c r="AW571" s="29" t="str">
        <f>IF(AV571="","",AV571+6)</f>
        <v/>
      </c>
      <c r="AX571" s="28" t="str">
        <f>IF(AV571="","",TEXT(AV571,"dd/mm/yyyy")&amp;" - "&amp;TEXT(AW571,"dd/mm/yyyy"))</f>
        <v/>
      </c>
      <c r="AY571" s="28" t="str">
        <f>IF(B571="","",COUNTIFS($B$5:B571,B571,$AT$5:AT571,AT571))</f>
        <v/>
      </c>
      <c r="AZ571" s="28" t="str">
        <f>IF(B571="","",COUNTIFS($B$5:B571,B571,$AV$5:AV571,AV571))</f>
        <v/>
      </c>
      <c r="BA571" s="28" t="str">
        <f>IF(B571="","",TEXT(AY571,"00")&amp;"|"&amp;B571&amp;"|"&amp;TEXT(AT571,"yyyymmdd"))</f>
        <v/>
      </c>
      <c r="BB571" s="28" t="str">
        <f>IF(B571="","",TEXT(AZ571,"00")&amp;"|"&amp;B571&amp;"|"&amp;TEXT(AV571,"yyyymmdd"))</f>
        <v/>
      </c>
      <c r="BC571" s="28">
        <f>IF(OR(AQ571="YES",AQ571="Yes",AQ571="Y",AQ571=1),1,0)</f>
        <v>0</v>
      </c>
    </row>
    <row r="572" spans="1:55" ht="15" customHeight="1">
      <c r="A572" s="27"/>
      <c r="B572" s="28"/>
      <c r="C572" s="29"/>
      <c r="D572" s="30"/>
      <c r="E572" s="30"/>
      <c r="F572" s="28"/>
      <c r="G572" s="28"/>
      <c r="H572" s="28"/>
      <c r="I572" s="13"/>
      <c r="J572" s="28"/>
      <c r="K572" s="13"/>
      <c r="L572" s="28"/>
      <c r="M572" s="13"/>
      <c r="N572" s="28"/>
      <c r="O572" s="13"/>
      <c r="P572" s="28"/>
      <c r="Q572" s="20"/>
      <c r="R572" s="28"/>
      <c r="S572" s="20"/>
      <c r="T572" s="28"/>
      <c r="U572" s="13"/>
      <c r="V572" s="28"/>
      <c r="W572" s="13"/>
      <c r="X572" s="28"/>
      <c r="Y572" s="13"/>
      <c r="Z572" s="28"/>
      <c r="AA572" s="13"/>
      <c r="AB572" s="28"/>
      <c r="AC572" s="13"/>
      <c r="AD572" s="28"/>
      <c r="AE572" s="13"/>
      <c r="AF572" s="28"/>
      <c r="AG572" s="13"/>
      <c r="AH572" s="28"/>
      <c r="AI572" s="13"/>
      <c r="AJ572" s="28"/>
      <c r="AK572" s="13"/>
      <c r="AL572" s="28"/>
      <c r="AM572" s="13"/>
      <c r="AN572" s="28"/>
      <c r="AO572" s="13"/>
      <c r="AP572" s="28"/>
      <c r="AQ572" s="13"/>
      <c r="AR572" s="28"/>
      <c r="AS572" s="19">
        <f>SUM(H572,J572,L572,N572,P572,R572,T572,V572,X572,Z572,AB572,AD572,AF572,AH572,AJ572,AL572,AN572)</f>
        <v>0</v>
      </c>
      <c r="AT572" s="29" t="str">
        <f>IF(C572="","",DATE(YEAR(C572),MONTH(C572),1))</f>
        <v/>
      </c>
      <c r="AU572" s="28" t="str">
        <f>IF(AT572="","",TEXT(AT572,"mmmm yyyy"))</f>
        <v/>
      </c>
      <c r="AV572" s="29" t="str">
        <f>IF(C572="","",C572-WEEKDAY(C572,2)+1)</f>
        <v/>
      </c>
      <c r="AW572" s="29" t="str">
        <f>IF(AV572="","",AV572+6)</f>
        <v/>
      </c>
      <c r="AX572" s="28" t="str">
        <f>IF(AV572="","",TEXT(AV572,"dd/mm/yyyy")&amp;" - "&amp;TEXT(AW572,"dd/mm/yyyy"))</f>
        <v/>
      </c>
      <c r="AY572" s="28" t="str">
        <f>IF(B572="","",COUNTIFS($B$5:B572,B572,$AT$5:AT572,AT572))</f>
        <v/>
      </c>
      <c r="AZ572" s="28" t="str">
        <f>IF(B572="","",COUNTIFS($B$5:B572,B572,$AV$5:AV572,AV572))</f>
        <v/>
      </c>
      <c r="BA572" s="28" t="str">
        <f>IF(B572="","",TEXT(AY572,"00")&amp;"|"&amp;B572&amp;"|"&amp;TEXT(AT572,"yyyymmdd"))</f>
        <v/>
      </c>
      <c r="BB572" s="28" t="str">
        <f>IF(B572="","",TEXT(AZ572,"00")&amp;"|"&amp;B572&amp;"|"&amp;TEXT(AV572,"yyyymmdd"))</f>
        <v/>
      </c>
      <c r="BC572" s="28">
        <f>IF(OR(AQ572="YES",AQ572="Yes",AQ572="Y",AQ572=1),1,0)</f>
        <v>0</v>
      </c>
    </row>
    <row r="573" spans="1:55" ht="15" customHeight="1">
      <c r="A573" s="27"/>
      <c r="B573" s="28"/>
      <c r="C573" s="29"/>
      <c r="D573" s="30"/>
      <c r="E573" s="30"/>
      <c r="F573" s="28"/>
      <c r="G573" s="28"/>
      <c r="H573" s="28"/>
      <c r="I573" s="13"/>
      <c r="J573" s="28"/>
      <c r="K573" s="13"/>
      <c r="L573" s="28"/>
      <c r="M573" s="13"/>
      <c r="N573" s="28"/>
      <c r="O573" s="13"/>
      <c r="P573" s="28"/>
      <c r="Q573" s="20"/>
      <c r="R573" s="28"/>
      <c r="S573" s="20"/>
      <c r="T573" s="28"/>
      <c r="U573" s="13"/>
      <c r="V573" s="28"/>
      <c r="W573" s="13"/>
      <c r="X573" s="28"/>
      <c r="Y573" s="13"/>
      <c r="Z573" s="28"/>
      <c r="AA573" s="13"/>
      <c r="AB573" s="28"/>
      <c r="AC573" s="13"/>
      <c r="AD573" s="28"/>
      <c r="AE573" s="13"/>
      <c r="AF573" s="28"/>
      <c r="AG573" s="13"/>
      <c r="AH573" s="28"/>
      <c r="AI573" s="13"/>
      <c r="AJ573" s="28"/>
      <c r="AK573" s="13"/>
      <c r="AL573" s="28"/>
      <c r="AM573" s="13"/>
      <c r="AN573" s="28"/>
      <c r="AO573" s="13"/>
      <c r="AP573" s="28"/>
      <c r="AQ573" s="13"/>
      <c r="AR573" s="28"/>
      <c r="AS573" s="19">
        <f>SUM(H573,J573,L573,N573,P573,R573,T573,V573,X573,Z573,AB573,AD573,AF573,AH573,AJ573,AL573,AN573)</f>
        <v>0</v>
      </c>
      <c r="AT573" s="29" t="str">
        <f>IF(C573="","",DATE(YEAR(C573),MONTH(C573),1))</f>
        <v/>
      </c>
      <c r="AU573" s="28" t="str">
        <f>IF(AT573="","",TEXT(AT573,"mmmm yyyy"))</f>
        <v/>
      </c>
      <c r="AV573" s="29" t="str">
        <f>IF(C573="","",C573-WEEKDAY(C573,2)+1)</f>
        <v/>
      </c>
      <c r="AW573" s="29" t="str">
        <f>IF(AV573="","",AV573+6)</f>
        <v/>
      </c>
      <c r="AX573" s="28" t="str">
        <f>IF(AV573="","",TEXT(AV573,"dd/mm/yyyy")&amp;" - "&amp;TEXT(AW573,"dd/mm/yyyy"))</f>
        <v/>
      </c>
      <c r="AY573" s="28" t="str">
        <f>IF(B573="","",COUNTIFS($B$5:B573,B573,$AT$5:AT573,AT573))</f>
        <v/>
      </c>
      <c r="AZ573" s="28" t="str">
        <f>IF(B573="","",COUNTIFS($B$5:B573,B573,$AV$5:AV573,AV573))</f>
        <v/>
      </c>
      <c r="BA573" s="28" t="str">
        <f>IF(B573="","",TEXT(AY573,"00")&amp;"|"&amp;B573&amp;"|"&amp;TEXT(AT573,"yyyymmdd"))</f>
        <v/>
      </c>
      <c r="BB573" s="28" t="str">
        <f>IF(B573="","",TEXT(AZ573,"00")&amp;"|"&amp;B573&amp;"|"&amp;TEXT(AV573,"yyyymmdd"))</f>
        <v/>
      </c>
      <c r="BC573" s="28">
        <f>IF(OR(AQ573="YES",AQ573="Yes",AQ573="Y",AQ573=1),1,0)</f>
        <v>0</v>
      </c>
    </row>
    <row r="574" spans="1:55" ht="15" customHeight="1">
      <c r="A574" s="27"/>
      <c r="B574" s="28"/>
      <c r="C574" s="29"/>
      <c r="D574" s="30"/>
      <c r="E574" s="30"/>
      <c r="F574" s="28"/>
      <c r="G574" s="28"/>
      <c r="H574" s="28"/>
      <c r="I574" s="13"/>
      <c r="J574" s="28"/>
      <c r="K574" s="13"/>
      <c r="L574" s="28"/>
      <c r="M574" s="13"/>
      <c r="N574" s="28"/>
      <c r="O574" s="13"/>
      <c r="P574" s="28"/>
      <c r="Q574" s="20"/>
      <c r="R574" s="28"/>
      <c r="S574" s="20"/>
      <c r="T574" s="28"/>
      <c r="U574" s="13"/>
      <c r="V574" s="28"/>
      <c r="W574" s="13"/>
      <c r="X574" s="28"/>
      <c r="Y574" s="13"/>
      <c r="Z574" s="28"/>
      <c r="AA574" s="13"/>
      <c r="AB574" s="28"/>
      <c r="AC574" s="13"/>
      <c r="AD574" s="28"/>
      <c r="AE574" s="13"/>
      <c r="AF574" s="28"/>
      <c r="AG574" s="13"/>
      <c r="AH574" s="28"/>
      <c r="AI574" s="13"/>
      <c r="AJ574" s="28"/>
      <c r="AK574" s="13"/>
      <c r="AL574" s="28"/>
      <c r="AM574" s="13"/>
      <c r="AN574" s="28"/>
      <c r="AO574" s="13"/>
      <c r="AP574" s="28"/>
      <c r="AQ574" s="13"/>
      <c r="AR574" s="28"/>
      <c r="AS574" s="19">
        <f>SUM(H574,J574,L574,N574,P574,R574,T574,V574,X574,Z574,AB574,AD574,AF574,AH574,AJ574,AL574,AN574)</f>
        <v>0</v>
      </c>
      <c r="AT574" s="29" t="str">
        <f>IF(C574="","",DATE(YEAR(C574),MONTH(C574),1))</f>
        <v/>
      </c>
      <c r="AU574" s="28" t="str">
        <f>IF(AT574="","",TEXT(AT574,"mmmm yyyy"))</f>
        <v/>
      </c>
      <c r="AV574" s="29" t="str">
        <f>IF(C574="","",C574-WEEKDAY(C574,2)+1)</f>
        <v/>
      </c>
      <c r="AW574" s="29" t="str">
        <f>IF(AV574="","",AV574+6)</f>
        <v/>
      </c>
      <c r="AX574" s="28" t="str">
        <f>IF(AV574="","",TEXT(AV574,"dd/mm/yyyy")&amp;" - "&amp;TEXT(AW574,"dd/mm/yyyy"))</f>
        <v/>
      </c>
      <c r="AY574" s="28" t="str">
        <f>IF(B574="","",COUNTIFS($B$5:B574,B574,$AT$5:AT574,AT574))</f>
        <v/>
      </c>
      <c r="AZ574" s="28" t="str">
        <f>IF(B574="","",COUNTIFS($B$5:B574,B574,$AV$5:AV574,AV574))</f>
        <v/>
      </c>
      <c r="BA574" s="28" t="str">
        <f>IF(B574="","",TEXT(AY574,"00")&amp;"|"&amp;B574&amp;"|"&amp;TEXT(AT574,"yyyymmdd"))</f>
        <v/>
      </c>
      <c r="BB574" s="28" t="str">
        <f>IF(B574="","",TEXT(AZ574,"00")&amp;"|"&amp;B574&amp;"|"&amp;TEXT(AV574,"yyyymmdd"))</f>
        <v/>
      </c>
      <c r="BC574" s="28">
        <f>IF(OR(AQ574="YES",AQ574="Yes",AQ574="Y",AQ574=1),1,0)</f>
        <v>0</v>
      </c>
    </row>
    <row r="575" spans="1:55" ht="15" customHeight="1">
      <c r="A575" s="27"/>
      <c r="B575" s="28"/>
      <c r="C575" s="29"/>
      <c r="D575" s="30"/>
      <c r="E575" s="30"/>
      <c r="F575" s="28"/>
      <c r="G575" s="28"/>
      <c r="H575" s="28"/>
      <c r="I575" s="13"/>
      <c r="J575" s="28"/>
      <c r="K575" s="13"/>
      <c r="L575" s="28"/>
      <c r="M575" s="13"/>
      <c r="N575" s="28"/>
      <c r="O575" s="13"/>
      <c r="P575" s="28"/>
      <c r="Q575" s="20"/>
      <c r="R575" s="28"/>
      <c r="S575" s="20"/>
      <c r="T575" s="28"/>
      <c r="U575" s="13"/>
      <c r="V575" s="28"/>
      <c r="W575" s="13"/>
      <c r="X575" s="28"/>
      <c r="Y575" s="13"/>
      <c r="Z575" s="28"/>
      <c r="AA575" s="13"/>
      <c r="AB575" s="28"/>
      <c r="AC575" s="13"/>
      <c r="AD575" s="28"/>
      <c r="AE575" s="13"/>
      <c r="AF575" s="28"/>
      <c r="AG575" s="13"/>
      <c r="AH575" s="28"/>
      <c r="AI575" s="13"/>
      <c r="AJ575" s="28"/>
      <c r="AK575" s="13"/>
      <c r="AL575" s="28"/>
      <c r="AM575" s="13"/>
      <c r="AN575" s="28"/>
      <c r="AO575" s="13"/>
      <c r="AP575" s="28"/>
      <c r="AQ575" s="13"/>
      <c r="AR575" s="28"/>
      <c r="AS575" s="19">
        <f>SUM(H575,J575,L575,N575,P575,R575,T575,V575,X575,Z575,AB575,AD575,AF575,AH575,AJ575,AL575,AN575)</f>
        <v>0</v>
      </c>
      <c r="AT575" s="29" t="str">
        <f>IF(C575="","",DATE(YEAR(C575),MONTH(C575),1))</f>
        <v/>
      </c>
      <c r="AU575" s="28" t="str">
        <f>IF(AT575="","",TEXT(AT575,"mmmm yyyy"))</f>
        <v/>
      </c>
      <c r="AV575" s="29" t="str">
        <f>IF(C575="","",C575-WEEKDAY(C575,2)+1)</f>
        <v/>
      </c>
      <c r="AW575" s="29" t="str">
        <f>IF(AV575="","",AV575+6)</f>
        <v/>
      </c>
      <c r="AX575" s="28" t="str">
        <f>IF(AV575="","",TEXT(AV575,"dd/mm/yyyy")&amp;" - "&amp;TEXT(AW575,"dd/mm/yyyy"))</f>
        <v/>
      </c>
      <c r="AY575" s="28" t="str">
        <f>IF(B575="","",COUNTIFS($B$5:B575,B575,$AT$5:AT575,AT575))</f>
        <v/>
      </c>
      <c r="AZ575" s="28" t="str">
        <f>IF(B575="","",COUNTIFS($B$5:B575,B575,$AV$5:AV575,AV575))</f>
        <v/>
      </c>
      <c r="BA575" s="28" t="str">
        <f>IF(B575="","",TEXT(AY575,"00")&amp;"|"&amp;B575&amp;"|"&amp;TEXT(AT575,"yyyymmdd"))</f>
        <v/>
      </c>
      <c r="BB575" s="28" t="str">
        <f>IF(B575="","",TEXT(AZ575,"00")&amp;"|"&amp;B575&amp;"|"&amp;TEXT(AV575,"yyyymmdd"))</f>
        <v/>
      </c>
      <c r="BC575" s="28">
        <f>IF(OR(AQ575="YES",AQ575="Yes",AQ575="Y",AQ575=1),1,0)</f>
        <v>0</v>
      </c>
    </row>
    <row r="576" spans="1:55" ht="15" customHeight="1">
      <c r="A576" s="27"/>
      <c r="B576" s="28"/>
      <c r="C576" s="29"/>
      <c r="D576" s="30"/>
      <c r="E576" s="30"/>
      <c r="F576" s="28"/>
      <c r="G576" s="28"/>
      <c r="H576" s="28"/>
      <c r="I576" s="13"/>
      <c r="J576" s="28"/>
      <c r="K576" s="13"/>
      <c r="L576" s="28"/>
      <c r="M576" s="13"/>
      <c r="N576" s="28"/>
      <c r="O576" s="13"/>
      <c r="P576" s="28"/>
      <c r="Q576" s="20"/>
      <c r="R576" s="28"/>
      <c r="S576" s="20"/>
      <c r="T576" s="28"/>
      <c r="U576" s="13"/>
      <c r="V576" s="28"/>
      <c r="W576" s="13"/>
      <c r="X576" s="28"/>
      <c r="Y576" s="13"/>
      <c r="Z576" s="28"/>
      <c r="AA576" s="13"/>
      <c r="AB576" s="28"/>
      <c r="AC576" s="13"/>
      <c r="AD576" s="28"/>
      <c r="AE576" s="13"/>
      <c r="AF576" s="28"/>
      <c r="AG576" s="13"/>
      <c r="AH576" s="28"/>
      <c r="AI576" s="13"/>
      <c r="AJ576" s="28"/>
      <c r="AK576" s="13"/>
      <c r="AL576" s="28"/>
      <c r="AM576" s="13"/>
      <c r="AN576" s="28"/>
      <c r="AO576" s="13"/>
      <c r="AP576" s="28"/>
      <c r="AQ576" s="13"/>
      <c r="AR576" s="28"/>
      <c r="AS576" s="19">
        <f>SUM(H576,J576,L576,N576,P576,R576,T576,V576,X576,Z576,AB576,AD576,AF576,AH576,AJ576,AL576,AN576)</f>
        <v>0</v>
      </c>
      <c r="AT576" s="29" t="str">
        <f>IF(C576="","",DATE(YEAR(C576),MONTH(C576),1))</f>
        <v/>
      </c>
      <c r="AU576" s="28" t="str">
        <f>IF(AT576="","",TEXT(AT576,"mmmm yyyy"))</f>
        <v/>
      </c>
      <c r="AV576" s="29" t="str">
        <f>IF(C576="","",C576-WEEKDAY(C576,2)+1)</f>
        <v/>
      </c>
      <c r="AW576" s="29" t="str">
        <f>IF(AV576="","",AV576+6)</f>
        <v/>
      </c>
      <c r="AX576" s="28" t="str">
        <f>IF(AV576="","",TEXT(AV576,"dd/mm/yyyy")&amp;" - "&amp;TEXT(AW576,"dd/mm/yyyy"))</f>
        <v/>
      </c>
      <c r="AY576" s="28" t="str">
        <f>IF(B576="","",COUNTIFS($B$5:B576,B576,$AT$5:AT576,AT576))</f>
        <v/>
      </c>
      <c r="AZ576" s="28" t="str">
        <f>IF(B576="","",COUNTIFS($B$5:B576,B576,$AV$5:AV576,AV576))</f>
        <v/>
      </c>
      <c r="BA576" s="28" t="str">
        <f>IF(B576="","",TEXT(AY576,"00")&amp;"|"&amp;B576&amp;"|"&amp;TEXT(AT576,"yyyymmdd"))</f>
        <v/>
      </c>
      <c r="BB576" s="28" t="str">
        <f>IF(B576="","",TEXT(AZ576,"00")&amp;"|"&amp;B576&amp;"|"&amp;TEXT(AV576,"yyyymmdd"))</f>
        <v/>
      </c>
      <c r="BC576" s="28">
        <f>IF(OR(AQ576="YES",AQ576="Yes",AQ576="Y",AQ576=1),1,0)</f>
        <v>0</v>
      </c>
    </row>
    <row r="577" spans="1:55" ht="15" customHeight="1">
      <c r="A577" s="27"/>
      <c r="B577" s="28"/>
      <c r="C577" s="29"/>
      <c r="D577" s="30"/>
      <c r="E577" s="30"/>
      <c r="F577" s="28"/>
      <c r="G577" s="28"/>
      <c r="H577" s="28"/>
      <c r="I577" s="13"/>
      <c r="J577" s="28"/>
      <c r="K577" s="13"/>
      <c r="L577" s="28"/>
      <c r="M577" s="13"/>
      <c r="N577" s="28"/>
      <c r="O577" s="13"/>
      <c r="P577" s="28"/>
      <c r="Q577" s="20"/>
      <c r="R577" s="28"/>
      <c r="S577" s="20"/>
      <c r="T577" s="28"/>
      <c r="U577" s="13"/>
      <c r="V577" s="28"/>
      <c r="W577" s="13"/>
      <c r="X577" s="28"/>
      <c r="Y577" s="13"/>
      <c r="Z577" s="28"/>
      <c r="AA577" s="13"/>
      <c r="AB577" s="28"/>
      <c r="AC577" s="13"/>
      <c r="AD577" s="28"/>
      <c r="AE577" s="13"/>
      <c r="AF577" s="28"/>
      <c r="AG577" s="13"/>
      <c r="AH577" s="28"/>
      <c r="AI577" s="13"/>
      <c r="AJ577" s="28"/>
      <c r="AK577" s="13"/>
      <c r="AL577" s="28"/>
      <c r="AM577" s="13"/>
      <c r="AN577" s="28"/>
      <c r="AO577" s="13"/>
      <c r="AP577" s="28"/>
      <c r="AQ577" s="13"/>
      <c r="AR577" s="28"/>
      <c r="AS577" s="19">
        <f>SUM(H577,J577,L577,N577,P577,R577,T577,V577,X577,Z577,AB577,AD577,AF577,AH577,AJ577,AL577,AN577)</f>
        <v>0</v>
      </c>
      <c r="AT577" s="29" t="str">
        <f>IF(C577="","",DATE(YEAR(C577),MONTH(C577),1))</f>
        <v/>
      </c>
      <c r="AU577" s="28" t="str">
        <f>IF(AT577="","",TEXT(AT577,"mmmm yyyy"))</f>
        <v/>
      </c>
      <c r="AV577" s="29" t="str">
        <f>IF(C577="","",C577-WEEKDAY(C577,2)+1)</f>
        <v/>
      </c>
      <c r="AW577" s="29" t="str">
        <f>IF(AV577="","",AV577+6)</f>
        <v/>
      </c>
      <c r="AX577" s="28" t="str">
        <f>IF(AV577="","",TEXT(AV577,"dd/mm/yyyy")&amp;" - "&amp;TEXT(AW577,"dd/mm/yyyy"))</f>
        <v/>
      </c>
      <c r="AY577" s="28" t="str">
        <f>IF(B577="","",COUNTIFS($B$5:B577,B577,$AT$5:AT577,AT577))</f>
        <v/>
      </c>
      <c r="AZ577" s="28" t="str">
        <f>IF(B577="","",COUNTIFS($B$5:B577,B577,$AV$5:AV577,AV577))</f>
        <v/>
      </c>
      <c r="BA577" s="28" t="str">
        <f>IF(B577="","",TEXT(AY577,"00")&amp;"|"&amp;B577&amp;"|"&amp;TEXT(AT577,"yyyymmdd"))</f>
        <v/>
      </c>
      <c r="BB577" s="28" t="str">
        <f>IF(B577="","",TEXT(AZ577,"00")&amp;"|"&amp;B577&amp;"|"&amp;TEXT(AV577,"yyyymmdd"))</f>
        <v/>
      </c>
      <c r="BC577" s="28">
        <f>IF(OR(AQ577="YES",AQ577="Yes",AQ577="Y",AQ577=1),1,0)</f>
        <v>0</v>
      </c>
    </row>
    <row r="578" spans="1:55" ht="15" customHeight="1">
      <c r="A578" s="27"/>
      <c r="B578" s="28"/>
      <c r="C578" s="29"/>
      <c r="D578" s="30"/>
      <c r="E578" s="30"/>
      <c r="F578" s="28"/>
      <c r="G578" s="28"/>
      <c r="H578" s="28"/>
      <c r="I578" s="13"/>
      <c r="J578" s="28"/>
      <c r="K578" s="13"/>
      <c r="L578" s="28"/>
      <c r="M578" s="13"/>
      <c r="N578" s="28"/>
      <c r="O578" s="13"/>
      <c r="P578" s="28"/>
      <c r="Q578" s="20"/>
      <c r="R578" s="28"/>
      <c r="S578" s="20"/>
      <c r="T578" s="28"/>
      <c r="U578" s="13"/>
      <c r="V578" s="28"/>
      <c r="W578" s="13"/>
      <c r="X578" s="28"/>
      <c r="Y578" s="13"/>
      <c r="Z578" s="28"/>
      <c r="AA578" s="13"/>
      <c r="AB578" s="28"/>
      <c r="AC578" s="13"/>
      <c r="AD578" s="28"/>
      <c r="AE578" s="13"/>
      <c r="AF578" s="28"/>
      <c r="AG578" s="13"/>
      <c r="AH578" s="28"/>
      <c r="AI578" s="13"/>
      <c r="AJ578" s="28"/>
      <c r="AK578" s="13"/>
      <c r="AL578" s="28"/>
      <c r="AM578" s="13"/>
      <c r="AN578" s="28"/>
      <c r="AO578" s="13"/>
      <c r="AP578" s="28"/>
      <c r="AQ578" s="13"/>
      <c r="AR578" s="28"/>
      <c r="AS578" s="19">
        <f>SUM(H578,J578,L578,N578,P578,R578,T578,V578,X578,Z578,AB578,AD578,AF578,AH578,AJ578,AL578,AN578)</f>
        <v>0</v>
      </c>
      <c r="AT578" s="29" t="str">
        <f>IF(C578="","",DATE(YEAR(C578),MONTH(C578),1))</f>
        <v/>
      </c>
      <c r="AU578" s="28" t="str">
        <f>IF(AT578="","",TEXT(AT578,"mmmm yyyy"))</f>
        <v/>
      </c>
      <c r="AV578" s="29" t="str">
        <f>IF(C578="","",C578-WEEKDAY(C578,2)+1)</f>
        <v/>
      </c>
      <c r="AW578" s="29" t="str">
        <f>IF(AV578="","",AV578+6)</f>
        <v/>
      </c>
      <c r="AX578" s="28" t="str">
        <f>IF(AV578="","",TEXT(AV578,"dd/mm/yyyy")&amp;" - "&amp;TEXT(AW578,"dd/mm/yyyy"))</f>
        <v/>
      </c>
      <c r="AY578" s="28" t="str">
        <f>IF(B578="","",COUNTIFS($B$5:B578,B578,$AT$5:AT578,AT578))</f>
        <v/>
      </c>
      <c r="AZ578" s="28" t="str">
        <f>IF(B578="","",COUNTIFS($B$5:B578,B578,$AV$5:AV578,AV578))</f>
        <v/>
      </c>
      <c r="BA578" s="28" t="str">
        <f>IF(B578="","",TEXT(AY578,"00")&amp;"|"&amp;B578&amp;"|"&amp;TEXT(AT578,"yyyymmdd"))</f>
        <v/>
      </c>
      <c r="BB578" s="28" t="str">
        <f>IF(B578="","",TEXT(AZ578,"00")&amp;"|"&amp;B578&amp;"|"&amp;TEXT(AV578,"yyyymmdd"))</f>
        <v/>
      </c>
      <c r="BC578" s="28">
        <f>IF(OR(AQ578="YES",AQ578="Yes",AQ578="Y",AQ578=1),1,0)</f>
        <v>0</v>
      </c>
    </row>
    <row r="579" spans="1:55" ht="15" customHeight="1">
      <c r="A579" s="27"/>
      <c r="B579" s="28"/>
      <c r="C579" s="29"/>
      <c r="D579" s="30"/>
      <c r="E579" s="30"/>
      <c r="F579" s="28"/>
      <c r="G579" s="28"/>
      <c r="H579" s="28"/>
      <c r="I579" s="13"/>
      <c r="J579" s="28"/>
      <c r="K579" s="13"/>
      <c r="L579" s="28"/>
      <c r="M579" s="13"/>
      <c r="N579" s="28"/>
      <c r="O579" s="13"/>
      <c r="P579" s="28"/>
      <c r="Q579" s="20"/>
      <c r="R579" s="28"/>
      <c r="S579" s="20"/>
      <c r="T579" s="28"/>
      <c r="U579" s="13"/>
      <c r="V579" s="28"/>
      <c r="W579" s="13"/>
      <c r="X579" s="28"/>
      <c r="Y579" s="13"/>
      <c r="Z579" s="28"/>
      <c r="AA579" s="13"/>
      <c r="AB579" s="28"/>
      <c r="AC579" s="13"/>
      <c r="AD579" s="28"/>
      <c r="AE579" s="13"/>
      <c r="AF579" s="28"/>
      <c r="AG579" s="13"/>
      <c r="AH579" s="28"/>
      <c r="AI579" s="13"/>
      <c r="AJ579" s="28"/>
      <c r="AK579" s="13"/>
      <c r="AL579" s="28"/>
      <c r="AM579" s="13"/>
      <c r="AN579" s="28"/>
      <c r="AO579" s="13"/>
      <c r="AP579" s="28"/>
      <c r="AQ579" s="13"/>
      <c r="AR579" s="28"/>
      <c r="AS579" s="19">
        <f>SUM(H579,J579,L579,N579,P579,R579,T579,V579,X579,Z579,AB579,AD579,AF579,AH579,AJ579,AL579,AN579)</f>
        <v>0</v>
      </c>
      <c r="AT579" s="29" t="str">
        <f>IF(C579="","",DATE(YEAR(C579),MONTH(C579),1))</f>
        <v/>
      </c>
      <c r="AU579" s="28" t="str">
        <f>IF(AT579="","",TEXT(AT579,"mmmm yyyy"))</f>
        <v/>
      </c>
      <c r="AV579" s="29" t="str">
        <f>IF(C579="","",C579-WEEKDAY(C579,2)+1)</f>
        <v/>
      </c>
      <c r="AW579" s="29" t="str">
        <f>IF(AV579="","",AV579+6)</f>
        <v/>
      </c>
      <c r="AX579" s="28" t="str">
        <f>IF(AV579="","",TEXT(AV579,"dd/mm/yyyy")&amp;" - "&amp;TEXT(AW579,"dd/mm/yyyy"))</f>
        <v/>
      </c>
      <c r="AY579" s="28" t="str">
        <f>IF(B579="","",COUNTIFS($B$5:B579,B579,$AT$5:AT579,AT579))</f>
        <v/>
      </c>
      <c r="AZ579" s="28" t="str">
        <f>IF(B579="","",COUNTIFS($B$5:B579,B579,$AV$5:AV579,AV579))</f>
        <v/>
      </c>
      <c r="BA579" s="28" t="str">
        <f>IF(B579="","",TEXT(AY579,"00")&amp;"|"&amp;B579&amp;"|"&amp;TEXT(AT579,"yyyymmdd"))</f>
        <v/>
      </c>
      <c r="BB579" s="28" t="str">
        <f>IF(B579="","",TEXT(AZ579,"00")&amp;"|"&amp;B579&amp;"|"&amp;TEXT(AV579,"yyyymmdd"))</f>
        <v/>
      </c>
      <c r="BC579" s="28">
        <f>IF(OR(AQ579="YES",AQ579="Yes",AQ579="Y",AQ579=1),1,0)</f>
        <v>0</v>
      </c>
    </row>
    <row r="580" spans="1:55" ht="15" customHeight="1">
      <c r="A580" s="27"/>
      <c r="B580" s="28"/>
      <c r="C580" s="29"/>
      <c r="D580" s="30"/>
      <c r="E580" s="30"/>
      <c r="F580" s="28"/>
      <c r="G580" s="28"/>
      <c r="H580" s="28"/>
      <c r="I580" s="13"/>
      <c r="J580" s="28"/>
      <c r="K580" s="13"/>
      <c r="L580" s="28"/>
      <c r="M580" s="13"/>
      <c r="N580" s="28"/>
      <c r="O580" s="13"/>
      <c r="P580" s="28"/>
      <c r="Q580" s="20"/>
      <c r="R580" s="28"/>
      <c r="S580" s="20"/>
      <c r="T580" s="28"/>
      <c r="U580" s="13"/>
      <c r="V580" s="28"/>
      <c r="W580" s="13"/>
      <c r="X580" s="28"/>
      <c r="Y580" s="13"/>
      <c r="Z580" s="28"/>
      <c r="AA580" s="13"/>
      <c r="AB580" s="28"/>
      <c r="AC580" s="13"/>
      <c r="AD580" s="28"/>
      <c r="AE580" s="13"/>
      <c r="AF580" s="28"/>
      <c r="AG580" s="13"/>
      <c r="AH580" s="28"/>
      <c r="AI580" s="13"/>
      <c r="AJ580" s="28"/>
      <c r="AK580" s="13"/>
      <c r="AL580" s="28"/>
      <c r="AM580" s="13"/>
      <c r="AN580" s="28"/>
      <c r="AO580" s="13"/>
      <c r="AP580" s="28"/>
      <c r="AQ580" s="13"/>
      <c r="AR580" s="28"/>
      <c r="AS580" s="19">
        <f>SUM(H580,J580,L580,N580,P580,R580,T580,V580,X580,Z580,AB580,AD580,AF580,AH580,AJ580,AL580,AN580)</f>
        <v>0</v>
      </c>
      <c r="AT580" s="29" t="str">
        <f>IF(C580="","",DATE(YEAR(C580),MONTH(C580),1))</f>
        <v/>
      </c>
      <c r="AU580" s="28" t="str">
        <f>IF(AT580="","",TEXT(AT580,"mmmm yyyy"))</f>
        <v/>
      </c>
      <c r="AV580" s="29" t="str">
        <f>IF(C580="","",C580-WEEKDAY(C580,2)+1)</f>
        <v/>
      </c>
      <c r="AW580" s="29" t="str">
        <f>IF(AV580="","",AV580+6)</f>
        <v/>
      </c>
      <c r="AX580" s="28" t="str">
        <f>IF(AV580="","",TEXT(AV580,"dd/mm/yyyy")&amp;" - "&amp;TEXT(AW580,"dd/mm/yyyy"))</f>
        <v/>
      </c>
      <c r="AY580" s="28" t="str">
        <f>IF(B580="","",COUNTIFS($B$5:B580,B580,$AT$5:AT580,AT580))</f>
        <v/>
      </c>
      <c r="AZ580" s="28" t="str">
        <f>IF(B580="","",COUNTIFS($B$5:B580,B580,$AV$5:AV580,AV580))</f>
        <v/>
      </c>
      <c r="BA580" s="28" t="str">
        <f>IF(B580="","",TEXT(AY580,"00")&amp;"|"&amp;B580&amp;"|"&amp;TEXT(AT580,"yyyymmdd"))</f>
        <v/>
      </c>
      <c r="BB580" s="28" t="str">
        <f>IF(B580="","",TEXT(AZ580,"00")&amp;"|"&amp;B580&amp;"|"&amp;TEXT(AV580,"yyyymmdd"))</f>
        <v/>
      </c>
      <c r="BC580" s="28">
        <f>IF(OR(AQ580="YES",AQ580="Yes",AQ580="Y",AQ580=1),1,0)</f>
        <v>0</v>
      </c>
    </row>
    <row r="581" spans="1:55" ht="15" customHeight="1">
      <c r="A581" s="27"/>
      <c r="B581" s="28"/>
      <c r="C581" s="29"/>
      <c r="D581" s="30"/>
      <c r="E581" s="30"/>
      <c r="F581" s="28"/>
      <c r="G581" s="28"/>
      <c r="H581" s="28"/>
      <c r="I581" s="13"/>
      <c r="J581" s="28"/>
      <c r="K581" s="13"/>
      <c r="L581" s="28"/>
      <c r="M581" s="13"/>
      <c r="N581" s="28"/>
      <c r="O581" s="13"/>
      <c r="P581" s="28"/>
      <c r="Q581" s="20"/>
      <c r="R581" s="28"/>
      <c r="S581" s="20"/>
      <c r="T581" s="28"/>
      <c r="U581" s="13"/>
      <c r="V581" s="28"/>
      <c r="W581" s="13"/>
      <c r="X581" s="28"/>
      <c r="Y581" s="13"/>
      <c r="Z581" s="28"/>
      <c r="AA581" s="13"/>
      <c r="AB581" s="28"/>
      <c r="AC581" s="13"/>
      <c r="AD581" s="28"/>
      <c r="AE581" s="13"/>
      <c r="AF581" s="28"/>
      <c r="AG581" s="13"/>
      <c r="AH581" s="28"/>
      <c r="AI581" s="13"/>
      <c r="AJ581" s="28"/>
      <c r="AK581" s="13"/>
      <c r="AL581" s="28"/>
      <c r="AM581" s="13"/>
      <c r="AN581" s="28"/>
      <c r="AO581" s="13"/>
      <c r="AP581" s="28"/>
      <c r="AQ581" s="13"/>
      <c r="AR581" s="28"/>
      <c r="AS581" s="19">
        <f>SUM(H581,J581,L581,N581,P581,R581,T581,V581,X581,Z581,AB581,AD581,AF581,AH581,AJ581,AL581,AN581)</f>
        <v>0</v>
      </c>
      <c r="AT581" s="29" t="str">
        <f>IF(C581="","",DATE(YEAR(C581),MONTH(C581),1))</f>
        <v/>
      </c>
      <c r="AU581" s="28" t="str">
        <f>IF(AT581="","",TEXT(AT581,"mmmm yyyy"))</f>
        <v/>
      </c>
      <c r="AV581" s="29" t="str">
        <f>IF(C581="","",C581-WEEKDAY(C581,2)+1)</f>
        <v/>
      </c>
      <c r="AW581" s="29" t="str">
        <f>IF(AV581="","",AV581+6)</f>
        <v/>
      </c>
      <c r="AX581" s="28" t="str">
        <f>IF(AV581="","",TEXT(AV581,"dd/mm/yyyy")&amp;" - "&amp;TEXT(AW581,"dd/mm/yyyy"))</f>
        <v/>
      </c>
      <c r="AY581" s="28" t="str">
        <f>IF(B581="","",COUNTIFS($B$5:B581,B581,$AT$5:AT581,AT581))</f>
        <v/>
      </c>
      <c r="AZ581" s="28" t="str">
        <f>IF(B581="","",COUNTIFS($B$5:B581,B581,$AV$5:AV581,AV581))</f>
        <v/>
      </c>
      <c r="BA581" s="28" t="str">
        <f>IF(B581="","",TEXT(AY581,"00")&amp;"|"&amp;B581&amp;"|"&amp;TEXT(AT581,"yyyymmdd"))</f>
        <v/>
      </c>
      <c r="BB581" s="28" t="str">
        <f>IF(B581="","",TEXT(AZ581,"00")&amp;"|"&amp;B581&amp;"|"&amp;TEXT(AV581,"yyyymmdd"))</f>
        <v/>
      </c>
      <c r="BC581" s="28">
        <f>IF(OR(AQ581="YES",AQ581="Yes",AQ581="Y",AQ581=1),1,0)</f>
        <v>0</v>
      </c>
    </row>
    <row r="582" spans="1:55" ht="15" customHeight="1">
      <c r="A582" s="27"/>
      <c r="B582" s="28"/>
      <c r="C582" s="29"/>
      <c r="D582" s="30"/>
      <c r="E582" s="30"/>
      <c r="F582" s="28"/>
      <c r="G582" s="28"/>
      <c r="H582" s="28"/>
      <c r="I582" s="13"/>
      <c r="J582" s="28"/>
      <c r="K582" s="13"/>
      <c r="L582" s="28"/>
      <c r="M582" s="13"/>
      <c r="N582" s="28"/>
      <c r="O582" s="13"/>
      <c r="P582" s="28"/>
      <c r="Q582" s="20"/>
      <c r="R582" s="28"/>
      <c r="S582" s="20"/>
      <c r="T582" s="28"/>
      <c r="U582" s="13"/>
      <c r="V582" s="28"/>
      <c r="W582" s="13"/>
      <c r="X582" s="28"/>
      <c r="Y582" s="13"/>
      <c r="Z582" s="28"/>
      <c r="AA582" s="13"/>
      <c r="AB582" s="28"/>
      <c r="AC582" s="13"/>
      <c r="AD582" s="28"/>
      <c r="AE582" s="13"/>
      <c r="AF582" s="28"/>
      <c r="AG582" s="13"/>
      <c r="AH582" s="28"/>
      <c r="AI582" s="13"/>
      <c r="AJ582" s="28"/>
      <c r="AK582" s="13"/>
      <c r="AL582" s="28"/>
      <c r="AM582" s="13"/>
      <c r="AN582" s="28"/>
      <c r="AO582" s="13"/>
      <c r="AP582" s="28"/>
      <c r="AQ582" s="13"/>
      <c r="AR582" s="28"/>
      <c r="AS582" s="19">
        <f>SUM(H582,J582,L582,N582,P582,R582,T582,V582,X582,Z582,AB582,AD582,AF582,AH582,AJ582,AL582,AN582)</f>
        <v>0</v>
      </c>
      <c r="AT582" s="29" t="str">
        <f>IF(C582="","",DATE(YEAR(C582),MONTH(C582),1))</f>
        <v/>
      </c>
      <c r="AU582" s="28" t="str">
        <f>IF(AT582="","",TEXT(AT582,"mmmm yyyy"))</f>
        <v/>
      </c>
      <c r="AV582" s="29" t="str">
        <f>IF(C582="","",C582-WEEKDAY(C582,2)+1)</f>
        <v/>
      </c>
      <c r="AW582" s="29" t="str">
        <f>IF(AV582="","",AV582+6)</f>
        <v/>
      </c>
      <c r="AX582" s="28" t="str">
        <f>IF(AV582="","",TEXT(AV582,"dd/mm/yyyy")&amp;" - "&amp;TEXT(AW582,"dd/mm/yyyy"))</f>
        <v/>
      </c>
      <c r="AY582" s="28" t="str">
        <f>IF(B582="","",COUNTIFS($B$5:B582,B582,$AT$5:AT582,AT582))</f>
        <v/>
      </c>
      <c r="AZ582" s="28" t="str">
        <f>IF(B582="","",COUNTIFS($B$5:B582,B582,$AV$5:AV582,AV582))</f>
        <v/>
      </c>
      <c r="BA582" s="28" t="str">
        <f>IF(B582="","",TEXT(AY582,"00")&amp;"|"&amp;B582&amp;"|"&amp;TEXT(AT582,"yyyymmdd"))</f>
        <v/>
      </c>
      <c r="BB582" s="28" t="str">
        <f>IF(B582="","",TEXT(AZ582,"00")&amp;"|"&amp;B582&amp;"|"&amp;TEXT(AV582,"yyyymmdd"))</f>
        <v/>
      </c>
      <c r="BC582" s="28">
        <f>IF(OR(AQ582="YES",AQ582="Yes",AQ582="Y",AQ582=1),1,0)</f>
        <v>0</v>
      </c>
    </row>
    <row r="583" spans="1:55" ht="15" customHeight="1">
      <c r="A583" s="27"/>
      <c r="B583" s="28"/>
      <c r="C583" s="29"/>
      <c r="D583" s="30"/>
      <c r="E583" s="30"/>
      <c r="F583" s="28"/>
      <c r="G583" s="28"/>
      <c r="H583" s="28"/>
      <c r="I583" s="13"/>
      <c r="J583" s="28"/>
      <c r="K583" s="13"/>
      <c r="L583" s="28"/>
      <c r="M583" s="13"/>
      <c r="N583" s="28"/>
      <c r="O583" s="13"/>
      <c r="P583" s="28"/>
      <c r="Q583" s="20"/>
      <c r="R583" s="28"/>
      <c r="S583" s="20"/>
      <c r="T583" s="28"/>
      <c r="U583" s="13"/>
      <c r="V583" s="28"/>
      <c r="W583" s="13"/>
      <c r="X583" s="28"/>
      <c r="Y583" s="13"/>
      <c r="Z583" s="28"/>
      <c r="AA583" s="13"/>
      <c r="AB583" s="28"/>
      <c r="AC583" s="13"/>
      <c r="AD583" s="28"/>
      <c r="AE583" s="13"/>
      <c r="AF583" s="28"/>
      <c r="AG583" s="13"/>
      <c r="AH583" s="28"/>
      <c r="AI583" s="13"/>
      <c r="AJ583" s="28"/>
      <c r="AK583" s="13"/>
      <c r="AL583" s="28"/>
      <c r="AM583" s="13"/>
      <c r="AN583" s="28"/>
      <c r="AO583" s="13"/>
      <c r="AP583" s="28"/>
      <c r="AQ583" s="13"/>
      <c r="AR583" s="28"/>
      <c r="AS583" s="19">
        <f>SUM(H583,J583,L583,N583,P583,R583,T583,V583,X583,Z583,AB583,AD583,AF583,AH583,AJ583,AL583,AN583)</f>
        <v>0</v>
      </c>
      <c r="AT583" s="29" t="str">
        <f>IF(C583="","",DATE(YEAR(C583),MONTH(C583),1))</f>
        <v/>
      </c>
      <c r="AU583" s="28" t="str">
        <f>IF(AT583="","",TEXT(AT583,"mmmm yyyy"))</f>
        <v/>
      </c>
      <c r="AV583" s="29" t="str">
        <f>IF(C583="","",C583-WEEKDAY(C583,2)+1)</f>
        <v/>
      </c>
      <c r="AW583" s="29" t="str">
        <f>IF(AV583="","",AV583+6)</f>
        <v/>
      </c>
      <c r="AX583" s="28" t="str">
        <f>IF(AV583="","",TEXT(AV583,"dd/mm/yyyy")&amp;" - "&amp;TEXT(AW583,"dd/mm/yyyy"))</f>
        <v/>
      </c>
      <c r="AY583" s="28" t="str">
        <f>IF(B583="","",COUNTIFS($B$5:B583,B583,$AT$5:AT583,AT583))</f>
        <v/>
      </c>
      <c r="AZ583" s="28" t="str">
        <f>IF(B583="","",COUNTIFS($B$5:B583,B583,$AV$5:AV583,AV583))</f>
        <v/>
      </c>
      <c r="BA583" s="28" t="str">
        <f>IF(B583="","",TEXT(AY583,"00")&amp;"|"&amp;B583&amp;"|"&amp;TEXT(AT583,"yyyymmdd"))</f>
        <v/>
      </c>
      <c r="BB583" s="28" t="str">
        <f>IF(B583="","",TEXT(AZ583,"00")&amp;"|"&amp;B583&amp;"|"&amp;TEXT(AV583,"yyyymmdd"))</f>
        <v/>
      </c>
      <c r="BC583" s="28">
        <f>IF(OR(AQ583="YES",AQ583="Yes",AQ583="Y",AQ583=1),1,0)</f>
        <v>0</v>
      </c>
    </row>
    <row r="584" spans="1:55" ht="15" customHeight="1">
      <c r="A584" s="27"/>
      <c r="B584" s="28"/>
      <c r="C584" s="29"/>
      <c r="D584" s="30"/>
      <c r="E584" s="30"/>
      <c r="F584" s="28"/>
      <c r="G584" s="28"/>
      <c r="H584" s="28"/>
      <c r="I584" s="13"/>
      <c r="J584" s="28"/>
      <c r="K584" s="13"/>
      <c r="L584" s="28"/>
      <c r="M584" s="13"/>
      <c r="N584" s="28"/>
      <c r="O584" s="13"/>
      <c r="P584" s="28"/>
      <c r="Q584" s="20"/>
      <c r="R584" s="28"/>
      <c r="S584" s="20"/>
      <c r="T584" s="28"/>
      <c r="U584" s="13"/>
      <c r="V584" s="28"/>
      <c r="W584" s="13"/>
      <c r="X584" s="28"/>
      <c r="Y584" s="13"/>
      <c r="Z584" s="28"/>
      <c r="AA584" s="13"/>
      <c r="AB584" s="28"/>
      <c r="AC584" s="13"/>
      <c r="AD584" s="28"/>
      <c r="AE584" s="13"/>
      <c r="AF584" s="28"/>
      <c r="AG584" s="13"/>
      <c r="AH584" s="28"/>
      <c r="AI584" s="13"/>
      <c r="AJ584" s="28"/>
      <c r="AK584" s="13"/>
      <c r="AL584" s="28"/>
      <c r="AM584" s="13"/>
      <c r="AN584" s="28"/>
      <c r="AO584" s="13"/>
      <c r="AP584" s="28"/>
      <c r="AQ584" s="13"/>
      <c r="AR584" s="28"/>
      <c r="AS584" s="19">
        <f>SUM(H584,J584,L584,N584,P584,R584,T584,V584,X584,Z584,AB584,AD584,AF584,AH584,AJ584,AL584,AN584)</f>
        <v>0</v>
      </c>
      <c r="AT584" s="29" t="str">
        <f>IF(C584="","",DATE(YEAR(C584),MONTH(C584),1))</f>
        <v/>
      </c>
      <c r="AU584" s="28" t="str">
        <f>IF(AT584="","",TEXT(AT584,"mmmm yyyy"))</f>
        <v/>
      </c>
      <c r="AV584" s="29" t="str">
        <f>IF(C584="","",C584-WEEKDAY(C584,2)+1)</f>
        <v/>
      </c>
      <c r="AW584" s="29" t="str">
        <f>IF(AV584="","",AV584+6)</f>
        <v/>
      </c>
      <c r="AX584" s="28" t="str">
        <f>IF(AV584="","",TEXT(AV584,"dd/mm/yyyy")&amp;" - "&amp;TEXT(AW584,"dd/mm/yyyy"))</f>
        <v/>
      </c>
      <c r="AY584" s="28" t="str">
        <f>IF(B584="","",COUNTIFS($B$5:B584,B584,$AT$5:AT584,AT584))</f>
        <v/>
      </c>
      <c r="AZ584" s="28" t="str">
        <f>IF(B584="","",COUNTIFS($B$5:B584,B584,$AV$5:AV584,AV584))</f>
        <v/>
      </c>
      <c r="BA584" s="28" t="str">
        <f>IF(B584="","",TEXT(AY584,"00")&amp;"|"&amp;B584&amp;"|"&amp;TEXT(AT584,"yyyymmdd"))</f>
        <v/>
      </c>
      <c r="BB584" s="28" t="str">
        <f>IF(B584="","",TEXT(AZ584,"00")&amp;"|"&amp;B584&amp;"|"&amp;TEXT(AV584,"yyyymmdd"))</f>
        <v/>
      </c>
      <c r="BC584" s="28">
        <f>IF(OR(AQ584="YES",AQ584="Yes",AQ584="Y",AQ584=1),1,0)</f>
        <v>0</v>
      </c>
    </row>
    <row r="585" spans="1:55" ht="15" customHeight="1">
      <c r="A585" s="27"/>
      <c r="B585" s="28"/>
      <c r="C585" s="29"/>
      <c r="D585" s="30"/>
      <c r="E585" s="30"/>
      <c r="F585" s="28"/>
      <c r="G585" s="28"/>
      <c r="H585" s="28"/>
      <c r="I585" s="13"/>
      <c r="J585" s="28"/>
      <c r="K585" s="13"/>
      <c r="L585" s="28"/>
      <c r="M585" s="13"/>
      <c r="N585" s="28"/>
      <c r="O585" s="13"/>
      <c r="P585" s="28"/>
      <c r="Q585" s="20"/>
      <c r="R585" s="28"/>
      <c r="S585" s="20"/>
      <c r="T585" s="28"/>
      <c r="U585" s="13"/>
      <c r="V585" s="28"/>
      <c r="W585" s="13"/>
      <c r="X585" s="28"/>
      <c r="Y585" s="13"/>
      <c r="Z585" s="28"/>
      <c r="AA585" s="13"/>
      <c r="AB585" s="28"/>
      <c r="AC585" s="13"/>
      <c r="AD585" s="28"/>
      <c r="AE585" s="13"/>
      <c r="AF585" s="28"/>
      <c r="AG585" s="13"/>
      <c r="AH585" s="28"/>
      <c r="AI585" s="13"/>
      <c r="AJ585" s="28"/>
      <c r="AK585" s="13"/>
      <c r="AL585" s="28"/>
      <c r="AM585" s="13"/>
      <c r="AN585" s="28"/>
      <c r="AO585" s="13"/>
      <c r="AP585" s="28"/>
      <c r="AQ585" s="13"/>
      <c r="AR585" s="28"/>
      <c r="AS585" s="19">
        <f>SUM(H585,J585,L585,N585,P585,R585,T585,V585,X585,Z585,AB585,AD585,AF585,AH585,AJ585,AL585,AN585)</f>
        <v>0</v>
      </c>
      <c r="AT585" s="29" t="str">
        <f>IF(C585="","",DATE(YEAR(C585),MONTH(C585),1))</f>
        <v/>
      </c>
      <c r="AU585" s="28" t="str">
        <f>IF(AT585="","",TEXT(AT585,"mmmm yyyy"))</f>
        <v/>
      </c>
      <c r="AV585" s="29" t="str">
        <f>IF(C585="","",C585-WEEKDAY(C585,2)+1)</f>
        <v/>
      </c>
      <c r="AW585" s="29" t="str">
        <f>IF(AV585="","",AV585+6)</f>
        <v/>
      </c>
      <c r="AX585" s="28" t="str">
        <f>IF(AV585="","",TEXT(AV585,"dd/mm/yyyy")&amp;" - "&amp;TEXT(AW585,"dd/mm/yyyy"))</f>
        <v/>
      </c>
      <c r="AY585" s="28" t="str">
        <f>IF(B585="","",COUNTIFS($B$5:B585,B585,$AT$5:AT585,AT585))</f>
        <v/>
      </c>
      <c r="AZ585" s="28" t="str">
        <f>IF(B585="","",COUNTIFS($B$5:B585,B585,$AV$5:AV585,AV585))</f>
        <v/>
      </c>
      <c r="BA585" s="28" t="str">
        <f>IF(B585="","",TEXT(AY585,"00")&amp;"|"&amp;B585&amp;"|"&amp;TEXT(AT585,"yyyymmdd"))</f>
        <v/>
      </c>
      <c r="BB585" s="28" t="str">
        <f>IF(B585="","",TEXT(AZ585,"00")&amp;"|"&amp;B585&amp;"|"&amp;TEXT(AV585,"yyyymmdd"))</f>
        <v/>
      </c>
      <c r="BC585" s="28">
        <f>IF(OR(AQ585="YES",AQ585="Yes",AQ585="Y",AQ585=1),1,0)</f>
        <v>0</v>
      </c>
    </row>
    <row r="586" spans="1:55" ht="15" customHeight="1">
      <c r="A586" s="27"/>
      <c r="B586" s="28"/>
      <c r="C586" s="29"/>
      <c r="D586" s="30"/>
      <c r="E586" s="30"/>
      <c r="F586" s="28"/>
      <c r="G586" s="28"/>
      <c r="H586" s="28"/>
      <c r="I586" s="13"/>
      <c r="J586" s="28"/>
      <c r="K586" s="13"/>
      <c r="L586" s="28"/>
      <c r="M586" s="13"/>
      <c r="N586" s="28"/>
      <c r="O586" s="13"/>
      <c r="P586" s="28"/>
      <c r="Q586" s="20"/>
      <c r="R586" s="28"/>
      <c r="S586" s="20"/>
      <c r="T586" s="28"/>
      <c r="U586" s="13"/>
      <c r="V586" s="28"/>
      <c r="W586" s="13"/>
      <c r="X586" s="28"/>
      <c r="Y586" s="13"/>
      <c r="Z586" s="28"/>
      <c r="AA586" s="13"/>
      <c r="AB586" s="28"/>
      <c r="AC586" s="13"/>
      <c r="AD586" s="28"/>
      <c r="AE586" s="13"/>
      <c r="AF586" s="28"/>
      <c r="AG586" s="13"/>
      <c r="AH586" s="28"/>
      <c r="AI586" s="13"/>
      <c r="AJ586" s="28"/>
      <c r="AK586" s="13"/>
      <c r="AL586" s="28"/>
      <c r="AM586" s="13"/>
      <c r="AN586" s="28"/>
      <c r="AO586" s="13"/>
      <c r="AP586" s="28"/>
      <c r="AQ586" s="13"/>
      <c r="AR586" s="28"/>
      <c r="AS586" s="19">
        <f>SUM(H586,J586,L586,N586,P586,R586,T586,V586,X586,Z586,AB586,AD586,AF586,AH586,AJ586,AL586,AN586)</f>
        <v>0</v>
      </c>
      <c r="AT586" s="29" t="str">
        <f>IF(C586="","",DATE(YEAR(C586),MONTH(C586),1))</f>
        <v/>
      </c>
      <c r="AU586" s="28" t="str">
        <f>IF(AT586="","",TEXT(AT586,"mmmm yyyy"))</f>
        <v/>
      </c>
      <c r="AV586" s="29" t="str">
        <f>IF(C586="","",C586-WEEKDAY(C586,2)+1)</f>
        <v/>
      </c>
      <c r="AW586" s="29" t="str">
        <f>IF(AV586="","",AV586+6)</f>
        <v/>
      </c>
      <c r="AX586" s="28" t="str">
        <f>IF(AV586="","",TEXT(AV586,"dd/mm/yyyy")&amp;" - "&amp;TEXT(AW586,"dd/mm/yyyy"))</f>
        <v/>
      </c>
      <c r="AY586" s="28" t="str">
        <f>IF(B586="","",COUNTIFS($B$5:B586,B586,$AT$5:AT586,AT586))</f>
        <v/>
      </c>
      <c r="AZ586" s="28" t="str">
        <f>IF(B586="","",COUNTIFS($B$5:B586,B586,$AV$5:AV586,AV586))</f>
        <v/>
      </c>
      <c r="BA586" s="28" t="str">
        <f>IF(B586="","",TEXT(AY586,"00")&amp;"|"&amp;B586&amp;"|"&amp;TEXT(AT586,"yyyymmdd"))</f>
        <v/>
      </c>
      <c r="BB586" s="28" t="str">
        <f>IF(B586="","",TEXT(AZ586,"00")&amp;"|"&amp;B586&amp;"|"&amp;TEXT(AV586,"yyyymmdd"))</f>
        <v/>
      </c>
      <c r="BC586" s="28">
        <f>IF(OR(AQ586="YES",AQ586="Yes",AQ586="Y",AQ586=1),1,0)</f>
        <v>0</v>
      </c>
    </row>
    <row r="587" spans="1:55" ht="15" customHeight="1">
      <c r="A587" s="27"/>
      <c r="B587" s="28"/>
      <c r="C587" s="29"/>
      <c r="D587" s="30"/>
      <c r="E587" s="30"/>
      <c r="F587" s="28"/>
      <c r="G587" s="28"/>
      <c r="H587" s="28"/>
      <c r="I587" s="13"/>
      <c r="J587" s="28"/>
      <c r="K587" s="13"/>
      <c r="L587" s="28"/>
      <c r="M587" s="13"/>
      <c r="N587" s="28"/>
      <c r="O587" s="13"/>
      <c r="P587" s="28"/>
      <c r="Q587" s="20"/>
      <c r="R587" s="28"/>
      <c r="S587" s="20"/>
      <c r="T587" s="28"/>
      <c r="U587" s="13"/>
      <c r="V587" s="28"/>
      <c r="W587" s="13"/>
      <c r="X587" s="28"/>
      <c r="Y587" s="13"/>
      <c r="Z587" s="28"/>
      <c r="AA587" s="13"/>
      <c r="AB587" s="28"/>
      <c r="AC587" s="13"/>
      <c r="AD587" s="28"/>
      <c r="AE587" s="13"/>
      <c r="AF587" s="28"/>
      <c r="AG587" s="13"/>
      <c r="AH587" s="28"/>
      <c r="AI587" s="13"/>
      <c r="AJ587" s="28"/>
      <c r="AK587" s="13"/>
      <c r="AL587" s="28"/>
      <c r="AM587" s="13"/>
      <c r="AN587" s="28"/>
      <c r="AO587" s="13"/>
      <c r="AP587" s="28"/>
      <c r="AQ587" s="13"/>
      <c r="AR587" s="28"/>
      <c r="AS587" s="19">
        <f>SUM(H587,J587,L587,N587,P587,R587,T587,V587,X587,Z587,AB587,AD587,AF587,AH587,AJ587,AL587,AN587)</f>
        <v>0</v>
      </c>
      <c r="AT587" s="29" t="str">
        <f>IF(C587="","",DATE(YEAR(C587),MONTH(C587),1))</f>
        <v/>
      </c>
      <c r="AU587" s="28" t="str">
        <f>IF(AT587="","",TEXT(AT587,"mmmm yyyy"))</f>
        <v/>
      </c>
      <c r="AV587" s="29" t="str">
        <f>IF(C587="","",C587-WEEKDAY(C587,2)+1)</f>
        <v/>
      </c>
      <c r="AW587" s="29" t="str">
        <f>IF(AV587="","",AV587+6)</f>
        <v/>
      </c>
      <c r="AX587" s="28" t="str">
        <f>IF(AV587="","",TEXT(AV587,"dd/mm/yyyy")&amp;" - "&amp;TEXT(AW587,"dd/mm/yyyy"))</f>
        <v/>
      </c>
      <c r="AY587" s="28" t="str">
        <f>IF(B587="","",COUNTIFS($B$5:B587,B587,$AT$5:AT587,AT587))</f>
        <v/>
      </c>
      <c r="AZ587" s="28" t="str">
        <f>IF(B587="","",COUNTIFS($B$5:B587,B587,$AV$5:AV587,AV587))</f>
        <v/>
      </c>
      <c r="BA587" s="28" t="str">
        <f>IF(B587="","",TEXT(AY587,"00")&amp;"|"&amp;B587&amp;"|"&amp;TEXT(AT587,"yyyymmdd"))</f>
        <v/>
      </c>
      <c r="BB587" s="28" t="str">
        <f>IF(B587="","",TEXT(AZ587,"00")&amp;"|"&amp;B587&amp;"|"&amp;TEXT(AV587,"yyyymmdd"))</f>
        <v/>
      </c>
      <c r="BC587" s="28">
        <f>IF(OR(AQ587="YES",AQ587="Yes",AQ587="Y",AQ587=1),1,0)</f>
        <v>0</v>
      </c>
    </row>
    <row r="588" spans="1:55" ht="15" customHeight="1">
      <c r="A588" s="27"/>
      <c r="B588" s="28"/>
      <c r="C588" s="29"/>
      <c r="D588" s="30"/>
      <c r="E588" s="30"/>
      <c r="F588" s="28"/>
      <c r="G588" s="28"/>
      <c r="H588" s="28"/>
      <c r="I588" s="13"/>
      <c r="J588" s="28"/>
      <c r="K588" s="13"/>
      <c r="L588" s="28"/>
      <c r="M588" s="13"/>
      <c r="N588" s="28"/>
      <c r="O588" s="13"/>
      <c r="P588" s="28"/>
      <c r="Q588" s="20"/>
      <c r="R588" s="28"/>
      <c r="S588" s="20"/>
      <c r="T588" s="28"/>
      <c r="U588" s="13"/>
      <c r="V588" s="28"/>
      <c r="W588" s="13"/>
      <c r="X588" s="28"/>
      <c r="Y588" s="13"/>
      <c r="Z588" s="28"/>
      <c r="AA588" s="13"/>
      <c r="AB588" s="28"/>
      <c r="AC588" s="13"/>
      <c r="AD588" s="28"/>
      <c r="AE588" s="13"/>
      <c r="AF588" s="28"/>
      <c r="AG588" s="13"/>
      <c r="AH588" s="28"/>
      <c r="AI588" s="13"/>
      <c r="AJ588" s="28"/>
      <c r="AK588" s="13"/>
      <c r="AL588" s="28"/>
      <c r="AM588" s="13"/>
      <c r="AN588" s="28"/>
      <c r="AO588" s="13"/>
      <c r="AP588" s="28"/>
      <c r="AQ588" s="13"/>
      <c r="AR588" s="28"/>
      <c r="AS588" s="19">
        <f>SUM(H588,J588,L588,N588,P588,R588,T588,V588,X588,Z588,AB588,AD588,AF588,AH588,AJ588,AL588,AN588)</f>
        <v>0</v>
      </c>
      <c r="AT588" s="29" t="str">
        <f>IF(C588="","",DATE(YEAR(C588),MONTH(C588),1))</f>
        <v/>
      </c>
      <c r="AU588" s="28" t="str">
        <f>IF(AT588="","",TEXT(AT588,"mmmm yyyy"))</f>
        <v/>
      </c>
      <c r="AV588" s="29" t="str">
        <f>IF(C588="","",C588-WEEKDAY(C588,2)+1)</f>
        <v/>
      </c>
      <c r="AW588" s="29" t="str">
        <f>IF(AV588="","",AV588+6)</f>
        <v/>
      </c>
      <c r="AX588" s="28" t="str">
        <f>IF(AV588="","",TEXT(AV588,"dd/mm/yyyy")&amp;" - "&amp;TEXT(AW588,"dd/mm/yyyy"))</f>
        <v/>
      </c>
      <c r="AY588" s="28" t="str">
        <f>IF(B588="","",COUNTIFS($B$5:B588,B588,$AT$5:AT588,AT588))</f>
        <v/>
      </c>
      <c r="AZ588" s="28" t="str">
        <f>IF(B588="","",COUNTIFS($B$5:B588,B588,$AV$5:AV588,AV588))</f>
        <v/>
      </c>
      <c r="BA588" s="28" t="str">
        <f>IF(B588="","",TEXT(AY588,"00")&amp;"|"&amp;B588&amp;"|"&amp;TEXT(AT588,"yyyymmdd"))</f>
        <v/>
      </c>
      <c r="BB588" s="28" t="str">
        <f>IF(B588="","",TEXT(AZ588,"00")&amp;"|"&amp;B588&amp;"|"&amp;TEXT(AV588,"yyyymmdd"))</f>
        <v/>
      </c>
      <c r="BC588" s="28">
        <f>IF(OR(AQ588="YES",AQ588="Yes",AQ588="Y",AQ588=1),1,0)</f>
        <v>0</v>
      </c>
    </row>
    <row r="589" spans="1:55" ht="15" customHeight="1">
      <c r="A589" s="27"/>
      <c r="B589" s="28"/>
      <c r="C589" s="29"/>
      <c r="D589" s="30"/>
      <c r="E589" s="30"/>
      <c r="F589" s="28"/>
      <c r="G589" s="28"/>
      <c r="H589" s="28"/>
      <c r="I589" s="13"/>
      <c r="J589" s="28"/>
      <c r="K589" s="13"/>
      <c r="L589" s="28"/>
      <c r="M589" s="13"/>
      <c r="N589" s="28"/>
      <c r="O589" s="13"/>
      <c r="P589" s="28"/>
      <c r="Q589" s="20"/>
      <c r="R589" s="28"/>
      <c r="S589" s="20"/>
      <c r="T589" s="28"/>
      <c r="U589" s="13"/>
      <c r="V589" s="28"/>
      <c r="W589" s="13"/>
      <c r="X589" s="28"/>
      <c r="Y589" s="13"/>
      <c r="Z589" s="28"/>
      <c r="AA589" s="13"/>
      <c r="AB589" s="28"/>
      <c r="AC589" s="13"/>
      <c r="AD589" s="28"/>
      <c r="AE589" s="13"/>
      <c r="AF589" s="28"/>
      <c r="AG589" s="13"/>
      <c r="AH589" s="28"/>
      <c r="AI589" s="13"/>
      <c r="AJ589" s="28"/>
      <c r="AK589" s="13"/>
      <c r="AL589" s="28"/>
      <c r="AM589" s="13"/>
      <c r="AN589" s="28"/>
      <c r="AO589" s="13"/>
      <c r="AP589" s="28"/>
      <c r="AQ589" s="13"/>
      <c r="AR589" s="28"/>
      <c r="AS589" s="19">
        <f>SUM(H589,J589,L589,N589,P589,R589,T589,V589,X589,Z589,AB589,AD589,AF589,AH589,AJ589,AL589,AN589)</f>
        <v>0</v>
      </c>
      <c r="AT589" s="29" t="str">
        <f>IF(C589="","",DATE(YEAR(C589),MONTH(C589),1))</f>
        <v/>
      </c>
      <c r="AU589" s="28" t="str">
        <f>IF(AT589="","",TEXT(AT589,"mmmm yyyy"))</f>
        <v/>
      </c>
      <c r="AV589" s="29" t="str">
        <f>IF(C589="","",C589-WEEKDAY(C589,2)+1)</f>
        <v/>
      </c>
      <c r="AW589" s="29" t="str">
        <f>IF(AV589="","",AV589+6)</f>
        <v/>
      </c>
      <c r="AX589" s="28" t="str">
        <f>IF(AV589="","",TEXT(AV589,"dd/mm/yyyy")&amp;" - "&amp;TEXT(AW589,"dd/mm/yyyy"))</f>
        <v/>
      </c>
      <c r="AY589" s="28" t="str">
        <f>IF(B589="","",COUNTIFS($B$5:B589,B589,$AT$5:AT589,AT589))</f>
        <v/>
      </c>
      <c r="AZ589" s="28" t="str">
        <f>IF(B589="","",COUNTIFS($B$5:B589,B589,$AV$5:AV589,AV589))</f>
        <v/>
      </c>
      <c r="BA589" s="28" t="str">
        <f>IF(B589="","",TEXT(AY589,"00")&amp;"|"&amp;B589&amp;"|"&amp;TEXT(AT589,"yyyymmdd"))</f>
        <v/>
      </c>
      <c r="BB589" s="28" t="str">
        <f>IF(B589="","",TEXT(AZ589,"00")&amp;"|"&amp;B589&amp;"|"&amp;TEXT(AV589,"yyyymmdd"))</f>
        <v/>
      </c>
      <c r="BC589" s="28">
        <f>IF(OR(AQ589="YES",AQ589="Yes",AQ589="Y",AQ589=1),1,0)</f>
        <v>0</v>
      </c>
    </row>
    <row r="590" spans="1:55" ht="15" customHeight="1">
      <c r="A590" s="27"/>
      <c r="B590" s="28"/>
      <c r="C590" s="29"/>
      <c r="D590" s="30"/>
      <c r="E590" s="30"/>
      <c r="F590" s="28"/>
      <c r="G590" s="28"/>
      <c r="H590" s="28"/>
      <c r="I590" s="13"/>
      <c r="J590" s="28"/>
      <c r="K590" s="13"/>
      <c r="L590" s="28"/>
      <c r="M590" s="13"/>
      <c r="N590" s="28"/>
      <c r="O590" s="13"/>
      <c r="P590" s="28"/>
      <c r="Q590" s="20"/>
      <c r="R590" s="28"/>
      <c r="S590" s="20"/>
      <c r="T590" s="28"/>
      <c r="U590" s="13"/>
      <c r="V590" s="28"/>
      <c r="W590" s="13"/>
      <c r="X590" s="28"/>
      <c r="Y590" s="13"/>
      <c r="Z590" s="28"/>
      <c r="AA590" s="13"/>
      <c r="AB590" s="28"/>
      <c r="AC590" s="13"/>
      <c r="AD590" s="28"/>
      <c r="AE590" s="13"/>
      <c r="AF590" s="28"/>
      <c r="AG590" s="13"/>
      <c r="AH590" s="28"/>
      <c r="AI590" s="13"/>
      <c r="AJ590" s="28"/>
      <c r="AK590" s="13"/>
      <c r="AL590" s="28"/>
      <c r="AM590" s="13"/>
      <c r="AN590" s="28"/>
      <c r="AO590" s="13"/>
      <c r="AP590" s="28"/>
      <c r="AQ590" s="13"/>
      <c r="AR590" s="28"/>
      <c r="AS590" s="19">
        <f>SUM(H590,J590,L590,N590,P590,R590,T590,V590,X590,Z590,AB590,AD590,AF590,AH590,AJ590,AL590,AN590)</f>
        <v>0</v>
      </c>
      <c r="AT590" s="29" t="str">
        <f>IF(C590="","",DATE(YEAR(C590),MONTH(C590),1))</f>
        <v/>
      </c>
      <c r="AU590" s="28" t="str">
        <f>IF(AT590="","",TEXT(AT590,"mmmm yyyy"))</f>
        <v/>
      </c>
      <c r="AV590" s="29" t="str">
        <f>IF(C590="","",C590-WEEKDAY(C590,2)+1)</f>
        <v/>
      </c>
      <c r="AW590" s="29" t="str">
        <f>IF(AV590="","",AV590+6)</f>
        <v/>
      </c>
      <c r="AX590" s="28" t="str">
        <f>IF(AV590="","",TEXT(AV590,"dd/mm/yyyy")&amp;" - "&amp;TEXT(AW590,"dd/mm/yyyy"))</f>
        <v/>
      </c>
      <c r="AY590" s="28" t="str">
        <f>IF(B590="","",COUNTIFS($B$5:B590,B590,$AT$5:AT590,AT590))</f>
        <v/>
      </c>
      <c r="AZ590" s="28" t="str">
        <f>IF(B590="","",COUNTIFS($B$5:B590,B590,$AV$5:AV590,AV590))</f>
        <v/>
      </c>
      <c r="BA590" s="28" t="str">
        <f>IF(B590="","",TEXT(AY590,"00")&amp;"|"&amp;B590&amp;"|"&amp;TEXT(AT590,"yyyymmdd"))</f>
        <v/>
      </c>
      <c r="BB590" s="28" t="str">
        <f>IF(B590="","",TEXT(AZ590,"00")&amp;"|"&amp;B590&amp;"|"&amp;TEXT(AV590,"yyyymmdd"))</f>
        <v/>
      </c>
      <c r="BC590" s="28">
        <f>IF(OR(AQ590="YES",AQ590="Yes",AQ590="Y",AQ590=1),1,0)</f>
        <v>0</v>
      </c>
    </row>
    <row r="591" spans="1:55" ht="15" customHeight="1">
      <c r="A591" s="27"/>
      <c r="B591" s="28"/>
      <c r="C591" s="29"/>
      <c r="D591" s="30"/>
      <c r="E591" s="30"/>
      <c r="F591" s="28"/>
      <c r="G591" s="28"/>
      <c r="H591" s="28"/>
      <c r="I591" s="13"/>
      <c r="J591" s="28"/>
      <c r="K591" s="13"/>
      <c r="L591" s="28"/>
      <c r="M591" s="13"/>
      <c r="N591" s="28"/>
      <c r="O591" s="13"/>
      <c r="P591" s="28"/>
      <c r="Q591" s="20"/>
      <c r="R591" s="28"/>
      <c r="S591" s="20"/>
      <c r="T591" s="28"/>
      <c r="U591" s="13"/>
      <c r="V591" s="28"/>
      <c r="W591" s="13"/>
      <c r="X591" s="28"/>
      <c r="Y591" s="13"/>
      <c r="Z591" s="28"/>
      <c r="AA591" s="13"/>
      <c r="AB591" s="28"/>
      <c r="AC591" s="13"/>
      <c r="AD591" s="28"/>
      <c r="AE591" s="13"/>
      <c r="AF591" s="28"/>
      <c r="AG591" s="13"/>
      <c r="AH591" s="28"/>
      <c r="AI591" s="13"/>
      <c r="AJ591" s="28"/>
      <c r="AK591" s="13"/>
      <c r="AL591" s="28"/>
      <c r="AM591" s="13"/>
      <c r="AN591" s="28"/>
      <c r="AO591" s="13"/>
      <c r="AP591" s="28"/>
      <c r="AQ591" s="13"/>
      <c r="AR591" s="28"/>
      <c r="AS591" s="19">
        <f>SUM(H591,J591,L591,N591,P591,R591,T591,V591,X591,Z591,AB591,AD591,AF591,AH591,AJ591,AL591,AN591)</f>
        <v>0</v>
      </c>
      <c r="AT591" s="29" t="str">
        <f>IF(C591="","",DATE(YEAR(C591),MONTH(C591),1))</f>
        <v/>
      </c>
      <c r="AU591" s="28" t="str">
        <f>IF(AT591="","",TEXT(AT591,"mmmm yyyy"))</f>
        <v/>
      </c>
      <c r="AV591" s="29" t="str">
        <f>IF(C591="","",C591-WEEKDAY(C591,2)+1)</f>
        <v/>
      </c>
      <c r="AW591" s="29" t="str">
        <f>IF(AV591="","",AV591+6)</f>
        <v/>
      </c>
      <c r="AX591" s="28" t="str">
        <f>IF(AV591="","",TEXT(AV591,"dd/mm/yyyy")&amp;" - "&amp;TEXT(AW591,"dd/mm/yyyy"))</f>
        <v/>
      </c>
      <c r="AY591" s="28" t="str">
        <f>IF(B591="","",COUNTIFS($B$5:B591,B591,$AT$5:AT591,AT591))</f>
        <v/>
      </c>
      <c r="AZ591" s="28" t="str">
        <f>IF(B591="","",COUNTIFS($B$5:B591,B591,$AV$5:AV591,AV591))</f>
        <v/>
      </c>
      <c r="BA591" s="28" t="str">
        <f>IF(B591="","",TEXT(AY591,"00")&amp;"|"&amp;B591&amp;"|"&amp;TEXT(AT591,"yyyymmdd"))</f>
        <v/>
      </c>
      <c r="BB591" s="28" t="str">
        <f>IF(B591="","",TEXT(AZ591,"00")&amp;"|"&amp;B591&amp;"|"&amp;TEXT(AV591,"yyyymmdd"))</f>
        <v/>
      </c>
      <c r="BC591" s="28">
        <f>IF(OR(AQ591="YES",AQ591="Yes",AQ591="Y",AQ591=1),1,0)</f>
        <v>0</v>
      </c>
    </row>
    <row r="592" spans="1:55" ht="15" customHeight="1">
      <c r="A592" s="27"/>
      <c r="B592" s="28"/>
      <c r="C592" s="29"/>
      <c r="D592" s="30"/>
      <c r="E592" s="30"/>
      <c r="F592" s="28"/>
      <c r="G592" s="28"/>
      <c r="H592" s="28"/>
      <c r="I592" s="13"/>
      <c r="J592" s="28"/>
      <c r="K592" s="13"/>
      <c r="L592" s="28"/>
      <c r="M592" s="13"/>
      <c r="N592" s="28"/>
      <c r="O592" s="13"/>
      <c r="P592" s="28"/>
      <c r="Q592" s="20"/>
      <c r="R592" s="28"/>
      <c r="S592" s="20"/>
      <c r="T592" s="28"/>
      <c r="U592" s="13"/>
      <c r="V592" s="28"/>
      <c r="W592" s="13"/>
      <c r="X592" s="28"/>
      <c r="Y592" s="13"/>
      <c r="Z592" s="28"/>
      <c r="AA592" s="13"/>
      <c r="AB592" s="28"/>
      <c r="AC592" s="13"/>
      <c r="AD592" s="28"/>
      <c r="AE592" s="13"/>
      <c r="AF592" s="28"/>
      <c r="AG592" s="13"/>
      <c r="AH592" s="28"/>
      <c r="AI592" s="13"/>
      <c r="AJ592" s="28"/>
      <c r="AK592" s="13"/>
      <c r="AL592" s="28"/>
      <c r="AM592" s="13"/>
      <c r="AN592" s="28"/>
      <c r="AO592" s="13"/>
      <c r="AP592" s="28"/>
      <c r="AQ592" s="13"/>
      <c r="AR592" s="28"/>
      <c r="AS592" s="19">
        <f>SUM(H592,J592,L592,N592,P592,R592,T592,V592,X592,Z592,AB592,AD592,AF592,AH592,AJ592,AL592,AN592)</f>
        <v>0</v>
      </c>
      <c r="AT592" s="29" t="str">
        <f>IF(C592="","",DATE(YEAR(C592),MONTH(C592),1))</f>
        <v/>
      </c>
      <c r="AU592" s="28" t="str">
        <f>IF(AT592="","",TEXT(AT592,"mmmm yyyy"))</f>
        <v/>
      </c>
      <c r="AV592" s="29" t="str">
        <f>IF(C592="","",C592-WEEKDAY(C592,2)+1)</f>
        <v/>
      </c>
      <c r="AW592" s="29" t="str">
        <f>IF(AV592="","",AV592+6)</f>
        <v/>
      </c>
      <c r="AX592" s="28" t="str">
        <f>IF(AV592="","",TEXT(AV592,"dd/mm/yyyy")&amp;" - "&amp;TEXT(AW592,"dd/mm/yyyy"))</f>
        <v/>
      </c>
      <c r="AY592" s="28" t="str">
        <f>IF(B592="","",COUNTIFS($B$5:B592,B592,$AT$5:AT592,AT592))</f>
        <v/>
      </c>
      <c r="AZ592" s="28" t="str">
        <f>IF(B592="","",COUNTIFS($B$5:B592,B592,$AV$5:AV592,AV592))</f>
        <v/>
      </c>
      <c r="BA592" s="28" t="str">
        <f>IF(B592="","",TEXT(AY592,"00")&amp;"|"&amp;B592&amp;"|"&amp;TEXT(AT592,"yyyymmdd"))</f>
        <v/>
      </c>
      <c r="BB592" s="28" t="str">
        <f>IF(B592="","",TEXT(AZ592,"00")&amp;"|"&amp;B592&amp;"|"&amp;TEXT(AV592,"yyyymmdd"))</f>
        <v/>
      </c>
      <c r="BC592" s="28">
        <f>IF(OR(AQ592="YES",AQ592="Yes",AQ592="Y",AQ592=1),1,0)</f>
        <v>0</v>
      </c>
    </row>
    <row r="593" spans="1:55" ht="15" customHeight="1">
      <c r="A593" s="27"/>
      <c r="B593" s="28"/>
      <c r="C593" s="29"/>
      <c r="D593" s="30"/>
      <c r="E593" s="30"/>
      <c r="F593" s="28"/>
      <c r="G593" s="28"/>
      <c r="H593" s="28"/>
      <c r="I593" s="13"/>
      <c r="J593" s="28"/>
      <c r="K593" s="13"/>
      <c r="L593" s="28"/>
      <c r="M593" s="13"/>
      <c r="N593" s="28"/>
      <c r="O593" s="13"/>
      <c r="P593" s="28"/>
      <c r="Q593" s="20"/>
      <c r="R593" s="28"/>
      <c r="S593" s="20"/>
      <c r="T593" s="28"/>
      <c r="U593" s="13"/>
      <c r="V593" s="28"/>
      <c r="W593" s="13"/>
      <c r="X593" s="28"/>
      <c r="Y593" s="13"/>
      <c r="Z593" s="28"/>
      <c r="AA593" s="13"/>
      <c r="AB593" s="28"/>
      <c r="AC593" s="13"/>
      <c r="AD593" s="28"/>
      <c r="AE593" s="13"/>
      <c r="AF593" s="28"/>
      <c r="AG593" s="13"/>
      <c r="AH593" s="28"/>
      <c r="AI593" s="13"/>
      <c r="AJ593" s="28"/>
      <c r="AK593" s="13"/>
      <c r="AL593" s="28"/>
      <c r="AM593" s="13"/>
      <c r="AN593" s="28"/>
      <c r="AO593" s="13"/>
      <c r="AP593" s="28"/>
      <c r="AQ593" s="13"/>
      <c r="AR593" s="28"/>
      <c r="AS593" s="19">
        <f>SUM(H593,J593,L593,N593,P593,R593,T593,V593,X593,Z593,AB593,AD593,AF593,AH593,AJ593,AL593,AN593)</f>
        <v>0</v>
      </c>
      <c r="AT593" s="29" t="str">
        <f>IF(C593="","",DATE(YEAR(C593),MONTH(C593),1))</f>
        <v/>
      </c>
      <c r="AU593" s="28" t="str">
        <f>IF(AT593="","",TEXT(AT593,"mmmm yyyy"))</f>
        <v/>
      </c>
      <c r="AV593" s="29" t="str">
        <f>IF(C593="","",C593-WEEKDAY(C593,2)+1)</f>
        <v/>
      </c>
      <c r="AW593" s="29" t="str">
        <f>IF(AV593="","",AV593+6)</f>
        <v/>
      </c>
      <c r="AX593" s="28" t="str">
        <f>IF(AV593="","",TEXT(AV593,"dd/mm/yyyy")&amp;" - "&amp;TEXT(AW593,"dd/mm/yyyy"))</f>
        <v/>
      </c>
      <c r="AY593" s="28" t="str">
        <f>IF(B593="","",COUNTIFS($B$5:B593,B593,$AT$5:AT593,AT593))</f>
        <v/>
      </c>
      <c r="AZ593" s="28" t="str">
        <f>IF(B593="","",COUNTIFS($B$5:B593,B593,$AV$5:AV593,AV593))</f>
        <v/>
      </c>
      <c r="BA593" s="28" t="str">
        <f>IF(B593="","",TEXT(AY593,"00")&amp;"|"&amp;B593&amp;"|"&amp;TEXT(AT593,"yyyymmdd"))</f>
        <v/>
      </c>
      <c r="BB593" s="28" t="str">
        <f>IF(B593="","",TEXT(AZ593,"00")&amp;"|"&amp;B593&amp;"|"&amp;TEXT(AV593,"yyyymmdd"))</f>
        <v/>
      </c>
      <c r="BC593" s="28">
        <f>IF(OR(AQ593="YES",AQ593="Yes",AQ593="Y",AQ593=1),1,0)</f>
        <v>0</v>
      </c>
    </row>
    <row r="594" spans="1:55" ht="15" customHeight="1">
      <c r="A594" s="27"/>
      <c r="B594" s="28"/>
      <c r="C594" s="29"/>
      <c r="D594" s="30"/>
      <c r="E594" s="30"/>
      <c r="F594" s="28"/>
      <c r="G594" s="28"/>
      <c r="H594" s="28"/>
      <c r="I594" s="13"/>
      <c r="J594" s="28"/>
      <c r="K594" s="13"/>
      <c r="L594" s="28"/>
      <c r="M594" s="13"/>
      <c r="N594" s="28"/>
      <c r="O594" s="13"/>
      <c r="P594" s="28"/>
      <c r="Q594" s="20"/>
      <c r="R594" s="28"/>
      <c r="S594" s="20"/>
      <c r="T594" s="28"/>
      <c r="U594" s="13"/>
      <c r="V594" s="28"/>
      <c r="W594" s="13"/>
      <c r="X594" s="28"/>
      <c r="Y594" s="13"/>
      <c r="Z594" s="28"/>
      <c r="AA594" s="13"/>
      <c r="AB594" s="28"/>
      <c r="AC594" s="13"/>
      <c r="AD594" s="28"/>
      <c r="AE594" s="13"/>
      <c r="AF594" s="28"/>
      <c r="AG594" s="13"/>
      <c r="AH594" s="28"/>
      <c r="AI594" s="13"/>
      <c r="AJ594" s="28"/>
      <c r="AK594" s="13"/>
      <c r="AL594" s="28"/>
      <c r="AM594" s="13"/>
      <c r="AN594" s="28"/>
      <c r="AO594" s="13"/>
      <c r="AP594" s="28"/>
      <c r="AQ594" s="13"/>
      <c r="AR594" s="28"/>
      <c r="AS594" s="19">
        <f>SUM(H594,J594,L594,N594,P594,R594,T594,V594,X594,Z594,AB594,AD594,AF594,AH594,AJ594,AL594,AN594)</f>
        <v>0</v>
      </c>
      <c r="AT594" s="29" t="str">
        <f>IF(C594="","",DATE(YEAR(C594),MONTH(C594),1))</f>
        <v/>
      </c>
      <c r="AU594" s="28" t="str">
        <f>IF(AT594="","",TEXT(AT594,"mmmm yyyy"))</f>
        <v/>
      </c>
      <c r="AV594" s="29" t="str">
        <f>IF(C594="","",C594-WEEKDAY(C594,2)+1)</f>
        <v/>
      </c>
      <c r="AW594" s="29" t="str">
        <f>IF(AV594="","",AV594+6)</f>
        <v/>
      </c>
      <c r="AX594" s="28" t="str">
        <f>IF(AV594="","",TEXT(AV594,"dd/mm/yyyy")&amp;" - "&amp;TEXT(AW594,"dd/mm/yyyy"))</f>
        <v/>
      </c>
      <c r="AY594" s="28" t="str">
        <f>IF(B594="","",COUNTIFS($B$5:B594,B594,$AT$5:AT594,AT594))</f>
        <v/>
      </c>
      <c r="AZ594" s="28" t="str">
        <f>IF(B594="","",COUNTIFS($B$5:B594,B594,$AV$5:AV594,AV594))</f>
        <v/>
      </c>
      <c r="BA594" s="28" t="str">
        <f>IF(B594="","",TEXT(AY594,"00")&amp;"|"&amp;B594&amp;"|"&amp;TEXT(AT594,"yyyymmdd"))</f>
        <v/>
      </c>
      <c r="BB594" s="28" t="str">
        <f>IF(B594="","",TEXT(AZ594,"00")&amp;"|"&amp;B594&amp;"|"&amp;TEXT(AV594,"yyyymmdd"))</f>
        <v/>
      </c>
      <c r="BC594" s="28">
        <f>IF(OR(AQ594="YES",AQ594="Yes",AQ594="Y",AQ594=1),1,0)</f>
        <v>0</v>
      </c>
    </row>
    <row r="595" spans="1:55" ht="15" customHeight="1">
      <c r="A595" s="27"/>
      <c r="B595" s="28"/>
      <c r="C595" s="29"/>
      <c r="D595" s="30"/>
      <c r="E595" s="30"/>
      <c r="F595" s="28"/>
      <c r="G595" s="28"/>
      <c r="H595" s="28"/>
      <c r="I595" s="13"/>
      <c r="J595" s="28"/>
      <c r="K595" s="13"/>
      <c r="L595" s="28"/>
      <c r="M595" s="13"/>
      <c r="N595" s="28"/>
      <c r="O595" s="13"/>
      <c r="P595" s="28"/>
      <c r="Q595" s="20"/>
      <c r="R595" s="28"/>
      <c r="S595" s="20"/>
      <c r="T595" s="28"/>
      <c r="U595" s="13"/>
      <c r="V595" s="28"/>
      <c r="W595" s="13"/>
      <c r="X595" s="28"/>
      <c r="Y595" s="13"/>
      <c r="Z595" s="28"/>
      <c r="AA595" s="13"/>
      <c r="AB595" s="28"/>
      <c r="AC595" s="13"/>
      <c r="AD595" s="28"/>
      <c r="AE595" s="13"/>
      <c r="AF595" s="28"/>
      <c r="AG595" s="13"/>
      <c r="AH595" s="28"/>
      <c r="AI595" s="13"/>
      <c r="AJ595" s="28"/>
      <c r="AK595" s="13"/>
      <c r="AL595" s="28"/>
      <c r="AM595" s="13"/>
      <c r="AN595" s="28"/>
      <c r="AO595" s="13"/>
      <c r="AP595" s="28"/>
      <c r="AQ595" s="13"/>
      <c r="AR595" s="28"/>
      <c r="AS595" s="19">
        <f>SUM(H595,J595,L595,N595,P595,R595,T595,V595,X595,Z595,AB595,AD595,AF595,AH595,AJ595,AL595,AN595)</f>
        <v>0</v>
      </c>
      <c r="AT595" s="29" t="str">
        <f>IF(C595="","",DATE(YEAR(C595),MONTH(C595),1))</f>
        <v/>
      </c>
      <c r="AU595" s="28" t="str">
        <f>IF(AT595="","",TEXT(AT595,"mmmm yyyy"))</f>
        <v/>
      </c>
      <c r="AV595" s="29" t="str">
        <f>IF(C595="","",C595-WEEKDAY(C595,2)+1)</f>
        <v/>
      </c>
      <c r="AW595" s="29" t="str">
        <f>IF(AV595="","",AV595+6)</f>
        <v/>
      </c>
      <c r="AX595" s="28" t="str">
        <f>IF(AV595="","",TEXT(AV595,"dd/mm/yyyy")&amp;" - "&amp;TEXT(AW595,"dd/mm/yyyy"))</f>
        <v/>
      </c>
      <c r="AY595" s="28" t="str">
        <f>IF(B595="","",COUNTIFS($B$5:B595,B595,$AT$5:AT595,AT595))</f>
        <v/>
      </c>
      <c r="AZ595" s="28" t="str">
        <f>IF(B595="","",COUNTIFS($B$5:B595,B595,$AV$5:AV595,AV595))</f>
        <v/>
      </c>
      <c r="BA595" s="28" t="str">
        <f>IF(B595="","",TEXT(AY595,"00")&amp;"|"&amp;B595&amp;"|"&amp;TEXT(AT595,"yyyymmdd"))</f>
        <v/>
      </c>
      <c r="BB595" s="28" t="str">
        <f>IF(B595="","",TEXT(AZ595,"00")&amp;"|"&amp;B595&amp;"|"&amp;TEXT(AV595,"yyyymmdd"))</f>
        <v/>
      </c>
      <c r="BC595" s="28">
        <f>IF(OR(AQ595="YES",AQ595="Yes",AQ595="Y",AQ595=1),1,0)</f>
        <v>0</v>
      </c>
    </row>
    <row r="596" spans="1:55" ht="15" customHeight="1">
      <c r="A596" s="27"/>
      <c r="B596" s="28"/>
      <c r="C596" s="29"/>
      <c r="D596" s="30"/>
      <c r="E596" s="30"/>
      <c r="F596" s="28"/>
      <c r="G596" s="28"/>
      <c r="H596" s="28"/>
      <c r="I596" s="13"/>
      <c r="J596" s="28"/>
      <c r="K596" s="13"/>
      <c r="L596" s="28"/>
      <c r="M596" s="13"/>
      <c r="N596" s="28"/>
      <c r="O596" s="13"/>
      <c r="P596" s="28"/>
      <c r="Q596" s="20"/>
      <c r="R596" s="28"/>
      <c r="S596" s="20"/>
      <c r="T596" s="28"/>
      <c r="U596" s="13"/>
      <c r="V596" s="28"/>
      <c r="W596" s="13"/>
      <c r="X596" s="28"/>
      <c r="Y596" s="13"/>
      <c r="Z596" s="28"/>
      <c r="AA596" s="13"/>
      <c r="AB596" s="28"/>
      <c r="AC596" s="13"/>
      <c r="AD596" s="28"/>
      <c r="AE596" s="13"/>
      <c r="AF596" s="28"/>
      <c r="AG596" s="13"/>
      <c r="AH596" s="28"/>
      <c r="AI596" s="13"/>
      <c r="AJ596" s="28"/>
      <c r="AK596" s="13"/>
      <c r="AL596" s="28"/>
      <c r="AM596" s="13"/>
      <c r="AN596" s="28"/>
      <c r="AO596" s="13"/>
      <c r="AP596" s="28"/>
      <c r="AQ596" s="13"/>
      <c r="AR596" s="28"/>
      <c r="AS596" s="19">
        <f>SUM(H596,J596,L596,N596,P596,R596,T596,V596,X596,Z596,AB596,AD596,AF596,AH596,AJ596,AL596,AN596)</f>
        <v>0</v>
      </c>
      <c r="AT596" s="29" t="str">
        <f>IF(C596="","",DATE(YEAR(C596),MONTH(C596),1))</f>
        <v/>
      </c>
      <c r="AU596" s="28" t="str">
        <f>IF(AT596="","",TEXT(AT596,"mmmm yyyy"))</f>
        <v/>
      </c>
      <c r="AV596" s="29" t="str">
        <f>IF(C596="","",C596-WEEKDAY(C596,2)+1)</f>
        <v/>
      </c>
      <c r="AW596" s="29" t="str">
        <f>IF(AV596="","",AV596+6)</f>
        <v/>
      </c>
      <c r="AX596" s="28" t="str">
        <f>IF(AV596="","",TEXT(AV596,"dd/mm/yyyy")&amp;" - "&amp;TEXT(AW596,"dd/mm/yyyy"))</f>
        <v/>
      </c>
      <c r="AY596" s="28" t="str">
        <f>IF(B596="","",COUNTIFS($B$5:B596,B596,$AT$5:AT596,AT596))</f>
        <v/>
      </c>
      <c r="AZ596" s="28" t="str">
        <f>IF(B596="","",COUNTIFS($B$5:B596,B596,$AV$5:AV596,AV596))</f>
        <v/>
      </c>
      <c r="BA596" s="28" t="str">
        <f>IF(B596="","",TEXT(AY596,"00")&amp;"|"&amp;B596&amp;"|"&amp;TEXT(AT596,"yyyymmdd"))</f>
        <v/>
      </c>
      <c r="BB596" s="28" t="str">
        <f>IF(B596="","",TEXT(AZ596,"00")&amp;"|"&amp;B596&amp;"|"&amp;TEXT(AV596,"yyyymmdd"))</f>
        <v/>
      </c>
      <c r="BC596" s="28">
        <f>IF(OR(AQ596="YES",AQ596="Yes",AQ596="Y",AQ596=1),1,0)</f>
        <v>0</v>
      </c>
    </row>
    <row r="597" spans="1:55" ht="15" customHeight="1">
      <c r="A597" s="27"/>
      <c r="B597" s="28"/>
      <c r="C597" s="29"/>
      <c r="D597" s="30"/>
      <c r="E597" s="30"/>
      <c r="F597" s="28"/>
      <c r="G597" s="28"/>
      <c r="H597" s="28"/>
      <c r="I597" s="13"/>
      <c r="J597" s="28"/>
      <c r="K597" s="13"/>
      <c r="L597" s="28"/>
      <c r="M597" s="13"/>
      <c r="N597" s="28"/>
      <c r="O597" s="13"/>
      <c r="P597" s="28"/>
      <c r="Q597" s="20"/>
      <c r="R597" s="28"/>
      <c r="S597" s="20"/>
      <c r="T597" s="28"/>
      <c r="U597" s="13"/>
      <c r="V597" s="28"/>
      <c r="W597" s="13"/>
      <c r="X597" s="28"/>
      <c r="Y597" s="13"/>
      <c r="Z597" s="28"/>
      <c r="AA597" s="13"/>
      <c r="AB597" s="28"/>
      <c r="AC597" s="13"/>
      <c r="AD597" s="28"/>
      <c r="AE597" s="13"/>
      <c r="AF597" s="28"/>
      <c r="AG597" s="13"/>
      <c r="AH597" s="28"/>
      <c r="AI597" s="13"/>
      <c r="AJ597" s="28"/>
      <c r="AK597" s="13"/>
      <c r="AL597" s="28"/>
      <c r="AM597" s="13"/>
      <c r="AN597" s="28"/>
      <c r="AO597" s="13"/>
      <c r="AP597" s="28"/>
      <c r="AQ597" s="13"/>
      <c r="AR597" s="28"/>
      <c r="AS597" s="19">
        <f>SUM(H597,J597,L597,N597,P597,R597,T597,V597,X597,Z597,AB597,AD597,AF597,AH597,AJ597,AL597,AN597)</f>
        <v>0</v>
      </c>
      <c r="AT597" s="29" t="str">
        <f>IF(C597="","",DATE(YEAR(C597),MONTH(C597),1))</f>
        <v/>
      </c>
      <c r="AU597" s="28" t="str">
        <f>IF(AT597="","",TEXT(AT597,"mmmm yyyy"))</f>
        <v/>
      </c>
      <c r="AV597" s="29" t="str">
        <f>IF(C597="","",C597-WEEKDAY(C597,2)+1)</f>
        <v/>
      </c>
      <c r="AW597" s="29" t="str">
        <f>IF(AV597="","",AV597+6)</f>
        <v/>
      </c>
      <c r="AX597" s="28" t="str">
        <f>IF(AV597="","",TEXT(AV597,"dd/mm/yyyy")&amp;" - "&amp;TEXT(AW597,"dd/mm/yyyy"))</f>
        <v/>
      </c>
      <c r="AY597" s="28" t="str">
        <f>IF(B597="","",COUNTIFS($B$5:B597,B597,$AT$5:AT597,AT597))</f>
        <v/>
      </c>
      <c r="AZ597" s="28" t="str">
        <f>IF(B597="","",COUNTIFS($B$5:B597,B597,$AV$5:AV597,AV597))</f>
        <v/>
      </c>
      <c r="BA597" s="28" t="str">
        <f>IF(B597="","",TEXT(AY597,"00")&amp;"|"&amp;B597&amp;"|"&amp;TEXT(AT597,"yyyymmdd"))</f>
        <v/>
      </c>
      <c r="BB597" s="28" t="str">
        <f>IF(B597="","",TEXT(AZ597,"00")&amp;"|"&amp;B597&amp;"|"&amp;TEXT(AV597,"yyyymmdd"))</f>
        <v/>
      </c>
      <c r="BC597" s="28">
        <f>IF(OR(AQ597="YES",AQ597="Yes",AQ597="Y",AQ597=1),1,0)</f>
        <v>0</v>
      </c>
    </row>
    <row r="598" spans="1:55" ht="15" customHeight="1">
      <c r="A598" s="27"/>
      <c r="B598" s="28"/>
      <c r="C598" s="29"/>
      <c r="D598" s="30"/>
      <c r="E598" s="30"/>
      <c r="F598" s="28"/>
      <c r="G598" s="28"/>
      <c r="H598" s="28"/>
      <c r="I598" s="13"/>
      <c r="J598" s="28"/>
      <c r="K598" s="13"/>
      <c r="L598" s="28"/>
      <c r="M598" s="13"/>
      <c r="N598" s="28"/>
      <c r="O598" s="13"/>
      <c r="P598" s="28"/>
      <c r="Q598" s="20"/>
      <c r="R598" s="28"/>
      <c r="S598" s="20"/>
      <c r="T598" s="28"/>
      <c r="U598" s="13"/>
      <c r="V598" s="28"/>
      <c r="W598" s="13"/>
      <c r="X598" s="28"/>
      <c r="Y598" s="13"/>
      <c r="Z598" s="28"/>
      <c r="AA598" s="13"/>
      <c r="AB598" s="28"/>
      <c r="AC598" s="13"/>
      <c r="AD598" s="28"/>
      <c r="AE598" s="13"/>
      <c r="AF598" s="28"/>
      <c r="AG598" s="13"/>
      <c r="AH598" s="28"/>
      <c r="AI598" s="13"/>
      <c r="AJ598" s="28"/>
      <c r="AK598" s="13"/>
      <c r="AL598" s="28"/>
      <c r="AM598" s="13"/>
      <c r="AN598" s="28"/>
      <c r="AO598" s="13"/>
      <c r="AP598" s="28"/>
      <c r="AQ598" s="13"/>
      <c r="AR598" s="28"/>
      <c r="AS598" s="19">
        <f>SUM(H598,J598,L598,N598,P598,R598,T598,V598,X598,Z598,AB598,AD598,AF598,AH598,AJ598,AL598,AN598)</f>
        <v>0</v>
      </c>
      <c r="AT598" s="29" t="str">
        <f>IF(C598="","",DATE(YEAR(C598),MONTH(C598),1))</f>
        <v/>
      </c>
      <c r="AU598" s="28" t="str">
        <f>IF(AT598="","",TEXT(AT598,"mmmm yyyy"))</f>
        <v/>
      </c>
      <c r="AV598" s="29" t="str">
        <f>IF(C598="","",C598-WEEKDAY(C598,2)+1)</f>
        <v/>
      </c>
      <c r="AW598" s="29" t="str">
        <f>IF(AV598="","",AV598+6)</f>
        <v/>
      </c>
      <c r="AX598" s="28" t="str">
        <f>IF(AV598="","",TEXT(AV598,"dd/mm/yyyy")&amp;" - "&amp;TEXT(AW598,"dd/mm/yyyy"))</f>
        <v/>
      </c>
      <c r="AY598" s="28" t="str">
        <f>IF(B598="","",COUNTIFS($B$5:B598,B598,$AT$5:AT598,AT598))</f>
        <v/>
      </c>
      <c r="AZ598" s="28" t="str">
        <f>IF(B598="","",COUNTIFS($B$5:B598,B598,$AV$5:AV598,AV598))</f>
        <v/>
      </c>
      <c r="BA598" s="28" t="str">
        <f>IF(B598="","",TEXT(AY598,"00")&amp;"|"&amp;B598&amp;"|"&amp;TEXT(AT598,"yyyymmdd"))</f>
        <v/>
      </c>
      <c r="BB598" s="28" t="str">
        <f>IF(B598="","",TEXT(AZ598,"00")&amp;"|"&amp;B598&amp;"|"&amp;TEXT(AV598,"yyyymmdd"))</f>
        <v/>
      </c>
      <c r="BC598" s="28">
        <f>IF(OR(AQ598="YES",AQ598="Yes",AQ598="Y",AQ598=1),1,0)</f>
        <v>0</v>
      </c>
    </row>
    <row r="599" spans="1:55" ht="15" customHeight="1">
      <c r="A599" s="27"/>
      <c r="B599" s="28"/>
      <c r="C599" s="29"/>
      <c r="D599" s="30"/>
      <c r="E599" s="30"/>
      <c r="F599" s="28"/>
      <c r="G599" s="28"/>
      <c r="H599" s="28"/>
      <c r="I599" s="13"/>
      <c r="J599" s="28"/>
      <c r="K599" s="13"/>
      <c r="L599" s="28"/>
      <c r="M599" s="13"/>
      <c r="N599" s="28"/>
      <c r="O599" s="13"/>
      <c r="P599" s="28"/>
      <c r="Q599" s="20"/>
      <c r="R599" s="28"/>
      <c r="S599" s="20"/>
      <c r="T599" s="28"/>
      <c r="U599" s="13"/>
      <c r="V599" s="28"/>
      <c r="W599" s="13"/>
      <c r="X599" s="28"/>
      <c r="Y599" s="13"/>
      <c r="Z599" s="28"/>
      <c r="AA599" s="13"/>
      <c r="AB599" s="28"/>
      <c r="AC599" s="13"/>
      <c r="AD599" s="28"/>
      <c r="AE599" s="13"/>
      <c r="AF599" s="28"/>
      <c r="AG599" s="13"/>
      <c r="AH599" s="28"/>
      <c r="AI599" s="13"/>
      <c r="AJ599" s="28"/>
      <c r="AK599" s="13"/>
      <c r="AL599" s="28"/>
      <c r="AM599" s="13"/>
      <c r="AN599" s="28"/>
      <c r="AO599" s="13"/>
      <c r="AP599" s="28"/>
      <c r="AQ599" s="13"/>
      <c r="AR599" s="28"/>
      <c r="AS599" s="19">
        <f>SUM(H599,J599,L599,N599,P599,R599,T599,V599,X599,Z599,AB599,AD599,AF599,AH599,AJ599,AL599,AN599)</f>
        <v>0</v>
      </c>
      <c r="AT599" s="29" t="str">
        <f>IF(C599="","",DATE(YEAR(C599),MONTH(C599),1))</f>
        <v/>
      </c>
      <c r="AU599" s="28" t="str">
        <f>IF(AT599="","",TEXT(AT599,"mmmm yyyy"))</f>
        <v/>
      </c>
      <c r="AV599" s="29" t="str">
        <f>IF(C599="","",C599-WEEKDAY(C599,2)+1)</f>
        <v/>
      </c>
      <c r="AW599" s="29" t="str">
        <f>IF(AV599="","",AV599+6)</f>
        <v/>
      </c>
      <c r="AX599" s="28" t="str">
        <f>IF(AV599="","",TEXT(AV599,"dd/mm/yyyy")&amp;" - "&amp;TEXT(AW599,"dd/mm/yyyy"))</f>
        <v/>
      </c>
      <c r="AY599" s="28" t="str">
        <f>IF(B599="","",COUNTIFS($B$5:B599,B599,$AT$5:AT599,AT599))</f>
        <v/>
      </c>
      <c r="AZ599" s="28" t="str">
        <f>IF(B599="","",COUNTIFS($B$5:B599,B599,$AV$5:AV599,AV599))</f>
        <v/>
      </c>
      <c r="BA599" s="28" t="str">
        <f>IF(B599="","",TEXT(AY599,"00")&amp;"|"&amp;B599&amp;"|"&amp;TEXT(AT599,"yyyymmdd"))</f>
        <v/>
      </c>
      <c r="BB599" s="28" t="str">
        <f>IF(B599="","",TEXT(AZ599,"00")&amp;"|"&amp;B599&amp;"|"&amp;TEXT(AV599,"yyyymmdd"))</f>
        <v/>
      </c>
      <c r="BC599" s="28">
        <f>IF(OR(AQ599="YES",AQ599="Yes",AQ599="Y",AQ599=1),1,0)</f>
        <v>0</v>
      </c>
    </row>
    <row r="600" spans="1:55" ht="15" customHeight="1">
      <c r="A600" s="27"/>
      <c r="B600" s="28"/>
      <c r="C600" s="29"/>
      <c r="D600" s="30"/>
      <c r="E600" s="30"/>
      <c r="F600" s="28"/>
      <c r="G600" s="28"/>
      <c r="H600" s="28"/>
      <c r="I600" s="13"/>
      <c r="J600" s="28"/>
      <c r="K600" s="13"/>
      <c r="L600" s="28"/>
      <c r="M600" s="13"/>
      <c r="N600" s="28"/>
      <c r="O600" s="13"/>
      <c r="P600" s="28"/>
      <c r="Q600" s="20"/>
      <c r="R600" s="28"/>
      <c r="S600" s="20"/>
      <c r="T600" s="28"/>
      <c r="U600" s="13"/>
      <c r="V600" s="28"/>
      <c r="W600" s="13"/>
      <c r="X600" s="28"/>
      <c r="Y600" s="13"/>
      <c r="Z600" s="28"/>
      <c r="AA600" s="13"/>
      <c r="AB600" s="28"/>
      <c r="AC600" s="13"/>
      <c r="AD600" s="28"/>
      <c r="AE600" s="13"/>
      <c r="AF600" s="28"/>
      <c r="AG600" s="13"/>
      <c r="AH600" s="28"/>
      <c r="AI600" s="13"/>
      <c r="AJ600" s="28"/>
      <c r="AK600" s="13"/>
      <c r="AL600" s="28"/>
      <c r="AM600" s="13"/>
      <c r="AN600" s="28"/>
      <c r="AO600" s="13"/>
      <c r="AP600" s="28"/>
      <c r="AQ600" s="13"/>
      <c r="AR600" s="28"/>
      <c r="AS600" s="19">
        <f>SUM(H600,J600,L600,N600,P600,R600,T600,V600,X600,Z600,AB600,AD600,AF600,AH600,AJ600,AL600,AN600)</f>
        <v>0</v>
      </c>
      <c r="AT600" s="29" t="str">
        <f>IF(C600="","",DATE(YEAR(C600),MONTH(C600),1))</f>
        <v/>
      </c>
      <c r="AU600" s="28" t="str">
        <f>IF(AT600="","",TEXT(AT600,"mmmm yyyy"))</f>
        <v/>
      </c>
      <c r="AV600" s="29" t="str">
        <f>IF(C600="","",C600-WEEKDAY(C600,2)+1)</f>
        <v/>
      </c>
      <c r="AW600" s="29" t="str">
        <f>IF(AV600="","",AV600+6)</f>
        <v/>
      </c>
      <c r="AX600" s="28" t="str">
        <f>IF(AV600="","",TEXT(AV600,"dd/mm/yyyy")&amp;" - "&amp;TEXT(AW600,"dd/mm/yyyy"))</f>
        <v/>
      </c>
      <c r="AY600" s="28" t="str">
        <f>IF(B600="","",COUNTIFS($B$5:B600,B600,$AT$5:AT600,AT600))</f>
        <v/>
      </c>
      <c r="AZ600" s="28" t="str">
        <f>IF(B600="","",COUNTIFS($B$5:B600,B600,$AV$5:AV600,AV600))</f>
        <v/>
      </c>
      <c r="BA600" s="28" t="str">
        <f>IF(B600="","",TEXT(AY600,"00")&amp;"|"&amp;B600&amp;"|"&amp;TEXT(AT600,"yyyymmdd"))</f>
        <v/>
      </c>
      <c r="BB600" s="28" t="str">
        <f>IF(B600="","",TEXT(AZ600,"00")&amp;"|"&amp;B600&amp;"|"&amp;TEXT(AV600,"yyyymmdd"))</f>
        <v/>
      </c>
      <c r="BC600" s="28">
        <f>IF(OR(AQ600="YES",AQ600="Yes",AQ600="Y",AQ600=1),1,0)</f>
        <v>0</v>
      </c>
    </row>
    <row r="601" spans="1:55" ht="15" customHeight="1">
      <c r="A601" s="27"/>
      <c r="B601" s="28"/>
      <c r="C601" s="29"/>
      <c r="D601" s="30"/>
      <c r="E601" s="30"/>
      <c r="F601" s="28"/>
      <c r="G601" s="28"/>
      <c r="H601" s="28"/>
      <c r="I601" s="13"/>
      <c r="J601" s="28"/>
      <c r="K601" s="13"/>
      <c r="L601" s="28"/>
      <c r="M601" s="13"/>
      <c r="N601" s="28"/>
      <c r="O601" s="13"/>
      <c r="P601" s="28"/>
      <c r="Q601" s="20"/>
      <c r="R601" s="28"/>
      <c r="S601" s="20"/>
      <c r="T601" s="28"/>
      <c r="U601" s="13"/>
      <c r="V601" s="28"/>
      <c r="W601" s="13"/>
      <c r="X601" s="28"/>
      <c r="Y601" s="13"/>
      <c r="Z601" s="28"/>
      <c r="AA601" s="13"/>
      <c r="AB601" s="28"/>
      <c r="AC601" s="13"/>
      <c r="AD601" s="28"/>
      <c r="AE601" s="13"/>
      <c r="AF601" s="28"/>
      <c r="AG601" s="13"/>
      <c r="AH601" s="28"/>
      <c r="AI601" s="13"/>
      <c r="AJ601" s="28"/>
      <c r="AK601" s="13"/>
      <c r="AL601" s="28"/>
      <c r="AM601" s="13"/>
      <c r="AN601" s="28"/>
      <c r="AO601" s="13"/>
      <c r="AP601" s="28"/>
      <c r="AQ601" s="13"/>
      <c r="AR601" s="28"/>
      <c r="AS601" s="19">
        <f>SUM(H601,J601,L601,N601,P601,R601,T601,V601,X601,Z601,AB601,AD601,AF601,AH601,AJ601,AL601,AN601)</f>
        <v>0</v>
      </c>
      <c r="AT601" s="29" t="str">
        <f>IF(C601="","",DATE(YEAR(C601),MONTH(C601),1))</f>
        <v/>
      </c>
      <c r="AU601" s="28" t="str">
        <f>IF(AT601="","",TEXT(AT601,"mmmm yyyy"))</f>
        <v/>
      </c>
      <c r="AV601" s="29" t="str">
        <f>IF(C601="","",C601-WEEKDAY(C601,2)+1)</f>
        <v/>
      </c>
      <c r="AW601" s="29" t="str">
        <f>IF(AV601="","",AV601+6)</f>
        <v/>
      </c>
      <c r="AX601" s="28" t="str">
        <f>IF(AV601="","",TEXT(AV601,"dd/mm/yyyy")&amp;" - "&amp;TEXT(AW601,"dd/mm/yyyy"))</f>
        <v/>
      </c>
      <c r="AY601" s="28" t="str">
        <f>IF(B601="","",COUNTIFS($B$5:B601,B601,$AT$5:AT601,AT601))</f>
        <v/>
      </c>
      <c r="AZ601" s="28" t="str">
        <f>IF(B601="","",COUNTIFS($B$5:B601,B601,$AV$5:AV601,AV601))</f>
        <v/>
      </c>
      <c r="BA601" s="28" t="str">
        <f>IF(B601="","",TEXT(AY601,"00")&amp;"|"&amp;B601&amp;"|"&amp;TEXT(AT601,"yyyymmdd"))</f>
        <v/>
      </c>
      <c r="BB601" s="28" t="str">
        <f>IF(B601="","",TEXT(AZ601,"00")&amp;"|"&amp;B601&amp;"|"&amp;TEXT(AV601,"yyyymmdd"))</f>
        <v/>
      </c>
      <c r="BC601" s="28">
        <f>IF(OR(AQ601="YES",AQ601="Yes",AQ601="Y",AQ601=1),1,0)</f>
        <v>0</v>
      </c>
    </row>
    <row r="602" spans="1:55" ht="15" customHeight="1">
      <c r="A602" s="27"/>
      <c r="B602" s="28"/>
      <c r="C602" s="29"/>
      <c r="D602" s="30"/>
      <c r="E602" s="30"/>
      <c r="F602" s="28"/>
      <c r="G602" s="28"/>
      <c r="H602" s="28"/>
      <c r="I602" s="13"/>
      <c r="J602" s="28"/>
      <c r="K602" s="13"/>
      <c r="L602" s="28"/>
      <c r="M602" s="13"/>
      <c r="N602" s="28"/>
      <c r="O602" s="13"/>
      <c r="P602" s="28"/>
      <c r="Q602" s="20"/>
      <c r="R602" s="28"/>
      <c r="S602" s="20"/>
      <c r="T602" s="28"/>
      <c r="U602" s="13"/>
      <c r="V602" s="28"/>
      <c r="W602" s="13"/>
      <c r="X602" s="28"/>
      <c r="Y602" s="13"/>
      <c r="Z602" s="28"/>
      <c r="AA602" s="13"/>
      <c r="AB602" s="28"/>
      <c r="AC602" s="13"/>
      <c r="AD602" s="28"/>
      <c r="AE602" s="13"/>
      <c r="AF602" s="28"/>
      <c r="AG602" s="13"/>
      <c r="AH602" s="28"/>
      <c r="AI602" s="13"/>
      <c r="AJ602" s="28"/>
      <c r="AK602" s="13"/>
      <c r="AL602" s="28"/>
      <c r="AM602" s="13"/>
      <c r="AN602" s="28"/>
      <c r="AO602" s="13"/>
      <c r="AP602" s="28"/>
      <c r="AQ602" s="13"/>
      <c r="AR602" s="28"/>
      <c r="AS602" s="19">
        <f>SUM(H602,J602,L602,N602,P602,R602,T602,V602,X602,Z602,AB602,AD602,AF602,AH602,AJ602,AL602,AN602)</f>
        <v>0</v>
      </c>
      <c r="AT602" s="29" t="str">
        <f>IF(C602="","",DATE(YEAR(C602),MONTH(C602),1))</f>
        <v/>
      </c>
      <c r="AU602" s="28" t="str">
        <f>IF(AT602="","",TEXT(AT602,"mmmm yyyy"))</f>
        <v/>
      </c>
      <c r="AV602" s="29" t="str">
        <f>IF(C602="","",C602-WEEKDAY(C602,2)+1)</f>
        <v/>
      </c>
      <c r="AW602" s="29" t="str">
        <f>IF(AV602="","",AV602+6)</f>
        <v/>
      </c>
      <c r="AX602" s="28" t="str">
        <f>IF(AV602="","",TEXT(AV602,"dd/mm/yyyy")&amp;" - "&amp;TEXT(AW602,"dd/mm/yyyy"))</f>
        <v/>
      </c>
      <c r="AY602" s="28" t="str">
        <f>IF(B602="","",COUNTIFS($B$5:B602,B602,$AT$5:AT602,AT602))</f>
        <v/>
      </c>
      <c r="AZ602" s="28" t="str">
        <f>IF(B602="","",COUNTIFS($B$5:B602,B602,$AV$5:AV602,AV602))</f>
        <v/>
      </c>
      <c r="BA602" s="28" t="str">
        <f>IF(B602="","",TEXT(AY602,"00")&amp;"|"&amp;B602&amp;"|"&amp;TEXT(AT602,"yyyymmdd"))</f>
        <v/>
      </c>
      <c r="BB602" s="28" t="str">
        <f>IF(B602="","",TEXT(AZ602,"00")&amp;"|"&amp;B602&amp;"|"&amp;TEXT(AV602,"yyyymmdd"))</f>
        <v/>
      </c>
      <c r="BC602" s="28">
        <f>IF(OR(AQ602="YES",AQ602="Yes",AQ602="Y",AQ602=1),1,0)</f>
        <v>0</v>
      </c>
    </row>
    <row r="603" spans="1:55" ht="15" customHeight="1">
      <c r="A603" s="27"/>
      <c r="B603" s="28"/>
      <c r="C603" s="29"/>
      <c r="D603" s="30"/>
      <c r="E603" s="30"/>
      <c r="F603" s="28"/>
      <c r="G603" s="28"/>
      <c r="H603" s="28"/>
      <c r="I603" s="13"/>
      <c r="J603" s="28"/>
      <c r="K603" s="13"/>
      <c r="L603" s="28"/>
      <c r="M603" s="13"/>
      <c r="N603" s="28"/>
      <c r="O603" s="13"/>
      <c r="P603" s="28"/>
      <c r="Q603" s="20"/>
      <c r="R603" s="28"/>
      <c r="S603" s="20"/>
      <c r="T603" s="28"/>
      <c r="U603" s="13"/>
      <c r="V603" s="28"/>
      <c r="W603" s="13"/>
      <c r="X603" s="28"/>
      <c r="Y603" s="13"/>
      <c r="Z603" s="28"/>
      <c r="AA603" s="13"/>
      <c r="AB603" s="28"/>
      <c r="AC603" s="13"/>
      <c r="AD603" s="28"/>
      <c r="AE603" s="13"/>
      <c r="AF603" s="28"/>
      <c r="AG603" s="13"/>
      <c r="AH603" s="28"/>
      <c r="AI603" s="13"/>
      <c r="AJ603" s="28"/>
      <c r="AK603" s="13"/>
      <c r="AL603" s="28"/>
      <c r="AM603" s="13"/>
      <c r="AN603" s="28"/>
      <c r="AO603" s="13"/>
      <c r="AP603" s="28"/>
      <c r="AQ603" s="13"/>
      <c r="AR603" s="28"/>
      <c r="AS603" s="19">
        <f>SUM(H603,J603,L603,N603,P603,R603,T603,V603,X603,Z603,AB603,AD603,AF603,AH603,AJ603,AL603,AN603)</f>
        <v>0</v>
      </c>
      <c r="AT603" s="29" t="str">
        <f>IF(C603="","",DATE(YEAR(C603),MONTH(C603),1))</f>
        <v/>
      </c>
      <c r="AU603" s="28" t="str">
        <f>IF(AT603="","",TEXT(AT603,"mmmm yyyy"))</f>
        <v/>
      </c>
      <c r="AV603" s="29" t="str">
        <f>IF(C603="","",C603-WEEKDAY(C603,2)+1)</f>
        <v/>
      </c>
      <c r="AW603" s="29" t="str">
        <f>IF(AV603="","",AV603+6)</f>
        <v/>
      </c>
      <c r="AX603" s="28" t="str">
        <f>IF(AV603="","",TEXT(AV603,"dd/mm/yyyy")&amp;" - "&amp;TEXT(AW603,"dd/mm/yyyy"))</f>
        <v/>
      </c>
      <c r="AY603" s="28" t="str">
        <f>IF(B603="","",COUNTIFS($B$5:B603,B603,$AT$5:AT603,AT603))</f>
        <v/>
      </c>
      <c r="AZ603" s="28" t="str">
        <f>IF(B603="","",COUNTIFS($B$5:B603,B603,$AV$5:AV603,AV603))</f>
        <v/>
      </c>
      <c r="BA603" s="28" t="str">
        <f>IF(B603="","",TEXT(AY603,"00")&amp;"|"&amp;B603&amp;"|"&amp;TEXT(AT603,"yyyymmdd"))</f>
        <v/>
      </c>
      <c r="BB603" s="28" t="str">
        <f>IF(B603="","",TEXT(AZ603,"00")&amp;"|"&amp;B603&amp;"|"&amp;TEXT(AV603,"yyyymmdd"))</f>
        <v/>
      </c>
      <c r="BC603" s="28">
        <f>IF(OR(AQ603="YES",AQ603="Yes",AQ603="Y",AQ603=1),1,0)</f>
        <v>0</v>
      </c>
    </row>
    <row r="604" spans="1:55" ht="15" customHeight="1">
      <c r="A604" s="27"/>
      <c r="B604" s="28"/>
      <c r="C604" s="29"/>
      <c r="D604" s="30"/>
      <c r="E604" s="30"/>
      <c r="F604" s="28"/>
      <c r="G604" s="28"/>
      <c r="H604" s="28"/>
      <c r="I604" s="13"/>
      <c r="J604" s="28"/>
      <c r="K604" s="13"/>
      <c r="L604" s="28"/>
      <c r="M604" s="13"/>
      <c r="N604" s="28"/>
      <c r="O604" s="13"/>
      <c r="P604" s="28"/>
      <c r="Q604" s="20"/>
      <c r="R604" s="28"/>
      <c r="S604" s="20"/>
      <c r="T604" s="28"/>
      <c r="U604" s="13"/>
      <c r="V604" s="28"/>
      <c r="W604" s="13"/>
      <c r="X604" s="28"/>
      <c r="Y604" s="13"/>
      <c r="Z604" s="28"/>
      <c r="AA604" s="13"/>
      <c r="AB604" s="28"/>
      <c r="AC604" s="13"/>
      <c r="AD604" s="28"/>
      <c r="AE604" s="13"/>
      <c r="AF604" s="28"/>
      <c r="AG604" s="13"/>
      <c r="AH604" s="28"/>
      <c r="AI604" s="13"/>
      <c r="AJ604" s="28"/>
      <c r="AK604" s="13"/>
      <c r="AL604" s="28"/>
      <c r="AM604" s="13"/>
      <c r="AN604" s="28"/>
      <c r="AO604" s="13"/>
      <c r="AP604" s="28"/>
      <c r="AQ604" s="13"/>
      <c r="AR604" s="28"/>
      <c r="AS604" s="19">
        <f>SUM(H604,J604,L604,N604,P604,R604,T604,V604,X604,Z604,AB604,AD604,AF604,AH604,AJ604,AL604,AN604)</f>
        <v>0</v>
      </c>
      <c r="AT604" s="29" t="str">
        <f>IF(C604="","",DATE(YEAR(C604),MONTH(C604),1))</f>
        <v/>
      </c>
      <c r="AU604" s="28" t="str">
        <f>IF(AT604="","",TEXT(AT604,"mmmm yyyy"))</f>
        <v/>
      </c>
      <c r="AV604" s="29" t="str">
        <f>IF(C604="","",C604-WEEKDAY(C604,2)+1)</f>
        <v/>
      </c>
      <c r="AW604" s="29" t="str">
        <f>IF(AV604="","",AV604+6)</f>
        <v/>
      </c>
      <c r="AX604" s="28" t="str">
        <f>IF(AV604="","",TEXT(AV604,"dd/mm/yyyy")&amp;" - "&amp;TEXT(AW604,"dd/mm/yyyy"))</f>
        <v/>
      </c>
      <c r="AY604" s="28" t="str">
        <f>IF(B604="","",COUNTIFS($B$5:B604,B604,$AT$5:AT604,AT604))</f>
        <v/>
      </c>
      <c r="AZ604" s="28" t="str">
        <f>IF(B604="","",COUNTIFS($B$5:B604,B604,$AV$5:AV604,AV604))</f>
        <v/>
      </c>
      <c r="BA604" s="28" t="str">
        <f>IF(B604="","",TEXT(AY604,"00")&amp;"|"&amp;B604&amp;"|"&amp;TEXT(AT604,"yyyymmdd"))</f>
        <v/>
      </c>
      <c r="BB604" s="28" t="str">
        <f>IF(B604="","",TEXT(AZ604,"00")&amp;"|"&amp;B604&amp;"|"&amp;TEXT(AV604,"yyyymmdd"))</f>
        <v/>
      </c>
      <c r="BC604" s="28">
        <f>IF(OR(AQ604="YES",AQ604="Yes",AQ604="Y",AQ604=1),1,0)</f>
        <v>0</v>
      </c>
    </row>
    <row r="605" spans="1:55" ht="15" customHeight="1">
      <c r="A605" s="27"/>
      <c r="B605" s="28"/>
      <c r="C605" s="29"/>
      <c r="D605" s="30"/>
      <c r="E605" s="30"/>
      <c r="F605" s="28"/>
      <c r="G605" s="28"/>
      <c r="H605" s="28"/>
      <c r="I605" s="13"/>
      <c r="J605" s="28"/>
      <c r="K605" s="13"/>
      <c r="L605" s="28"/>
      <c r="M605" s="13"/>
      <c r="N605" s="28"/>
      <c r="O605" s="13"/>
      <c r="P605" s="28"/>
      <c r="Q605" s="20"/>
      <c r="R605" s="28"/>
      <c r="S605" s="20"/>
      <c r="T605" s="28"/>
      <c r="U605" s="13"/>
      <c r="V605" s="28"/>
      <c r="W605" s="13"/>
      <c r="X605" s="28"/>
      <c r="Y605" s="13"/>
      <c r="Z605" s="28"/>
      <c r="AA605" s="13"/>
      <c r="AB605" s="28"/>
      <c r="AC605" s="13"/>
      <c r="AD605" s="28"/>
      <c r="AE605" s="13"/>
      <c r="AF605" s="28"/>
      <c r="AG605" s="13"/>
      <c r="AH605" s="28"/>
      <c r="AI605" s="13"/>
      <c r="AJ605" s="28"/>
      <c r="AK605" s="13"/>
      <c r="AL605" s="28"/>
      <c r="AM605" s="13"/>
      <c r="AN605" s="28"/>
      <c r="AO605" s="13"/>
      <c r="AP605" s="28"/>
      <c r="AQ605" s="13"/>
      <c r="AR605" s="28"/>
      <c r="AS605" s="19">
        <f>SUM(H605,J605,L605,N605,P605,R605,T605,V605,X605,Z605,AB605,AD605,AF605,AH605,AJ605,AL605,AN605)</f>
        <v>0</v>
      </c>
      <c r="AT605" s="29" t="str">
        <f>IF(C605="","",DATE(YEAR(C605),MONTH(C605),1))</f>
        <v/>
      </c>
      <c r="AU605" s="28" t="str">
        <f>IF(AT605="","",TEXT(AT605,"mmmm yyyy"))</f>
        <v/>
      </c>
      <c r="AV605" s="29" t="str">
        <f>IF(C605="","",C605-WEEKDAY(C605,2)+1)</f>
        <v/>
      </c>
      <c r="AW605" s="29" t="str">
        <f>IF(AV605="","",AV605+6)</f>
        <v/>
      </c>
      <c r="AX605" s="28" t="str">
        <f>IF(AV605="","",TEXT(AV605,"dd/mm/yyyy")&amp;" - "&amp;TEXT(AW605,"dd/mm/yyyy"))</f>
        <v/>
      </c>
      <c r="AY605" s="28" t="str">
        <f>IF(B605="","",COUNTIFS($B$5:B605,B605,$AT$5:AT605,AT605))</f>
        <v/>
      </c>
      <c r="AZ605" s="28" t="str">
        <f>IF(B605="","",COUNTIFS($B$5:B605,B605,$AV$5:AV605,AV605))</f>
        <v/>
      </c>
      <c r="BA605" s="28" t="str">
        <f>IF(B605="","",TEXT(AY605,"00")&amp;"|"&amp;B605&amp;"|"&amp;TEXT(AT605,"yyyymmdd"))</f>
        <v/>
      </c>
      <c r="BB605" s="28" t="str">
        <f>IF(B605="","",TEXT(AZ605,"00")&amp;"|"&amp;B605&amp;"|"&amp;TEXT(AV605,"yyyymmdd"))</f>
        <v/>
      </c>
      <c r="BC605" s="28">
        <f>IF(OR(AQ605="YES",AQ605="Yes",AQ605="Y",AQ605=1),1,0)</f>
        <v>0</v>
      </c>
    </row>
    <row r="606" spans="1:55" ht="15" customHeight="1">
      <c r="A606" s="27"/>
      <c r="B606" s="28"/>
      <c r="C606" s="29"/>
      <c r="D606" s="30"/>
      <c r="E606" s="30"/>
      <c r="F606" s="28"/>
      <c r="G606" s="28"/>
      <c r="H606" s="28"/>
      <c r="I606" s="13"/>
      <c r="J606" s="28"/>
      <c r="K606" s="13"/>
      <c r="L606" s="28"/>
      <c r="M606" s="13"/>
      <c r="N606" s="28"/>
      <c r="O606" s="13"/>
      <c r="P606" s="28"/>
      <c r="Q606" s="20"/>
      <c r="R606" s="28"/>
      <c r="S606" s="20"/>
      <c r="T606" s="28"/>
      <c r="U606" s="13"/>
      <c r="V606" s="28"/>
      <c r="W606" s="13"/>
      <c r="X606" s="28"/>
      <c r="Y606" s="13"/>
      <c r="Z606" s="28"/>
      <c r="AA606" s="13"/>
      <c r="AB606" s="28"/>
      <c r="AC606" s="13"/>
      <c r="AD606" s="28"/>
      <c r="AE606" s="13"/>
      <c r="AF606" s="28"/>
      <c r="AG606" s="13"/>
      <c r="AH606" s="28"/>
      <c r="AI606" s="13"/>
      <c r="AJ606" s="28"/>
      <c r="AK606" s="13"/>
      <c r="AL606" s="28"/>
      <c r="AM606" s="13"/>
      <c r="AN606" s="28"/>
      <c r="AO606" s="13"/>
      <c r="AP606" s="28"/>
      <c r="AQ606" s="13"/>
      <c r="AR606" s="28"/>
      <c r="AS606" s="19">
        <f>SUM(H606,J606,L606,N606,P606,R606,T606,V606,X606,Z606,AB606,AD606,AF606,AH606,AJ606,AL606,AN606)</f>
        <v>0</v>
      </c>
      <c r="AT606" s="29" t="str">
        <f>IF(C606="","",DATE(YEAR(C606),MONTH(C606),1))</f>
        <v/>
      </c>
      <c r="AU606" s="28" t="str">
        <f>IF(AT606="","",TEXT(AT606,"mmmm yyyy"))</f>
        <v/>
      </c>
      <c r="AV606" s="29" t="str">
        <f>IF(C606="","",C606-WEEKDAY(C606,2)+1)</f>
        <v/>
      </c>
      <c r="AW606" s="29" t="str">
        <f>IF(AV606="","",AV606+6)</f>
        <v/>
      </c>
      <c r="AX606" s="28" t="str">
        <f>IF(AV606="","",TEXT(AV606,"dd/mm/yyyy")&amp;" - "&amp;TEXT(AW606,"dd/mm/yyyy"))</f>
        <v/>
      </c>
      <c r="AY606" s="28" t="str">
        <f>IF(B606="","",COUNTIFS($B$5:B606,B606,$AT$5:AT606,AT606))</f>
        <v/>
      </c>
      <c r="AZ606" s="28" t="str">
        <f>IF(B606="","",COUNTIFS($B$5:B606,B606,$AV$5:AV606,AV606))</f>
        <v/>
      </c>
      <c r="BA606" s="28" t="str">
        <f>IF(B606="","",TEXT(AY606,"00")&amp;"|"&amp;B606&amp;"|"&amp;TEXT(AT606,"yyyymmdd"))</f>
        <v/>
      </c>
      <c r="BB606" s="28" t="str">
        <f>IF(B606="","",TEXT(AZ606,"00")&amp;"|"&amp;B606&amp;"|"&amp;TEXT(AV606,"yyyymmdd"))</f>
        <v/>
      </c>
      <c r="BC606" s="28">
        <f>IF(OR(AQ606="YES",AQ606="Yes",AQ606="Y",AQ606=1),1,0)</f>
        <v>0</v>
      </c>
    </row>
    <row r="607" spans="1:55" ht="15" customHeight="1">
      <c r="A607" s="27"/>
      <c r="B607" s="28"/>
      <c r="C607" s="29"/>
      <c r="D607" s="30"/>
      <c r="E607" s="30"/>
      <c r="F607" s="28"/>
      <c r="G607" s="28"/>
      <c r="H607" s="28"/>
      <c r="I607" s="13"/>
      <c r="J607" s="28"/>
      <c r="K607" s="13"/>
      <c r="L607" s="28"/>
      <c r="M607" s="13"/>
      <c r="N607" s="28"/>
      <c r="O607" s="13"/>
      <c r="P607" s="28"/>
      <c r="Q607" s="20"/>
      <c r="R607" s="28"/>
      <c r="S607" s="20"/>
      <c r="T607" s="28"/>
      <c r="U607" s="13"/>
      <c r="V607" s="28"/>
      <c r="W607" s="13"/>
      <c r="X607" s="28"/>
      <c r="Y607" s="13"/>
      <c r="Z607" s="28"/>
      <c r="AA607" s="13"/>
      <c r="AB607" s="28"/>
      <c r="AC607" s="13"/>
      <c r="AD607" s="28"/>
      <c r="AE607" s="13"/>
      <c r="AF607" s="28"/>
      <c r="AG607" s="13"/>
      <c r="AH607" s="28"/>
      <c r="AI607" s="13"/>
      <c r="AJ607" s="28"/>
      <c r="AK607" s="13"/>
      <c r="AL607" s="28"/>
      <c r="AM607" s="13"/>
      <c r="AN607" s="28"/>
      <c r="AO607" s="13"/>
      <c r="AP607" s="28"/>
      <c r="AQ607" s="13"/>
      <c r="AR607" s="28"/>
      <c r="AS607" s="19">
        <f>SUM(H607,J607,L607,N607,P607,R607,T607,V607,X607,Z607,AB607,AD607,AF607,AH607,AJ607,AL607,AN607)</f>
        <v>0</v>
      </c>
      <c r="AT607" s="29" t="str">
        <f>IF(C607="","",DATE(YEAR(C607),MONTH(C607),1))</f>
        <v/>
      </c>
      <c r="AU607" s="28" t="str">
        <f>IF(AT607="","",TEXT(AT607,"mmmm yyyy"))</f>
        <v/>
      </c>
      <c r="AV607" s="29" t="str">
        <f>IF(C607="","",C607-WEEKDAY(C607,2)+1)</f>
        <v/>
      </c>
      <c r="AW607" s="29" t="str">
        <f>IF(AV607="","",AV607+6)</f>
        <v/>
      </c>
      <c r="AX607" s="28" t="str">
        <f>IF(AV607="","",TEXT(AV607,"dd/mm/yyyy")&amp;" - "&amp;TEXT(AW607,"dd/mm/yyyy"))</f>
        <v/>
      </c>
      <c r="AY607" s="28" t="str">
        <f>IF(B607="","",COUNTIFS($B$5:B607,B607,$AT$5:AT607,AT607))</f>
        <v/>
      </c>
      <c r="AZ607" s="28" t="str">
        <f>IF(B607="","",COUNTIFS($B$5:B607,B607,$AV$5:AV607,AV607))</f>
        <v/>
      </c>
      <c r="BA607" s="28" t="str">
        <f>IF(B607="","",TEXT(AY607,"00")&amp;"|"&amp;B607&amp;"|"&amp;TEXT(AT607,"yyyymmdd"))</f>
        <v/>
      </c>
      <c r="BB607" s="28" t="str">
        <f>IF(B607="","",TEXT(AZ607,"00")&amp;"|"&amp;B607&amp;"|"&amp;TEXT(AV607,"yyyymmdd"))</f>
        <v/>
      </c>
      <c r="BC607" s="28">
        <f>IF(OR(AQ607="YES",AQ607="Yes",AQ607="Y",AQ607=1),1,0)</f>
        <v>0</v>
      </c>
    </row>
    <row r="608" spans="1:55" ht="15" customHeight="1">
      <c r="A608" s="27"/>
      <c r="B608" s="28"/>
      <c r="C608" s="29"/>
      <c r="D608" s="30"/>
      <c r="E608" s="30"/>
      <c r="F608" s="28"/>
      <c r="G608" s="28"/>
      <c r="H608" s="28"/>
      <c r="I608" s="13"/>
      <c r="J608" s="28"/>
      <c r="K608" s="13"/>
      <c r="L608" s="28"/>
      <c r="M608" s="13"/>
      <c r="N608" s="28"/>
      <c r="O608" s="13"/>
      <c r="P608" s="28"/>
      <c r="Q608" s="20"/>
      <c r="R608" s="28"/>
      <c r="S608" s="20"/>
      <c r="T608" s="28"/>
      <c r="U608" s="13"/>
      <c r="V608" s="28"/>
      <c r="W608" s="13"/>
      <c r="X608" s="28"/>
      <c r="Y608" s="13"/>
      <c r="Z608" s="28"/>
      <c r="AA608" s="13"/>
      <c r="AB608" s="28"/>
      <c r="AC608" s="13"/>
      <c r="AD608" s="28"/>
      <c r="AE608" s="13"/>
      <c r="AF608" s="28"/>
      <c r="AG608" s="13"/>
      <c r="AH608" s="28"/>
      <c r="AI608" s="13"/>
      <c r="AJ608" s="28"/>
      <c r="AK608" s="13"/>
      <c r="AL608" s="28"/>
      <c r="AM608" s="13"/>
      <c r="AN608" s="28"/>
      <c r="AO608" s="13"/>
      <c r="AP608" s="28"/>
      <c r="AQ608" s="13"/>
      <c r="AR608" s="28"/>
      <c r="AS608" s="19">
        <f>SUM(H608,J608,L608,N608,P608,R608,T608,V608,X608,Z608,AB608,AD608,AF608,AH608,AJ608,AL608,AN608)</f>
        <v>0</v>
      </c>
      <c r="AT608" s="29" t="str">
        <f>IF(C608="","",DATE(YEAR(C608),MONTH(C608),1))</f>
        <v/>
      </c>
      <c r="AU608" s="28" t="str">
        <f>IF(AT608="","",TEXT(AT608,"mmmm yyyy"))</f>
        <v/>
      </c>
      <c r="AV608" s="29" t="str">
        <f>IF(C608="","",C608-WEEKDAY(C608,2)+1)</f>
        <v/>
      </c>
      <c r="AW608" s="29" t="str">
        <f>IF(AV608="","",AV608+6)</f>
        <v/>
      </c>
      <c r="AX608" s="28" t="str">
        <f>IF(AV608="","",TEXT(AV608,"dd/mm/yyyy")&amp;" - "&amp;TEXT(AW608,"dd/mm/yyyy"))</f>
        <v/>
      </c>
      <c r="AY608" s="28" t="str">
        <f>IF(B608="","",COUNTIFS($B$5:B608,B608,$AT$5:AT608,AT608))</f>
        <v/>
      </c>
      <c r="AZ608" s="28" t="str">
        <f>IF(B608="","",COUNTIFS($B$5:B608,B608,$AV$5:AV608,AV608))</f>
        <v/>
      </c>
      <c r="BA608" s="28" t="str">
        <f>IF(B608="","",TEXT(AY608,"00")&amp;"|"&amp;B608&amp;"|"&amp;TEXT(AT608,"yyyymmdd"))</f>
        <v/>
      </c>
      <c r="BB608" s="28" t="str">
        <f>IF(B608="","",TEXT(AZ608,"00")&amp;"|"&amp;B608&amp;"|"&amp;TEXT(AV608,"yyyymmdd"))</f>
        <v/>
      </c>
      <c r="BC608" s="28">
        <f>IF(OR(AQ608="YES",AQ608="Yes",AQ608="Y",AQ608=1),1,0)</f>
        <v>0</v>
      </c>
    </row>
    <row r="609" spans="1:55" ht="15" customHeight="1">
      <c r="A609" s="27"/>
      <c r="B609" s="28"/>
      <c r="C609" s="29"/>
      <c r="D609" s="30"/>
      <c r="E609" s="30"/>
      <c r="F609" s="28"/>
      <c r="G609" s="28"/>
      <c r="H609" s="28"/>
      <c r="I609" s="13"/>
      <c r="J609" s="28"/>
      <c r="K609" s="13"/>
      <c r="L609" s="28"/>
      <c r="M609" s="13"/>
      <c r="N609" s="28"/>
      <c r="O609" s="13"/>
      <c r="P609" s="28"/>
      <c r="Q609" s="20"/>
      <c r="R609" s="28"/>
      <c r="S609" s="20"/>
      <c r="T609" s="28"/>
      <c r="U609" s="13"/>
      <c r="V609" s="28"/>
      <c r="W609" s="13"/>
      <c r="X609" s="28"/>
      <c r="Y609" s="13"/>
      <c r="Z609" s="28"/>
      <c r="AA609" s="13"/>
      <c r="AB609" s="28"/>
      <c r="AC609" s="13"/>
      <c r="AD609" s="28"/>
      <c r="AE609" s="13"/>
      <c r="AF609" s="28"/>
      <c r="AG609" s="13"/>
      <c r="AH609" s="28"/>
      <c r="AI609" s="13"/>
      <c r="AJ609" s="28"/>
      <c r="AK609" s="13"/>
      <c r="AL609" s="28"/>
      <c r="AM609" s="13"/>
      <c r="AN609" s="28"/>
      <c r="AO609" s="13"/>
      <c r="AP609" s="28"/>
      <c r="AQ609" s="13"/>
      <c r="AR609" s="28"/>
      <c r="AS609" s="19">
        <f>SUM(H609,J609,L609,N609,P609,R609,T609,V609,X609,Z609,AB609,AD609,AF609,AH609,AJ609,AL609,AN609)</f>
        <v>0</v>
      </c>
      <c r="AT609" s="29" t="str">
        <f>IF(C609="","",DATE(YEAR(C609),MONTH(C609),1))</f>
        <v/>
      </c>
      <c r="AU609" s="28" t="str">
        <f>IF(AT609="","",TEXT(AT609,"mmmm yyyy"))</f>
        <v/>
      </c>
      <c r="AV609" s="29" t="str">
        <f>IF(C609="","",C609-WEEKDAY(C609,2)+1)</f>
        <v/>
      </c>
      <c r="AW609" s="29" t="str">
        <f>IF(AV609="","",AV609+6)</f>
        <v/>
      </c>
      <c r="AX609" s="28" t="str">
        <f>IF(AV609="","",TEXT(AV609,"dd/mm/yyyy")&amp;" - "&amp;TEXT(AW609,"dd/mm/yyyy"))</f>
        <v/>
      </c>
      <c r="AY609" s="28" t="str">
        <f>IF(B609="","",COUNTIFS($B$5:B609,B609,$AT$5:AT609,AT609))</f>
        <v/>
      </c>
      <c r="AZ609" s="28" t="str">
        <f>IF(B609="","",COUNTIFS($B$5:B609,B609,$AV$5:AV609,AV609))</f>
        <v/>
      </c>
      <c r="BA609" s="28" t="str">
        <f>IF(B609="","",TEXT(AY609,"00")&amp;"|"&amp;B609&amp;"|"&amp;TEXT(AT609,"yyyymmdd"))</f>
        <v/>
      </c>
      <c r="BB609" s="28" t="str">
        <f>IF(B609="","",TEXT(AZ609,"00")&amp;"|"&amp;B609&amp;"|"&amp;TEXT(AV609,"yyyymmdd"))</f>
        <v/>
      </c>
      <c r="BC609" s="28">
        <f>IF(OR(AQ609="YES",AQ609="Yes",AQ609="Y",AQ609=1),1,0)</f>
        <v>0</v>
      </c>
    </row>
    <row r="610" spans="1:55" ht="15" customHeight="1">
      <c r="A610" s="27"/>
      <c r="B610" s="28"/>
      <c r="C610" s="29"/>
      <c r="D610" s="30"/>
      <c r="E610" s="30"/>
      <c r="F610" s="28"/>
      <c r="G610" s="28"/>
      <c r="H610" s="28"/>
      <c r="I610" s="13"/>
      <c r="J610" s="28"/>
      <c r="K610" s="13"/>
      <c r="L610" s="28"/>
      <c r="M610" s="13"/>
      <c r="N610" s="28"/>
      <c r="O610" s="13"/>
      <c r="P610" s="28"/>
      <c r="Q610" s="20"/>
      <c r="R610" s="28"/>
      <c r="S610" s="20"/>
      <c r="T610" s="28"/>
      <c r="U610" s="13"/>
      <c r="V610" s="28"/>
      <c r="W610" s="13"/>
      <c r="X610" s="28"/>
      <c r="Y610" s="13"/>
      <c r="Z610" s="28"/>
      <c r="AA610" s="13"/>
      <c r="AB610" s="28"/>
      <c r="AC610" s="13"/>
      <c r="AD610" s="28"/>
      <c r="AE610" s="13"/>
      <c r="AF610" s="28"/>
      <c r="AG610" s="13"/>
      <c r="AH610" s="28"/>
      <c r="AI610" s="13"/>
      <c r="AJ610" s="28"/>
      <c r="AK610" s="13"/>
      <c r="AL610" s="28"/>
      <c r="AM610" s="13"/>
      <c r="AN610" s="28"/>
      <c r="AO610" s="13"/>
      <c r="AP610" s="28"/>
      <c r="AQ610" s="13"/>
      <c r="AR610" s="28"/>
      <c r="AS610" s="19">
        <f>SUM(H610,J610,L610,N610,P610,R610,T610,V610,X610,Z610,AB610,AD610,AF610,AH610,AJ610,AL610,AN610)</f>
        <v>0</v>
      </c>
      <c r="AT610" s="29" t="str">
        <f>IF(C610="","",DATE(YEAR(C610),MONTH(C610),1))</f>
        <v/>
      </c>
      <c r="AU610" s="28" t="str">
        <f>IF(AT610="","",TEXT(AT610,"mmmm yyyy"))</f>
        <v/>
      </c>
      <c r="AV610" s="29" t="str">
        <f>IF(C610="","",C610-WEEKDAY(C610,2)+1)</f>
        <v/>
      </c>
      <c r="AW610" s="29" t="str">
        <f>IF(AV610="","",AV610+6)</f>
        <v/>
      </c>
      <c r="AX610" s="28" t="str">
        <f>IF(AV610="","",TEXT(AV610,"dd/mm/yyyy")&amp;" - "&amp;TEXT(AW610,"dd/mm/yyyy"))</f>
        <v/>
      </c>
      <c r="AY610" s="28" t="str">
        <f>IF(B610="","",COUNTIFS($B$5:B610,B610,$AT$5:AT610,AT610))</f>
        <v/>
      </c>
      <c r="AZ610" s="28" t="str">
        <f>IF(B610="","",COUNTIFS($B$5:B610,B610,$AV$5:AV610,AV610))</f>
        <v/>
      </c>
      <c r="BA610" s="28" t="str">
        <f>IF(B610="","",TEXT(AY610,"00")&amp;"|"&amp;B610&amp;"|"&amp;TEXT(AT610,"yyyymmdd"))</f>
        <v/>
      </c>
      <c r="BB610" s="28" t="str">
        <f>IF(B610="","",TEXT(AZ610,"00")&amp;"|"&amp;B610&amp;"|"&amp;TEXT(AV610,"yyyymmdd"))</f>
        <v/>
      </c>
      <c r="BC610" s="28">
        <f>IF(OR(AQ610="YES",AQ610="Yes",AQ610="Y",AQ610=1),1,0)</f>
        <v>0</v>
      </c>
    </row>
    <row r="611" spans="1:55" ht="15" customHeight="1">
      <c r="A611" s="27"/>
      <c r="B611" s="28"/>
      <c r="C611" s="29"/>
      <c r="D611" s="30"/>
      <c r="E611" s="30"/>
      <c r="F611" s="28"/>
      <c r="G611" s="28"/>
      <c r="H611" s="28"/>
      <c r="I611" s="13"/>
      <c r="J611" s="28"/>
      <c r="K611" s="13"/>
      <c r="L611" s="28"/>
      <c r="M611" s="13"/>
      <c r="N611" s="28"/>
      <c r="O611" s="13"/>
      <c r="P611" s="28"/>
      <c r="Q611" s="20"/>
      <c r="R611" s="28"/>
      <c r="S611" s="20"/>
      <c r="T611" s="28"/>
      <c r="U611" s="13"/>
      <c r="V611" s="28"/>
      <c r="W611" s="13"/>
      <c r="X611" s="28"/>
      <c r="Y611" s="13"/>
      <c r="Z611" s="28"/>
      <c r="AA611" s="13"/>
      <c r="AB611" s="28"/>
      <c r="AC611" s="13"/>
      <c r="AD611" s="28"/>
      <c r="AE611" s="13"/>
      <c r="AF611" s="28"/>
      <c r="AG611" s="13"/>
      <c r="AH611" s="28"/>
      <c r="AI611" s="13"/>
      <c r="AJ611" s="28"/>
      <c r="AK611" s="13"/>
      <c r="AL611" s="28"/>
      <c r="AM611" s="13"/>
      <c r="AN611" s="28"/>
      <c r="AO611" s="13"/>
      <c r="AP611" s="28"/>
      <c r="AQ611" s="13"/>
      <c r="AR611" s="28"/>
      <c r="AS611" s="19">
        <f>SUM(H611,J611,L611,N611,P611,R611,T611,V611,X611,Z611,AB611,AD611,AF611,AH611,AJ611,AL611,AN611)</f>
        <v>0</v>
      </c>
      <c r="AT611" s="29" t="str">
        <f>IF(C611="","",DATE(YEAR(C611),MONTH(C611),1))</f>
        <v/>
      </c>
      <c r="AU611" s="28" t="str">
        <f>IF(AT611="","",TEXT(AT611,"mmmm yyyy"))</f>
        <v/>
      </c>
      <c r="AV611" s="29" t="str">
        <f>IF(C611="","",C611-WEEKDAY(C611,2)+1)</f>
        <v/>
      </c>
      <c r="AW611" s="29" t="str">
        <f>IF(AV611="","",AV611+6)</f>
        <v/>
      </c>
      <c r="AX611" s="28" t="str">
        <f>IF(AV611="","",TEXT(AV611,"dd/mm/yyyy")&amp;" - "&amp;TEXT(AW611,"dd/mm/yyyy"))</f>
        <v/>
      </c>
      <c r="AY611" s="28" t="str">
        <f>IF(B611="","",COUNTIFS($B$5:B611,B611,$AT$5:AT611,AT611))</f>
        <v/>
      </c>
      <c r="AZ611" s="28" t="str">
        <f>IF(B611="","",COUNTIFS($B$5:B611,B611,$AV$5:AV611,AV611))</f>
        <v/>
      </c>
      <c r="BA611" s="28" t="str">
        <f>IF(B611="","",TEXT(AY611,"00")&amp;"|"&amp;B611&amp;"|"&amp;TEXT(AT611,"yyyymmdd"))</f>
        <v/>
      </c>
      <c r="BB611" s="28" t="str">
        <f>IF(B611="","",TEXT(AZ611,"00")&amp;"|"&amp;B611&amp;"|"&amp;TEXT(AV611,"yyyymmdd"))</f>
        <v/>
      </c>
      <c r="BC611" s="28">
        <f>IF(OR(AQ611="YES",AQ611="Yes",AQ611="Y",AQ611=1),1,0)</f>
        <v>0</v>
      </c>
    </row>
    <row r="612" spans="1:55" ht="15" customHeight="1">
      <c r="A612" s="27"/>
      <c r="B612" s="28"/>
      <c r="C612" s="29"/>
      <c r="D612" s="30"/>
      <c r="E612" s="30"/>
      <c r="F612" s="28"/>
      <c r="G612" s="28"/>
      <c r="H612" s="28"/>
      <c r="I612" s="13"/>
      <c r="J612" s="28"/>
      <c r="K612" s="13"/>
      <c r="L612" s="28"/>
      <c r="M612" s="13"/>
      <c r="N612" s="28"/>
      <c r="O612" s="13"/>
      <c r="P612" s="28"/>
      <c r="Q612" s="20"/>
      <c r="R612" s="28"/>
      <c r="S612" s="20"/>
      <c r="T612" s="28"/>
      <c r="U612" s="13"/>
      <c r="V612" s="28"/>
      <c r="W612" s="13"/>
      <c r="X612" s="28"/>
      <c r="Y612" s="13"/>
      <c r="Z612" s="28"/>
      <c r="AA612" s="13"/>
      <c r="AB612" s="28"/>
      <c r="AC612" s="13"/>
      <c r="AD612" s="28"/>
      <c r="AE612" s="13"/>
      <c r="AF612" s="28"/>
      <c r="AG612" s="13"/>
      <c r="AH612" s="28"/>
      <c r="AI612" s="13"/>
      <c r="AJ612" s="28"/>
      <c r="AK612" s="13"/>
      <c r="AL612" s="28"/>
      <c r="AM612" s="13"/>
      <c r="AN612" s="28"/>
      <c r="AO612" s="13"/>
      <c r="AP612" s="28"/>
      <c r="AQ612" s="13"/>
      <c r="AR612" s="28"/>
      <c r="AS612" s="19">
        <f>SUM(H612,J612,L612,N612,P612,R612,T612,V612,X612,Z612,AB612,AD612,AF612,AH612,AJ612,AL612,AN612)</f>
        <v>0</v>
      </c>
      <c r="AT612" s="29" t="str">
        <f>IF(C612="","",DATE(YEAR(C612),MONTH(C612),1))</f>
        <v/>
      </c>
      <c r="AU612" s="28" t="str">
        <f>IF(AT612="","",TEXT(AT612,"mmmm yyyy"))</f>
        <v/>
      </c>
      <c r="AV612" s="29" t="str">
        <f>IF(C612="","",C612-WEEKDAY(C612,2)+1)</f>
        <v/>
      </c>
      <c r="AW612" s="29" t="str">
        <f>IF(AV612="","",AV612+6)</f>
        <v/>
      </c>
      <c r="AX612" s="28" t="str">
        <f>IF(AV612="","",TEXT(AV612,"dd/mm/yyyy")&amp;" - "&amp;TEXT(AW612,"dd/mm/yyyy"))</f>
        <v/>
      </c>
      <c r="AY612" s="28" t="str">
        <f>IF(B612="","",COUNTIFS($B$5:B612,B612,$AT$5:AT612,AT612))</f>
        <v/>
      </c>
      <c r="AZ612" s="28" t="str">
        <f>IF(B612="","",COUNTIFS($B$5:B612,B612,$AV$5:AV612,AV612))</f>
        <v/>
      </c>
      <c r="BA612" s="28" t="str">
        <f>IF(B612="","",TEXT(AY612,"00")&amp;"|"&amp;B612&amp;"|"&amp;TEXT(AT612,"yyyymmdd"))</f>
        <v/>
      </c>
      <c r="BB612" s="28" t="str">
        <f>IF(B612="","",TEXT(AZ612,"00")&amp;"|"&amp;B612&amp;"|"&amp;TEXT(AV612,"yyyymmdd"))</f>
        <v/>
      </c>
      <c r="BC612" s="28">
        <f>IF(OR(AQ612="YES",AQ612="Yes",AQ612="Y",AQ612=1),1,0)</f>
        <v>0</v>
      </c>
    </row>
    <row r="613" spans="1:55" ht="15" customHeight="1">
      <c r="A613" s="27"/>
      <c r="B613" s="28"/>
      <c r="C613" s="29"/>
      <c r="D613" s="30"/>
      <c r="E613" s="30"/>
      <c r="F613" s="28"/>
      <c r="G613" s="28"/>
      <c r="H613" s="28"/>
      <c r="I613" s="13"/>
      <c r="J613" s="28"/>
      <c r="K613" s="13"/>
      <c r="L613" s="28"/>
      <c r="M613" s="13"/>
      <c r="N613" s="28"/>
      <c r="O613" s="13"/>
      <c r="P613" s="28"/>
      <c r="Q613" s="20"/>
      <c r="R613" s="28"/>
      <c r="S613" s="20"/>
      <c r="T613" s="28"/>
      <c r="U613" s="13"/>
      <c r="V613" s="28"/>
      <c r="W613" s="13"/>
      <c r="X613" s="28"/>
      <c r="Y613" s="13"/>
      <c r="Z613" s="28"/>
      <c r="AA613" s="13"/>
      <c r="AB613" s="28"/>
      <c r="AC613" s="13"/>
      <c r="AD613" s="28"/>
      <c r="AE613" s="13"/>
      <c r="AF613" s="28"/>
      <c r="AG613" s="13"/>
      <c r="AH613" s="28"/>
      <c r="AI613" s="13"/>
      <c r="AJ613" s="28"/>
      <c r="AK613" s="13"/>
      <c r="AL613" s="28"/>
      <c r="AM613" s="13"/>
      <c r="AN613" s="28"/>
      <c r="AO613" s="13"/>
      <c r="AP613" s="28"/>
      <c r="AQ613" s="13"/>
      <c r="AR613" s="28"/>
      <c r="AS613" s="19">
        <f>SUM(H613,J613,L613,N613,P613,R613,T613,V613,X613,Z613,AB613,AD613,AF613,AH613,AJ613,AL613,AN613)</f>
        <v>0</v>
      </c>
      <c r="AT613" s="29" t="str">
        <f>IF(C613="","",DATE(YEAR(C613),MONTH(C613),1))</f>
        <v/>
      </c>
      <c r="AU613" s="28" t="str">
        <f>IF(AT613="","",TEXT(AT613,"mmmm yyyy"))</f>
        <v/>
      </c>
      <c r="AV613" s="29" t="str">
        <f>IF(C613="","",C613-WEEKDAY(C613,2)+1)</f>
        <v/>
      </c>
      <c r="AW613" s="29" t="str">
        <f>IF(AV613="","",AV613+6)</f>
        <v/>
      </c>
      <c r="AX613" s="28" t="str">
        <f>IF(AV613="","",TEXT(AV613,"dd/mm/yyyy")&amp;" - "&amp;TEXT(AW613,"dd/mm/yyyy"))</f>
        <v/>
      </c>
      <c r="AY613" s="28" t="str">
        <f>IF(B613="","",COUNTIFS($B$5:B613,B613,$AT$5:AT613,AT613))</f>
        <v/>
      </c>
      <c r="AZ613" s="28" t="str">
        <f>IF(B613="","",COUNTIFS($B$5:B613,B613,$AV$5:AV613,AV613))</f>
        <v/>
      </c>
      <c r="BA613" s="28" t="str">
        <f>IF(B613="","",TEXT(AY613,"00")&amp;"|"&amp;B613&amp;"|"&amp;TEXT(AT613,"yyyymmdd"))</f>
        <v/>
      </c>
      <c r="BB613" s="28" t="str">
        <f>IF(B613="","",TEXT(AZ613,"00")&amp;"|"&amp;B613&amp;"|"&amp;TEXT(AV613,"yyyymmdd"))</f>
        <v/>
      </c>
      <c r="BC613" s="28">
        <f>IF(OR(AQ613="YES",AQ613="Yes",AQ613="Y",AQ613=1),1,0)</f>
        <v>0</v>
      </c>
    </row>
    <row r="614" spans="1:55" ht="15" customHeight="1">
      <c r="A614" s="27"/>
      <c r="B614" s="28"/>
      <c r="C614" s="29"/>
      <c r="D614" s="30"/>
      <c r="E614" s="30"/>
      <c r="F614" s="28"/>
      <c r="G614" s="28"/>
      <c r="H614" s="28"/>
      <c r="I614" s="13"/>
      <c r="J614" s="28"/>
      <c r="K614" s="13"/>
      <c r="L614" s="28"/>
      <c r="M614" s="13"/>
      <c r="N614" s="28"/>
      <c r="O614" s="13"/>
      <c r="P614" s="28"/>
      <c r="Q614" s="20"/>
      <c r="R614" s="28"/>
      <c r="S614" s="20"/>
      <c r="T614" s="28"/>
      <c r="U614" s="13"/>
      <c r="V614" s="28"/>
      <c r="W614" s="13"/>
      <c r="X614" s="28"/>
      <c r="Y614" s="13"/>
      <c r="Z614" s="28"/>
      <c r="AA614" s="13"/>
      <c r="AB614" s="28"/>
      <c r="AC614" s="13"/>
      <c r="AD614" s="28"/>
      <c r="AE614" s="13"/>
      <c r="AF614" s="28"/>
      <c r="AG614" s="13"/>
      <c r="AH614" s="28"/>
      <c r="AI614" s="13"/>
      <c r="AJ614" s="28"/>
      <c r="AK614" s="13"/>
      <c r="AL614" s="28"/>
      <c r="AM614" s="13"/>
      <c r="AN614" s="28"/>
      <c r="AO614" s="13"/>
      <c r="AP614" s="28"/>
      <c r="AQ614" s="13"/>
      <c r="AR614" s="28"/>
      <c r="AS614" s="19">
        <f>SUM(H614,J614,L614,N614,P614,R614,T614,V614,X614,Z614,AB614,AD614,AF614,AH614,AJ614,AL614,AN614)</f>
        <v>0</v>
      </c>
      <c r="AT614" s="29" t="str">
        <f>IF(C614="","",DATE(YEAR(C614),MONTH(C614),1))</f>
        <v/>
      </c>
      <c r="AU614" s="28" t="str">
        <f>IF(AT614="","",TEXT(AT614,"mmmm yyyy"))</f>
        <v/>
      </c>
      <c r="AV614" s="29" t="str">
        <f>IF(C614="","",C614-WEEKDAY(C614,2)+1)</f>
        <v/>
      </c>
      <c r="AW614" s="29" t="str">
        <f>IF(AV614="","",AV614+6)</f>
        <v/>
      </c>
      <c r="AX614" s="28" t="str">
        <f>IF(AV614="","",TEXT(AV614,"dd/mm/yyyy")&amp;" - "&amp;TEXT(AW614,"dd/mm/yyyy"))</f>
        <v/>
      </c>
      <c r="AY614" s="28" t="str">
        <f>IF(B614="","",COUNTIFS($B$5:B614,B614,$AT$5:AT614,AT614))</f>
        <v/>
      </c>
      <c r="AZ614" s="28" t="str">
        <f>IF(B614="","",COUNTIFS($B$5:B614,B614,$AV$5:AV614,AV614))</f>
        <v/>
      </c>
      <c r="BA614" s="28" t="str">
        <f>IF(B614="","",TEXT(AY614,"00")&amp;"|"&amp;B614&amp;"|"&amp;TEXT(AT614,"yyyymmdd"))</f>
        <v/>
      </c>
      <c r="BB614" s="28" t="str">
        <f>IF(B614="","",TEXT(AZ614,"00")&amp;"|"&amp;B614&amp;"|"&amp;TEXT(AV614,"yyyymmdd"))</f>
        <v/>
      </c>
      <c r="BC614" s="28">
        <f>IF(OR(AQ614="YES",AQ614="Yes",AQ614="Y",AQ614=1),1,0)</f>
        <v>0</v>
      </c>
    </row>
    <row r="615" spans="1:55" ht="15" customHeight="1">
      <c r="A615" s="27"/>
      <c r="B615" s="28"/>
      <c r="C615" s="29"/>
      <c r="D615" s="30"/>
      <c r="E615" s="30"/>
      <c r="F615" s="28"/>
      <c r="G615" s="28"/>
      <c r="H615" s="28"/>
      <c r="I615" s="13"/>
      <c r="J615" s="28"/>
      <c r="K615" s="13"/>
      <c r="L615" s="28"/>
      <c r="M615" s="13"/>
      <c r="N615" s="28"/>
      <c r="O615" s="13"/>
      <c r="P615" s="28"/>
      <c r="Q615" s="20"/>
      <c r="R615" s="28"/>
      <c r="S615" s="20"/>
      <c r="T615" s="28"/>
      <c r="U615" s="13"/>
      <c r="V615" s="28"/>
      <c r="W615" s="13"/>
      <c r="X615" s="28"/>
      <c r="Y615" s="13"/>
      <c r="Z615" s="28"/>
      <c r="AA615" s="13"/>
      <c r="AB615" s="28"/>
      <c r="AC615" s="13"/>
      <c r="AD615" s="28"/>
      <c r="AE615" s="13"/>
      <c r="AF615" s="28"/>
      <c r="AG615" s="13"/>
      <c r="AH615" s="28"/>
      <c r="AI615" s="13"/>
      <c r="AJ615" s="28"/>
      <c r="AK615" s="13"/>
      <c r="AL615" s="28"/>
      <c r="AM615" s="13"/>
      <c r="AN615" s="28"/>
      <c r="AO615" s="13"/>
      <c r="AP615" s="28"/>
      <c r="AQ615" s="13"/>
      <c r="AR615" s="28"/>
      <c r="AS615" s="19">
        <f>SUM(H615,J615,L615,N615,P615,R615,T615,V615,X615,Z615,AB615,AD615,AF615,AH615,AJ615,AL615,AN615)</f>
        <v>0</v>
      </c>
      <c r="AT615" s="29" t="str">
        <f>IF(C615="","",DATE(YEAR(C615),MONTH(C615),1))</f>
        <v/>
      </c>
      <c r="AU615" s="28" t="str">
        <f>IF(AT615="","",TEXT(AT615,"mmmm yyyy"))</f>
        <v/>
      </c>
      <c r="AV615" s="29" t="str">
        <f>IF(C615="","",C615-WEEKDAY(C615,2)+1)</f>
        <v/>
      </c>
      <c r="AW615" s="29" t="str">
        <f>IF(AV615="","",AV615+6)</f>
        <v/>
      </c>
      <c r="AX615" s="28" t="str">
        <f>IF(AV615="","",TEXT(AV615,"dd/mm/yyyy")&amp;" - "&amp;TEXT(AW615,"dd/mm/yyyy"))</f>
        <v/>
      </c>
      <c r="AY615" s="28" t="str">
        <f>IF(B615="","",COUNTIFS($B$5:B615,B615,$AT$5:AT615,AT615))</f>
        <v/>
      </c>
      <c r="AZ615" s="28" t="str">
        <f>IF(B615="","",COUNTIFS($B$5:B615,B615,$AV$5:AV615,AV615))</f>
        <v/>
      </c>
      <c r="BA615" s="28" t="str">
        <f>IF(B615="","",TEXT(AY615,"00")&amp;"|"&amp;B615&amp;"|"&amp;TEXT(AT615,"yyyymmdd"))</f>
        <v/>
      </c>
      <c r="BB615" s="28" t="str">
        <f>IF(B615="","",TEXT(AZ615,"00")&amp;"|"&amp;B615&amp;"|"&amp;TEXT(AV615,"yyyymmdd"))</f>
        <v/>
      </c>
      <c r="BC615" s="28">
        <f>IF(OR(AQ615="YES",AQ615="Yes",AQ615="Y",AQ615=1),1,0)</f>
        <v>0</v>
      </c>
    </row>
    <row r="616" spans="1:55" ht="15" customHeight="1">
      <c r="A616" s="27"/>
      <c r="B616" s="28"/>
      <c r="C616" s="29"/>
      <c r="D616" s="30"/>
      <c r="E616" s="30"/>
      <c r="F616" s="28"/>
      <c r="G616" s="28"/>
      <c r="H616" s="28"/>
      <c r="I616" s="13"/>
      <c r="J616" s="28"/>
      <c r="K616" s="13"/>
      <c r="L616" s="28"/>
      <c r="M616" s="13"/>
      <c r="N616" s="28"/>
      <c r="O616" s="13"/>
      <c r="P616" s="28"/>
      <c r="Q616" s="20"/>
      <c r="R616" s="28"/>
      <c r="S616" s="20"/>
      <c r="T616" s="28"/>
      <c r="U616" s="13"/>
      <c r="V616" s="28"/>
      <c r="W616" s="13"/>
      <c r="X616" s="28"/>
      <c r="Y616" s="13"/>
      <c r="Z616" s="28"/>
      <c r="AA616" s="13"/>
      <c r="AB616" s="28"/>
      <c r="AC616" s="13"/>
      <c r="AD616" s="28"/>
      <c r="AE616" s="13"/>
      <c r="AF616" s="28"/>
      <c r="AG616" s="13"/>
      <c r="AH616" s="28"/>
      <c r="AI616" s="13"/>
      <c r="AJ616" s="28"/>
      <c r="AK616" s="13"/>
      <c r="AL616" s="28"/>
      <c r="AM616" s="13"/>
      <c r="AN616" s="28"/>
      <c r="AO616" s="13"/>
      <c r="AP616" s="28"/>
      <c r="AQ616" s="13"/>
      <c r="AR616" s="28"/>
      <c r="AS616" s="19">
        <f>SUM(H616,J616,L616,N616,P616,R616,T616,V616,X616,Z616,AB616,AD616,AF616,AH616,AJ616,AL616,AN616)</f>
        <v>0</v>
      </c>
      <c r="AT616" s="29" t="str">
        <f>IF(C616="","",DATE(YEAR(C616),MONTH(C616),1))</f>
        <v/>
      </c>
      <c r="AU616" s="28" t="str">
        <f>IF(AT616="","",TEXT(AT616,"mmmm yyyy"))</f>
        <v/>
      </c>
      <c r="AV616" s="29" t="str">
        <f>IF(C616="","",C616-WEEKDAY(C616,2)+1)</f>
        <v/>
      </c>
      <c r="AW616" s="29" t="str">
        <f>IF(AV616="","",AV616+6)</f>
        <v/>
      </c>
      <c r="AX616" s="28" t="str">
        <f>IF(AV616="","",TEXT(AV616,"dd/mm/yyyy")&amp;" - "&amp;TEXT(AW616,"dd/mm/yyyy"))</f>
        <v/>
      </c>
      <c r="AY616" s="28" t="str">
        <f>IF(B616="","",COUNTIFS($B$5:B616,B616,$AT$5:AT616,AT616))</f>
        <v/>
      </c>
      <c r="AZ616" s="28" t="str">
        <f>IF(B616="","",COUNTIFS($B$5:B616,B616,$AV$5:AV616,AV616))</f>
        <v/>
      </c>
      <c r="BA616" s="28" t="str">
        <f>IF(B616="","",TEXT(AY616,"00")&amp;"|"&amp;B616&amp;"|"&amp;TEXT(AT616,"yyyymmdd"))</f>
        <v/>
      </c>
      <c r="BB616" s="28" t="str">
        <f>IF(B616="","",TEXT(AZ616,"00")&amp;"|"&amp;B616&amp;"|"&amp;TEXT(AV616,"yyyymmdd"))</f>
        <v/>
      </c>
      <c r="BC616" s="28">
        <f>IF(OR(AQ616="YES",AQ616="Yes",AQ616="Y",AQ616=1),1,0)</f>
        <v>0</v>
      </c>
    </row>
    <row r="617" spans="1:55" ht="15" customHeight="1">
      <c r="A617" s="27"/>
      <c r="B617" s="28"/>
      <c r="C617" s="29"/>
      <c r="D617" s="30"/>
      <c r="E617" s="30"/>
      <c r="F617" s="28"/>
      <c r="G617" s="28"/>
      <c r="H617" s="28"/>
      <c r="I617" s="13"/>
      <c r="J617" s="28"/>
      <c r="K617" s="13"/>
      <c r="L617" s="28"/>
      <c r="M617" s="13"/>
      <c r="N617" s="28"/>
      <c r="O617" s="13"/>
      <c r="P617" s="28"/>
      <c r="Q617" s="20"/>
      <c r="R617" s="28"/>
      <c r="S617" s="20"/>
      <c r="T617" s="28"/>
      <c r="U617" s="13"/>
      <c r="V617" s="28"/>
      <c r="W617" s="13"/>
      <c r="X617" s="28"/>
      <c r="Y617" s="13"/>
      <c r="Z617" s="28"/>
      <c r="AA617" s="13"/>
      <c r="AB617" s="28"/>
      <c r="AC617" s="13"/>
      <c r="AD617" s="28"/>
      <c r="AE617" s="13"/>
      <c r="AF617" s="28"/>
      <c r="AG617" s="13"/>
      <c r="AH617" s="28"/>
      <c r="AI617" s="13"/>
      <c r="AJ617" s="28"/>
      <c r="AK617" s="13"/>
      <c r="AL617" s="28"/>
      <c r="AM617" s="13"/>
      <c r="AN617" s="28"/>
      <c r="AO617" s="13"/>
      <c r="AP617" s="28"/>
      <c r="AQ617" s="13"/>
      <c r="AR617" s="28"/>
      <c r="AS617" s="19">
        <f>SUM(H617,J617,L617,N617,P617,R617,T617,V617,X617,Z617,AB617,AD617,AF617,AH617,AJ617,AL617,AN617)</f>
        <v>0</v>
      </c>
      <c r="AT617" s="29" t="str">
        <f>IF(C617="","",DATE(YEAR(C617),MONTH(C617),1))</f>
        <v/>
      </c>
      <c r="AU617" s="28" t="str">
        <f>IF(AT617="","",TEXT(AT617,"mmmm yyyy"))</f>
        <v/>
      </c>
      <c r="AV617" s="29" t="str">
        <f>IF(C617="","",C617-WEEKDAY(C617,2)+1)</f>
        <v/>
      </c>
      <c r="AW617" s="29" t="str">
        <f>IF(AV617="","",AV617+6)</f>
        <v/>
      </c>
      <c r="AX617" s="28" t="str">
        <f>IF(AV617="","",TEXT(AV617,"dd/mm/yyyy")&amp;" - "&amp;TEXT(AW617,"dd/mm/yyyy"))</f>
        <v/>
      </c>
      <c r="AY617" s="28" t="str">
        <f>IF(B617="","",COUNTIFS($B$5:B617,B617,$AT$5:AT617,AT617))</f>
        <v/>
      </c>
      <c r="AZ617" s="28" t="str">
        <f>IF(B617="","",COUNTIFS($B$5:B617,B617,$AV$5:AV617,AV617))</f>
        <v/>
      </c>
      <c r="BA617" s="28" t="str">
        <f>IF(B617="","",TEXT(AY617,"00")&amp;"|"&amp;B617&amp;"|"&amp;TEXT(AT617,"yyyymmdd"))</f>
        <v/>
      </c>
      <c r="BB617" s="28" t="str">
        <f>IF(B617="","",TEXT(AZ617,"00")&amp;"|"&amp;B617&amp;"|"&amp;TEXT(AV617,"yyyymmdd"))</f>
        <v/>
      </c>
      <c r="BC617" s="28">
        <f>IF(OR(AQ617="YES",AQ617="Yes",AQ617="Y",AQ617=1),1,0)</f>
        <v>0</v>
      </c>
    </row>
    <row r="618" spans="1:55" ht="15" customHeight="1">
      <c r="A618" s="27"/>
      <c r="B618" s="28"/>
      <c r="C618" s="29"/>
      <c r="D618" s="30"/>
      <c r="E618" s="30"/>
      <c r="F618" s="28"/>
      <c r="G618" s="28"/>
      <c r="H618" s="28"/>
      <c r="I618" s="13"/>
      <c r="J618" s="28"/>
      <c r="K618" s="13"/>
      <c r="L618" s="28"/>
      <c r="M618" s="13"/>
      <c r="N618" s="28"/>
      <c r="O618" s="13"/>
      <c r="P618" s="28"/>
      <c r="Q618" s="20"/>
      <c r="R618" s="28"/>
      <c r="S618" s="20"/>
      <c r="T618" s="28"/>
      <c r="U618" s="13"/>
      <c r="V618" s="28"/>
      <c r="W618" s="13"/>
      <c r="X618" s="28"/>
      <c r="Y618" s="13"/>
      <c r="Z618" s="28"/>
      <c r="AA618" s="13"/>
      <c r="AB618" s="28"/>
      <c r="AC618" s="13"/>
      <c r="AD618" s="28"/>
      <c r="AE618" s="13"/>
      <c r="AF618" s="28"/>
      <c r="AG618" s="13"/>
      <c r="AH618" s="28"/>
      <c r="AI618" s="13"/>
      <c r="AJ618" s="28"/>
      <c r="AK618" s="13"/>
      <c r="AL618" s="28"/>
      <c r="AM618" s="13"/>
      <c r="AN618" s="28"/>
      <c r="AO618" s="13"/>
      <c r="AP618" s="28"/>
      <c r="AQ618" s="13"/>
      <c r="AR618" s="28"/>
      <c r="AS618" s="19">
        <f>SUM(H618,J618,L618,N618,P618,R618,T618,V618,X618,Z618,AB618,AD618,AF618,AH618,AJ618,AL618,AN618)</f>
        <v>0</v>
      </c>
      <c r="AT618" s="29" t="str">
        <f>IF(C618="","",DATE(YEAR(C618),MONTH(C618),1))</f>
        <v/>
      </c>
      <c r="AU618" s="28" t="str">
        <f>IF(AT618="","",TEXT(AT618,"mmmm yyyy"))</f>
        <v/>
      </c>
      <c r="AV618" s="29" t="str">
        <f>IF(C618="","",C618-WEEKDAY(C618,2)+1)</f>
        <v/>
      </c>
      <c r="AW618" s="29" t="str">
        <f>IF(AV618="","",AV618+6)</f>
        <v/>
      </c>
      <c r="AX618" s="28" t="str">
        <f>IF(AV618="","",TEXT(AV618,"dd/mm/yyyy")&amp;" - "&amp;TEXT(AW618,"dd/mm/yyyy"))</f>
        <v/>
      </c>
      <c r="AY618" s="28" t="str">
        <f>IF(B618="","",COUNTIFS($B$5:B618,B618,$AT$5:AT618,AT618))</f>
        <v/>
      </c>
      <c r="AZ618" s="28" t="str">
        <f>IF(B618="","",COUNTIFS($B$5:B618,B618,$AV$5:AV618,AV618))</f>
        <v/>
      </c>
      <c r="BA618" s="28" t="str">
        <f>IF(B618="","",TEXT(AY618,"00")&amp;"|"&amp;B618&amp;"|"&amp;TEXT(AT618,"yyyymmdd"))</f>
        <v/>
      </c>
      <c r="BB618" s="28" t="str">
        <f>IF(B618="","",TEXT(AZ618,"00")&amp;"|"&amp;B618&amp;"|"&amp;TEXT(AV618,"yyyymmdd"))</f>
        <v/>
      </c>
      <c r="BC618" s="28">
        <f>IF(OR(AQ618="YES",AQ618="Yes",AQ618="Y",AQ618=1),1,0)</f>
        <v>0</v>
      </c>
    </row>
    <row r="619" spans="1:55" ht="15" customHeight="1">
      <c r="A619" s="27"/>
      <c r="B619" s="28"/>
      <c r="C619" s="29"/>
      <c r="D619" s="30"/>
      <c r="E619" s="30"/>
      <c r="F619" s="28"/>
      <c r="G619" s="28"/>
      <c r="H619" s="28"/>
      <c r="I619" s="13"/>
      <c r="J619" s="28"/>
      <c r="K619" s="13"/>
      <c r="L619" s="28"/>
      <c r="M619" s="13"/>
      <c r="N619" s="28"/>
      <c r="O619" s="13"/>
      <c r="P619" s="28"/>
      <c r="Q619" s="20"/>
      <c r="R619" s="28"/>
      <c r="S619" s="20"/>
      <c r="T619" s="28"/>
      <c r="U619" s="13"/>
      <c r="V619" s="28"/>
      <c r="W619" s="13"/>
      <c r="X619" s="28"/>
      <c r="Y619" s="13"/>
      <c r="Z619" s="28"/>
      <c r="AA619" s="13"/>
      <c r="AB619" s="28"/>
      <c r="AC619" s="13"/>
      <c r="AD619" s="28"/>
      <c r="AE619" s="13"/>
      <c r="AF619" s="28"/>
      <c r="AG619" s="13"/>
      <c r="AH619" s="28"/>
      <c r="AI619" s="13"/>
      <c r="AJ619" s="28"/>
      <c r="AK619" s="13"/>
      <c r="AL619" s="28"/>
      <c r="AM619" s="13"/>
      <c r="AN619" s="28"/>
      <c r="AO619" s="13"/>
      <c r="AP619" s="28"/>
      <c r="AQ619" s="13"/>
      <c r="AR619" s="28"/>
      <c r="AS619" s="19">
        <f>SUM(H619,J619,L619,N619,P619,R619,T619,V619,X619,Z619,AB619,AD619,AF619,AH619,AJ619,AL619,AN619)</f>
        <v>0</v>
      </c>
      <c r="AT619" s="29" t="str">
        <f>IF(C619="","",DATE(YEAR(C619),MONTH(C619),1))</f>
        <v/>
      </c>
      <c r="AU619" s="28" t="str">
        <f>IF(AT619="","",TEXT(AT619,"mmmm yyyy"))</f>
        <v/>
      </c>
      <c r="AV619" s="29" t="str">
        <f>IF(C619="","",C619-WEEKDAY(C619,2)+1)</f>
        <v/>
      </c>
      <c r="AW619" s="29" t="str">
        <f>IF(AV619="","",AV619+6)</f>
        <v/>
      </c>
      <c r="AX619" s="28" t="str">
        <f>IF(AV619="","",TEXT(AV619,"dd/mm/yyyy")&amp;" - "&amp;TEXT(AW619,"dd/mm/yyyy"))</f>
        <v/>
      </c>
      <c r="AY619" s="28" t="str">
        <f>IF(B619="","",COUNTIFS($B$5:B619,B619,$AT$5:AT619,AT619))</f>
        <v/>
      </c>
      <c r="AZ619" s="28" t="str">
        <f>IF(B619="","",COUNTIFS($B$5:B619,B619,$AV$5:AV619,AV619))</f>
        <v/>
      </c>
      <c r="BA619" s="28" t="str">
        <f>IF(B619="","",TEXT(AY619,"00")&amp;"|"&amp;B619&amp;"|"&amp;TEXT(AT619,"yyyymmdd"))</f>
        <v/>
      </c>
      <c r="BB619" s="28" t="str">
        <f>IF(B619="","",TEXT(AZ619,"00")&amp;"|"&amp;B619&amp;"|"&amp;TEXT(AV619,"yyyymmdd"))</f>
        <v/>
      </c>
      <c r="BC619" s="28">
        <f>IF(OR(AQ619="YES",AQ619="Yes",AQ619="Y",AQ619=1),1,0)</f>
        <v>0</v>
      </c>
    </row>
    <row r="620" spans="1:55" ht="15" customHeight="1">
      <c r="A620" s="27"/>
      <c r="B620" s="28"/>
      <c r="C620" s="29"/>
      <c r="D620" s="30"/>
      <c r="E620" s="30"/>
      <c r="F620" s="28"/>
      <c r="G620" s="28"/>
      <c r="H620" s="28"/>
      <c r="I620" s="13"/>
      <c r="J620" s="28"/>
      <c r="K620" s="13"/>
      <c r="L620" s="28"/>
      <c r="M620" s="13"/>
      <c r="N620" s="28"/>
      <c r="O620" s="13"/>
      <c r="P620" s="28"/>
      <c r="Q620" s="20"/>
      <c r="R620" s="28"/>
      <c r="S620" s="20"/>
      <c r="T620" s="28"/>
      <c r="U620" s="13"/>
      <c r="V620" s="28"/>
      <c r="W620" s="13"/>
      <c r="X620" s="28"/>
      <c r="Y620" s="13"/>
      <c r="Z620" s="28"/>
      <c r="AA620" s="13"/>
      <c r="AB620" s="28"/>
      <c r="AC620" s="13"/>
      <c r="AD620" s="28"/>
      <c r="AE620" s="13"/>
      <c r="AF620" s="28"/>
      <c r="AG620" s="13"/>
      <c r="AH620" s="28"/>
      <c r="AI620" s="13"/>
      <c r="AJ620" s="28"/>
      <c r="AK620" s="13"/>
      <c r="AL620" s="28"/>
      <c r="AM620" s="13"/>
      <c r="AN620" s="28"/>
      <c r="AO620" s="13"/>
      <c r="AP620" s="28"/>
      <c r="AQ620" s="13"/>
      <c r="AR620" s="28"/>
      <c r="AS620" s="19">
        <f>SUM(H620,J620,L620,N620,P620,R620,T620,V620,X620,Z620,AB620,AD620,AF620,AH620,AJ620,AL620,AN620)</f>
        <v>0</v>
      </c>
      <c r="AT620" s="29" t="str">
        <f>IF(C620="","",DATE(YEAR(C620),MONTH(C620),1))</f>
        <v/>
      </c>
      <c r="AU620" s="28" t="str">
        <f>IF(AT620="","",TEXT(AT620,"mmmm yyyy"))</f>
        <v/>
      </c>
      <c r="AV620" s="29" t="str">
        <f>IF(C620="","",C620-WEEKDAY(C620,2)+1)</f>
        <v/>
      </c>
      <c r="AW620" s="29" t="str">
        <f>IF(AV620="","",AV620+6)</f>
        <v/>
      </c>
      <c r="AX620" s="28" t="str">
        <f>IF(AV620="","",TEXT(AV620,"dd/mm/yyyy")&amp;" - "&amp;TEXT(AW620,"dd/mm/yyyy"))</f>
        <v/>
      </c>
      <c r="AY620" s="28" t="str">
        <f>IF(B620="","",COUNTIFS($B$5:B620,B620,$AT$5:AT620,AT620))</f>
        <v/>
      </c>
      <c r="AZ620" s="28" t="str">
        <f>IF(B620="","",COUNTIFS($B$5:B620,B620,$AV$5:AV620,AV620))</f>
        <v/>
      </c>
      <c r="BA620" s="28" t="str">
        <f>IF(B620="","",TEXT(AY620,"00")&amp;"|"&amp;B620&amp;"|"&amp;TEXT(AT620,"yyyymmdd"))</f>
        <v/>
      </c>
      <c r="BB620" s="28" t="str">
        <f>IF(B620="","",TEXT(AZ620,"00")&amp;"|"&amp;B620&amp;"|"&amp;TEXT(AV620,"yyyymmdd"))</f>
        <v/>
      </c>
      <c r="BC620" s="28">
        <f>IF(OR(AQ620="YES",AQ620="Yes",AQ620="Y",AQ620=1),1,0)</f>
        <v>0</v>
      </c>
    </row>
    <row r="621" spans="1:55" ht="15" customHeight="1">
      <c r="A621" s="27"/>
      <c r="B621" s="28"/>
      <c r="C621" s="29"/>
      <c r="D621" s="30"/>
      <c r="E621" s="30"/>
      <c r="F621" s="28"/>
      <c r="G621" s="28"/>
      <c r="H621" s="28"/>
      <c r="I621" s="13"/>
      <c r="J621" s="28"/>
      <c r="K621" s="13"/>
      <c r="L621" s="28"/>
      <c r="M621" s="13"/>
      <c r="N621" s="28"/>
      <c r="O621" s="13"/>
      <c r="P621" s="28"/>
      <c r="Q621" s="20"/>
      <c r="R621" s="28"/>
      <c r="S621" s="20"/>
      <c r="T621" s="28"/>
      <c r="U621" s="13"/>
      <c r="V621" s="28"/>
      <c r="W621" s="13"/>
      <c r="X621" s="28"/>
      <c r="Y621" s="13"/>
      <c r="Z621" s="28"/>
      <c r="AA621" s="13"/>
      <c r="AB621" s="28"/>
      <c r="AC621" s="13"/>
      <c r="AD621" s="28"/>
      <c r="AE621" s="13"/>
      <c r="AF621" s="28"/>
      <c r="AG621" s="13"/>
      <c r="AH621" s="28"/>
      <c r="AI621" s="13"/>
      <c r="AJ621" s="28"/>
      <c r="AK621" s="13"/>
      <c r="AL621" s="28"/>
      <c r="AM621" s="13"/>
      <c r="AN621" s="28"/>
      <c r="AO621" s="13"/>
      <c r="AP621" s="28"/>
      <c r="AQ621" s="13"/>
      <c r="AR621" s="28"/>
      <c r="AS621" s="19">
        <f>SUM(H621,J621,L621,N621,P621,R621,T621,V621,X621,Z621,AB621,AD621,AF621,AH621,AJ621,AL621,AN621)</f>
        <v>0</v>
      </c>
      <c r="AT621" s="29" t="str">
        <f>IF(C621="","",DATE(YEAR(C621),MONTH(C621),1))</f>
        <v/>
      </c>
      <c r="AU621" s="28" t="str">
        <f>IF(AT621="","",TEXT(AT621,"mmmm yyyy"))</f>
        <v/>
      </c>
      <c r="AV621" s="29" t="str">
        <f>IF(C621="","",C621-WEEKDAY(C621,2)+1)</f>
        <v/>
      </c>
      <c r="AW621" s="29" t="str">
        <f>IF(AV621="","",AV621+6)</f>
        <v/>
      </c>
      <c r="AX621" s="28" t="str">
        <f>IF(AV621="","",TEXT(AV621,"dd/mm/yyyy")&amp;" - "&amp;TEXT(AW621,"dd/mm/yyyy"))</f>
        <v/>
      </c>
      <c r="AY621" s="28" t="str">
        <f>IF(B621="","",COUNTIFS($B$5:B621,B621,$AT$5:AT621,AT621))</f>
        <v/>
      </c>
      <c r="AZ621" s="28" t="str">
        <f>IF(B621="","",COUNTIFS($B$5:B621,B621,$AV$5:AV621,AV621))</f>
        <v/>
      </c>
      <c r="BA621" s="28" t="str">
        <f>IF(B621="","",TEXT(AY621,"00")&amp;"|"&amp;B621&amp;"|"&amp;TEXT(AT621,"yyyymmdd"))</f>
        <v/>
      </c>
      <c r="BB621" s="28" t="str">
        <f>IF(B621="","",TEXT(AZ621,"00")&amp;"|"&amp;B621&amp;"|"&amp;TEXT(AV621,"yyyymmdd"))</f>
        <v/>
      </c>
      <c r="BC621" s="28">
        <f>IF(OR(AQ621="YES",AQ621="Yes",AQ621="Y",AQ621=1),1,0)</f>
        <v>0</v>
      </c>
    </row>
    <row r="622" spans="1:55" ht="15" customHeight="1">
      <c r="A622" s="27"/>
      <c r="B622" s="28"/>
      <c r="C622" s="29"/>
      <c r="D622" s="30"/>
      <c r="E622" s="30"/>
      <c r="F622" s="28"/>
      <c r="G622" s="28"/>
      <c r="H622" s="28"/>
      <c r="I622" s="13"/>
      <c r="J622" s="28"/>
      <c r="K622" s="13"/>
      <c r="L622" s="28"/>
      <c r="M622" s="13"/>
      <c r="N622" s="28"/>
      <c r="O622" s="13"/>
      <c r="P622" s="28"/>
      <c r="Q622" s="20"/>
      <c r="R622" s="28"/>
      <c r="S622" s="20"/>
      <c r="T622" s="28"/>
      <c r="U622" s="13"/>
      <c r="V622" s="28"/>
      <c r="W622" s="13"/>
      <c r="X622" s="28"/>
      <c r="Y622" s="13"/>
      <c r="Z622" s="28"/>
      <c r="AA622" s="13"/>
      <c r="AB622" s="28"/>
      <c r="AC622" s="13"/>
      <c r="AD622" s="28"/>
      <c r="AE622" s="13"/>
      <c r="AF622" s="28"/>
      <c r="AG622" s="13"/>
      <c r="AH622" s="28"/>
      <c r="AI622" s="13"/>
      <c r="AJ622" s="28"/>
      <c r="AK622" s="13"/>
      <c r="AL622" s="28"/>
      <c r="AM622" s="13"/>
      <c r="AN622" s="28"/>
      <c r="AO622" s="13"/>
      <c r="AP622" s="28"/>
      <c r="AQ622" s="13"/>
      <c r="AR622" s="28"/>
      <c r="AS622" s="19">
        <f>SUM(H622,J622,L622,N622,P622,R622,T622,V622,X622,Z622,AB622,AD622,AF622,AH622,AJ622,AL622,AN622)</f>
        <v>0</v>
      </c>
      <c r="AT622" s="29" t="str">
        <f>IF(C622="","",DATE(YEAR(C622),MONTH(C622),1))</f>
        <v/>
      </c>
      <c r="AU622" s="28" t="str">
        <f>IF(AT622="","",TEXT(AT622,"mmmm yyyy"))</f>
        <v/>
      </c>
      <c r="AV622" s="29" t="str">
        <f>IF(C622="","",C622-WEEKDAY(C622,2)+1)</f>
        <v/>
      </c>
      <c r="AW622" s="29" t="str">
        <f>IF(AV622="","",AV622+6)</f>
        <v/>
      </c>
      <c r="AX622" s="28" t="str">
        <f>IF(AV622="","",TEXT(AV622,"dd/mm/yyyy")&amp;" - "&amp;TEXT(AW622,"dd/mm/yyyy"))</f>
        <v/>
      </c>
      <c r="AY622" s="28" t="str">
        <f>IF(B622="","",COUNTIFS($B$5:B622,B622,$AT$5:AT622,AT622))</f>
        <v/>
      </c>
      <c r="AZ622" s="28" t="str">
        <f>IF(B622="","",COUNTIFS($B$5:B622,B622,$AV$5:AV622,AV622))</f>
        <v/>
      </c>
      <c r="BA622" s="28" t="str">
        <f>IF(B622="","",TEXT(AY622,"00")&amp;"|"&amp;B622&amp;"|"&amp;TEXT(AT622,"yyyymmdd"))</f>
        <v/>
      </c>
      <c r="BB622" s="28" t="str">
        <f>IF(B622="","",TEXT(AZ622,"00")&amp;"|"&amp;B622&amp;"|"&amp;TEXT(AV622,"yyyymmdd"))</f>
        <v/>
      </c>
      <c r="BC622" s="28">
        <f>IF(OR(AQ622="YES",AQ622="Yes",AQ622="Y",AQ622=1),1,0)</f>
        <v>0</v>
      </c>
    </row>
    <row r="623" spans="1:55" ht="15" customHeight="1">
      <c r="A623" s="27"/>
      <c r="B623" s="28"/>
      <c r="C623" s="29"/>
      <c r="D623" s="30"/>
      <c r="E623" s="30"/>
      <c r="F623" s="28"/>
      <c r="G623" s="28"/>
      <c r="H623" s="28"/>
      <c r="I623" s="13"/>
      <c r="J623" s="28"/>
      <c r="K623" s="13"/>
      <c r="L623" s="28"/>
      <c r="M623" s="13"/>
      <c r="N623" s="28"/>
      <c r="O623" s="13"/>
      <c r="P623" s="28"/>
      <c r="Q623" s="20"/>
      <c r="R623" s="28"/>
      <c r="S623" s="20"/>
      <c r="T623" s="28"/>
      <c r="U623" s="13"/>
      <c r="V623" s="28"/>
      <c r="W623" s="13"/>
      <c r="X623" s="28"/>
      <c r="Y623" s="13"/>
      <c r="Z623" s="28"/>
      <c r="AA623" s="13"/>
      <c r="AB623" s="28"/>
      <c r="AC623" s="13"/>
      <c r="AD623" s="28"/>
      <c r="AE623" s="13"/>
      <c r="AF623" s="28"/>
      <c r="AG623" s="13"/>
      <c r="AH623" s="28"/>
      <c r="AI623" s="13"/>
      <c r="AJ623" s="28"/>
      <c r="AK623" s="13"/>
      <c r="AL623" s="28"/>
      <c r="AM623" s="13"/>
      <c r="AN623" s="28"/>
      <c r="AO623" s="13"/>
      <c r="AP623" s="28"/>
      <c r="AQ623" s="13"/>
      <c r="AR623" s="28"/>
      <c r="AS623" s="19">
        <f>SUM(H623,J623,L623,N623,P623,R623,T623,V623,X623,Z623,AB623,AD623,AF623,AH623,AJ623,AL623,AN623)</f>
        <v>0</v>
      </c>
      <c r="AT623" s="29" t="str">
        <f>IF(C623="","",DATE(YEAR(C623),MONTH(C623),1))</f>
        <v/>
      </c>
      <c r="AU623" s="28" t="str">
        <f>IF(AT623="","",TEXT(AT623,"mmmm yyyy"))</f>
        <v/>
      </c>
      <c r="AV623" s="29" t="str">
        <f>IF(C623="","",C623-WEEKDAY(C623,2)+1)</f>
        <v/>
      </c>
      <c r="AW623" s="29" t="str">
        <f>IF(AV623="","",AV623+6)</f>
        <v/>
      </c>
      <c r="AX623" s="28" t="str">
        <f>IF(AV623="","",TEXT(AV623,"dd/mm/yyyy")&amp;" - "&amp;TEXT(AW623,"dd/mm/yyyy"))</f>
        <v/>
      </c>
      <c r="AY623" s="28" t="str">
        <f>IF(B623="","",COUNTIFS($B$5:B623,B623,$AT$5:AT623,AT623))</f>
        <v/>
      </c>
      <c r="AZ623" s="28" t="str">
        <f>IF(B623="","",COUNTIFS($B$5:B623,B623,$AV$5:AV623,AV623))</f>
        <v/>
      </c>
      <c r="BA623" s="28" t="str">
        <f>IF(B623="","",TEXT(AY623,"00")&amp;"|"&amp;B623&amp;"|"&amp;TEXT(AT623,"yyyymmdd"))</f>
        <v/>
      </c>
      <c r="BB623" s="28" t="str">
        <f>IF(B623="","",TEXT(AZ623,"00")&amp;"|"&amp;B623&amp;"|"&amp;TEXT(AV623,"yyyymmdd"))</f>
        <v/>
      </c>
      <c r="BC623" s="28">
        <f>IF(OR(AQ623="YES",AQ623="Yes",AQ623="Y",AQ623=1),1,0)</f>
        <v>0</v>
      </c>
    </row>
    <row r="624" spans="1:55" ht="15" customHeight="1">
      <c r="A624" s="27"/>
      <c r="B624" s="28"/>
      <c r="C624" s="29"/>
      <c r="D624" s="30"/>
      <c r="E624" s="30"/>
      <c r="F624" s="28"/>
      <c r="G624" s="28"/>
      <c r="H624" s="28"/>
      <c r="I624" s="13"/>
      <c r="J624" s="28"/>
      <c r="K624" s="13"/>
      <c r="L624" s="28"/>
      <c r="M624" s="13"/>
      <c r="N624" s="28"/>
      <c r="O624" s="13"/>
      <c r="P624" s="28"/>
      <c r="Q624" s="20"/>
      <c r="R624" s="28"/>
      <c r="S624" s="20"/>
      <c r="T624" s="28"/>
      <c r="U624" s="13"/>
      <c r="V624" s="28"/>
      <c r="W624" s="13"/>
      <c r="X624" s="28"/>
      <c r="Y624" s="13"/>
      <c r="Z624" s="28"/>
      <c r="AA624" s="13"/>
      <c r="AB624" s="28"/>
      <c r="AC624" s="13"/>
      <c r="AD624" s="28"/>
      <c r="AE624" s="13"/>
      <c r="AF624" s="28"/>
      <c r="AG624" s="13"/>
      <c r="AH624" s="28"/>
      <c r="AI624" s="13"/>
      <c r="AJ624" s="28"/>
      <c r="AK624" s="13"/>
      <c r="AL624" s="28"/>
      <c r="AM624" s="13"/>
      <c r="AN624" s="28"/>
      <c r="AO624" s="13"/>
      <c r="AP624" s="28"/>
      <c r="AQ624" s="13"/>
      <c r="AR624" s="28"/>
      <c r="AS624" s="19">
        <f>SUM(H624,J624,L624,N624,P624,R624,T624,V624,X624,Z624,AB624,AD624,AF624,AH624,AJ624,AL624,AN624)</f>
        <v>0</v>
      </c>
      <c r="AT624" s="29" t="str">
        <f>IF(C624="","",DATE(YEAR(C624),MONTH(C624),1))</f>
        <v/>
      </c>
      <c r="AU624" s="28" t="str">
        <f>IF(AT624="","",TEXT(AT624,"mmmm yyyy"))</f>
        <v/>
      </c>
      <c r="AV624" s="29" t="str">
        <f>IF(C624="","",C624-WEEKDAY(C624,2)+1)</f>
        <v/>
      </c>
      <c r="AW624" s="29" t="str">
        <f>IF(AV624="","",AV624+6)</f>
        <v/>
      </c>
      <c r="AX624" s="28" t="str">
        <f>IF(AV624="","",TEXT(AV624,"dd/mm/yyyy")&amp;" - "&amp;TEXT(AW624,"dd/mm/yyyy"))</f>
        <v/>
      </c>
      <c r="AY624" s="28" t="str">
        <f>IF(B624="","",COUNTIFS($B$5:B624,B624,$AT$5:AT624,AT624))</f>
        <v/>
      </c>
      <c r="AZ624" s="28" t="str">
        <f>IF(B624="","",COUNTIFS($B$5:B624,B624,$AV$5:AV624,AV624))</f>
        <v/>
      </c>
      <c r="BA624" s="28" t="str">
        <f>IF(B624="","",TEXT(AY624,"00")&amp;"|"&amp;B624&amp;"|"&amp;TEXT(AT624,"yyyymmdd"))</f>
        <v/>
      </c>
      <c r="BB624" s="28" t="str">
        <f>IF(B624="","",TEXT(AZ624,"00")&amp;"|"&amp;B624&amp;"|"&amp;TEXT(AV624,"yyyymmdd"))</f>
        <v/>
      </c>
      <c r="BC624" s="28">
        <f>IF(OR(AQ624="YES",AQ624="Yes",AQ624="Y",AQ624=1),1,0)</f>
        <v>0</v>
      </c>
    </row>
    <row r="625" spans="1:55" ht="15" customHeight="1">
      <c r="A625" s="27"/>
      <c r="B625" s="28"/>
      <c r="C625" s="29"/>
      <c r="D625" s="30"/>
      <c r="E625" s="30"/>
      <c r="F625" s="28"/>
      <c r="G625" s="28"/>
      <c r="H625" s="28"/>
      <c r="I625" s="13"/>
      <c r="J625" s="28"/>
      <c r="K625" s="13"/>
      <c r="L625" s="28"/>
      <c r="M625" s="13"/>
      <c r="N625" s="28"/>
      <c r="O625" s="13"/>
      <c r="P625" s="28"/>
      <c r="Q625" s="20"/>
      <c r="R625" s="28"/>
      <c r="S625" s="20"/>
      <c r="T625" s="28"/>
      <c r="U625" s="13"/>
      <c r="V625" s="28"/>
      <c r="W625" s="13"/>
      <c r="X625" s="28"/>
      <c r="Y625" s="13"/>
      <c r="Z625" s="28"/>
      <c r="AA625" s="13"/>
      <c r="AB625" s="28"/>
      <c r="AC625" s="13"/>
      <c r="AD625" s="28"/>
      <c r="AE625" s="13"/>
      <c r="AF625" s="28"/>
      <c r="AG625" s="13"/>
      <c r="AH625" s="28"/>
      <c r="AI625" s="13"/>
      <c r="AJ625" s="28"/>
      <c r="AK625" s="13"/>
      <c r="AL625" s="28"/>
      <c r="AM625" s="13"/>
      <c r="AN625" s="28"/>
      <c r="AO625" s="13"/>
      <c r="AP625" s="28"/>
      <c r="AQ625" s="13"/>
      <c r="AR625" s="28"/>
      <c r="AS625" s="19">
        <f>SUM(H625,J625,L625,N625,P625,R625,T625,V625,X625,Z625,AB625,AD625,AF625,AH625,AJ625,AL625,AN625)</f>
        <v>0</v>
      </c>
      <c r="AT625" s="29" t="str">
        <f>IF(C625="","",DATE(YEAR(C625),MONTH(C625),1))</f>
        <v/>
      </c>
      <c r="AU625" s="28" t="str">
        <f>IF(AT625="","",TEXT(AT625,"mmmm yyyy"))</f>
        <v/>
      </c>
      <c r="AV625" s="29" t="str">
        <f>IF(C625="","",C625-WEEKDAY(C625,2)+1)</f>
        <v/>
      </c>
      <c r="AW625" s="29" t="str">
        <f>IF(AV625="","",AV625+6)</f>
        <v/>
      </c>
      <c r="AX625" s="28" t="str">
        <f>IF(AV625="","",TEXT(AV625,"dd/mm/yyyy")&amp;" - "&amp;TEXT(AW625,"dd/mm/yyyy"))</f>
        <v/>
      </c>
      <c r="AY625" s="28" t="str">
        <f>IF(B625="","",COUNTIFS($B$5:B625,B625,$AT$5:AT625,AT625))</f>
        <v/>
      </c>
      <c r="AZ625" s="28" t="str">
        <f>IF(B625="","",COUNTIFS($B$5:B625,B625,$AV$5:AV625,AV625))</f>
        <v/>
      </c>
      <c r="BA625" s="28" t="str">
        <f>IF(B625="","",TEXT(AY625,"00")&amp;"|"&amp;B625&amp;"|"&amp;TEXT(AT625,"yyyymmdd"))</f>
        <v/>
      </c>
      <c r="BB625" s="28" t="str">
        <f>IF(B625="","",TEXT(AZ625,"00")&amp;"|"&amp;B625&amp;"|"&amp;TEXT(AV625,"yyyymmdd"))</f>
        <v/>
      </c>
      <c r="BC625" s="28">
        <f>IF(OR(AQ625="YES",AQ625="Yes",AQ625="Y",AQ625=1),1,0)</f>
        <v>0</v>
      </c>
    </row>
    <row r="626" spans="1:55" ht="15" customHeight="1">
      <c r="A626" s="27"/>
      <c r="B626" s="28"/>
      <c r="C626" s="29"/>
      <c r="D626" s="30"/>
      <c r="E626" s="30"/>
      <c r="F626" s="28"/>
      <c r="G626" s="28"/>
      <c r="H626" s="28"/>
      <c r="I626" s="13"/>
      <c r="J626" s="28"/>
      <c r="K626" s="13"/>
      <c r="L626" s="28"/>
      <c r="M626" s="13"/>
      <c r="N626" s="28"/>
      <c r="O626" s="13"/>
      <c r="P626" s="28"/>
      <c r="Q626" s="20"/>
      <c r="R626" s="28"/>
      <c r="S626" s="20"/>
      <c r="T626" s="28"/>
      <c r="U626" s="13"/>
      <c r="V626" s="28"/>
      <c r="W626" s="13"/>
      <c r="X626" s="28"/>
      <c r="Y626" s="13"/>
      <c r="Z626" s="28"/>
      <c r="AA626" s="13"/>
      <c r="AB626" s="28"/>
      <c r="AC626" s="13"/>
      <c r="AD626" s="28"/>
      <c r="AE626" s="13"/>
      <c r="AF626" s="28"/>
      <c r="AG626" s="13"/>
      <c r="AH626" s="28"/>
      <c r="AI626" s="13"/>
      <c r="AJ626" s="28"/>
      <c r="AK626" s="13"/>
      <c r="AL626" s="28"/>
      <c r="AM626" s="13"/>
      <c r="AN626" s="28"/>
      <c r="AO626" s="13"/>
      <c r="AP626" s="28"/>
      <c r="AQ626" s="13"/>
      <c r="AR626" s="28"/>
      <c r="AS626" s="19">
        <f>SUM(H626,J626,L626,N626,P626,R626,T626,V626,X626,Z626,AB626,AD626,AF626,AH626,AJ626,AL626,AN626)</f>
        <v>0</v>
      </c>
      <c r="AT626" s="29" t="str">
        <f>IF(C626="","",DATE(YEAR(C626),MONTH(C626),1))</f>
        <v/>
      </c>
      <c r="AU626" s="28" t="str">
        <f>IF(AT626="","",TEXT(AT626,"mmmm yyyy"))</f>
        <v/>
      </c>
      <c r="AV626" s="29" t="str">
        <f>IF(C626="","",C626-WEEKDAY(C626,2)+1)</f>
        <v/>
      </c>
      <c r="AW626" s="29" t="str">
        <f>IF(AV626="","",AV626+6)</f>
        <v/>
      </c>
      <c r="AX626" s="28" t="str">
        <f>IF(AV626="","",TEXT(AV626,"dd/mm/yyyy")&amp;" - "&amp;TEXT(AW626,"dd/mm/yyyy"))</f>
        <v/>
      </c>
      <c r="AY626" s="28" t="str">
        <f>IF(B626="","",COUNTIFS($B$5:B626,B626,$AT$5:AT626,AT626))</f>
        <v/>
      </c>
      <c r="AZ626" s="28" t="str">
        <f>IF(B626="","",COUNTIFS($B$5:B626,B626,$AV$5:AV626,AV626))</f>
        <v/>
      </c>
      <c r="BA626" s="28" t="str">
        <f>IF(B626="","",TEXT(AY626,"00")&amp;"|"&amp;B626&amp;"|"&amp;TEXT(AT626,"yyyymmdd"))</f>
        <v/>
      </c>
      <c r="BB626" s="28" t="str">
        <f>IF(B626="","",TEXT(AZ626,"00")&amp;"|"&amp;B626&amp;"|"&amp;TEXT(AV626,"yyyymmdd"))</f>
        <v/>
      </c>
      <c r="BC626" s="28">
        <f>IF(OR(AQ626="YES",AQ626="Yes",AQ626="Y",AQ626=1),1,0)</f>
        <v>0</v>
      </c>
    </row>
    <row r="627" spans="1:55" ht="15" customHeight="1">
      <c r="A627" s="27"/>
      <c r="B627" s="28"/>
      <c r="C627" s="29"/>
      <c r="D627" s="30"/>
      <c r="E627" s="30"/>
      <c r="F627" s="28"/>
      <c r="G627" s="28"/>
      <c r="H627" s="28"/>
      <c r="I627" s="13"/>
      <c r="J627" s="28"/>
      <c r="K627" s="13"/>
      <c r="L627" s="28"/>
      <c r="M627" s="13"/>
      <c r="N627" s="28"/>
      <c r="O627" s="13"/>
      <c r="P627" s="28"/>
      <c r="Q627" s="20"/>
      <c r="R627" s="28"/>
      <c r="S627" s="20"/>
      <c r="T627" s="28"/>
      <c r="U627" s="13"/>
      <c r="V627" s="28"/>
      <c r="W627" s="13"/>
      <c r="X627" s="28"/>
      <c r="Y627" s="13"/>
      <c r="Z627" s="28"/>
      <c r="AA627" s="13"/>
      <c r="AB627" s="28"/>
      <c r="AC627" s="13"/>
      <c r="AD627" s="28"/>
      <c r="AE627" s="13"/>
      <c r="AF627" s="28"/>
      <c r="AG627" s="13"/>
      <c r="AH627" s="28"/>
      <c r="AI627" s="13"/>
      <c r="AJ627" s="28"/>
      <c r="AK627" s="13"/>
      <c r="AL627" s="28"/>
      <c r="AM627" s="13"/>
      <c r="AN627" s="28"/>
      <c r="AO627" s="13"/>
      <c r="AP627" s="28"/>
      <c r="AQ627" s="13"/>
      <c r="AR627" s="28"/>
      <c r="AS627" s="19">
        <f>SUM(H627,J627,L627,N627,P627,R627,T627,V627,X627,Z627,AB627,AD627,AF627,AH627,AJ627,AL627,AN627)</f>
        <v>0</v>
      </c>
      <c r="AT627" s="29" t="str">
        <f>IF(C627="","",DATE(YEAR(C627),MONTH(C627),1))</f>
        <v/>
      </c>
      <c r="AU627" s="28" t="str">
        <f>IF(AT627="","",TEXT(AT627,"mmmm yyyy"))</f>
        <v/>
      </c>
      <c r="AV627" s="29" t="str">
        <f>IF(C627="","",C627-WEEKDAY(C627,2)+1)</f>
        <v/>
      </c>
      <c r="AW627" s="29" t="str">
        <f>IF(AV627="","",AV627+6)</f>
        <v/>
      </c>
      <c r="AX627" s="28" t="str">
        <f>IF(AV627="","",TEXT(AV627,"dd/mm/yyyy")&amp;" - "&amp;TEXT(AW627,"dd/mm/yyyy"))</f>
        <v/>
      </c>
      <c r="AY627" s="28" t="str">
        <f>IF(B627="","",COUNTIFS($B$5:B627,B627,$AT$5:AT627,AT627))</f>
        <v/>
      </c>
      <c r="AZ627" s="28" t="str">
        <f>IF(B627="","",COUNTIFS($B$5:B627,B627,$AV$5:AV627,AV627))</f>
        <v/>
      </c>
      <c r="BA627" s="28" t="str">
        <f>IF(B627="","",TEXT(AY627,"00")&amp;"|"&amp;B627&amp;"|"&amp;TEXT(AT627,"yyyymmdd"))</f>
        <v/>
      </c>
      <c r="BB627" s="28" t="str">
        <f>IF(B627="","",TEXT(AZ627,"00")&amp;"|"&amp;B627&amp;"|"&amp;TEXT(AV627,"yyyymmdd"))</f>
        <v/>
      </c>
      <c r="BC627" s="28">
        <f>IF(OR(AQ627="YES",AQ627="Yes",AQ627="Y",AQ627=1),1,0)</f>
        <v>0</v>
      </c>
    </row>
    <row r="628" spans="1:55" ht="15" customHeight="1">
      <c r="A628" s="27"/>
      <c r="B628" s="28"/>
      <c r="C628" s="29"/>
      <c r="D628" s="30"/>
      <c r="E628" s="30"/>
      <c r="F628" s="28"/>
      <c r="G628" s="28"/>
      <c r="H628" s="28"/>
      <c r="I628" s="13"/>
      <c r="J628" s="28"/>
      <c r="K628" s="13"/>
      <c r="L628" s="28"/>
      <c r="M628" s="13"/>
      <c r="N628" s="28"/>
      <c r="O628" s="13"/>
      <c r="P628" s="28"/>
      <c r="Q628" s="20"/>
      <c r="R628" s="28"/>
      <c r="S628" s="20"/>
      <c r="T628" s="28"/>
      <c r="U628" s="13"/>
      <c r="V628" s="28"/>
      <c r="W628" s="13"/>
      <c r="X628" s="28"/>
      <c r="Y628" s="13"/>
      <c r="Z628" s="28"/>
      <c r="AA628" s="13"/>
      <c r="AB628" s="28"/>
      <c r="AC628" s="13"/>
      <c r="AD628" s="28"/>
      <c r="AE628" s="13"/>
      <c r="AF628" s="28"/>
      <c r="AG628" s="13"/>
      <c r="AH628" s="28"/>
      <c r="AI628" s="13"/>
      <c r="AJ628" s="28"/>
      <c r="AK628" s="13"/>
      <c r="AL628" s="28"/>
      <c r="AM628" s="13"/>
      <c r="AN628" s="28"/>
      <c r="AO628" s="13"/>
      <c r="AP628" s="28"/>
      <c r="AQ628" s="13"/>
      <c r="AR628" s="28"/>
      <c r="AS628" s="19">
        <f>SUM(H628,J628,L628,N628,P628,R628,T628,V628,X628,Z628,AB628,AD628,AF628,AH628,AJ628,AL628,AN628)</f>
        <v>0</v>
      </c>
      <c r="AT628" s="29" t="str">
        <f>IF(C628="","",DATE(YEAR(C628),MONTH(C628),1))</f>
        <v/>
      </c>
      <c r="AU628" s="28" t="str">
        <f>IF(AT628="","",TEXT(AT628,"mmmm yyyy"))</f>
        <v/>
      </c>
      <c r="AV628" s="29" t="str">
        <f>IF(C628="","",C628-WEEKDAY(C628,2)+1)</f>
        <v/>
      </c>
      <c r="AW628" s="29" t="str">
        <f>IF(AV628="","",AV628+6)</f>
        <v/>
      </c>
      <c r="AX628" s="28" t="str">
        <f>IF(AV628="","",TEXT(AV628,"dd/mm/yyyy")&amp;" - "&amp;TEXT(AW628,"dd/mm/yyyy"))</f>
        <v/>
      </c>
      <c r="AY628" s="28" t="str">
        <f>IF(B628="","",COUNTIFS($B$5:B628,B628,$AT$5:AT628,AT628))</f>
        <v/>
      </c>
      <c r="AZ628" s="28" t="str">
        <f>IF(B628="","",COUNTIFS($B$5:B628,B628,$AV$5:AV628,AV628))</f>
        <v/>
      </c>
      <c r="BA628" s="28" t="str">
        <f>IF(B628="","",TEXT(AY628,"00")&amp;"|"&amp;B628&amp;"|"&amp;TEXT(AT628,"yyyymmdd"))</f>
        <v/>
      </c>
      <c r="BB628" s="28" t="str">
        <f>IF(B628="","",TEXT(AZ628,"00")&amp;"|"&amp;B628&amp;"|"&amp;TEXT(AV628,"yyyymmdd"))</f>
        <v/>
      </c>
      <c r="BC628" s="28">
        <f>IF(OR(AQ628="YES",AQ628="Yes",AQ628="Y",AQ628=1),1,0)</f>
        <v>0</v>
      </c>
    </row>
    <row r="629" spans="1:55" ht="15" customHeight="1">
      <c r="A629" s="27"/>
      <c r="B629" s="28"/>
      <c r="C629" s="29"/>
      <c r="D629" s="30"/>
      <c r="E629" s="30"/>
      <c r="F629" s="28"/>
      <c r="G629" s="28"/>
      <c r="H629" s="28"/>
      <c r="I629" s="13"/>
      <c r="J629" s="28"/>
      <c r="K629" s="13"/>
      <c r="L629" s="28"/>
      <c r="M629" s="13"/>
      <c r="N629" s="28"/>
      <c r="O629" s="13"/>
      <c r="P629" s="28"/>
      <c r="Q629" s="20"/>
      <c r="R629" s="28"/>
      <c r="S629" s="20"/>
      <c r="T629" s="28"/>
      <c r="U629" s="13"/>
      <c r="V629" s="28"/>
      <c r="W629" s="13"/>
      <c r="X629" s="28"/>
      <c r="Y629" s="13"/>
      <c r="Z629" s="28"/>
      <c r="AA629" s="13"/>
      <c r="AB629" s="28"/>
      <c r="AC629" s="13"/>
      <c r="AD629" s="28"/>
      <c r="AE629" s="13"/>
      <c r="AF629" s="28"/>
      <c r="AG629" s="13"/>
      <c r="AH629" s="28"/>
      <c r="AI629" s="13"/>
      <c r="AJ629" s="28"/>
      <c r="AK629" s="13"/>
      <c r="AL629" s="28"/>
      <c r="AM629" s="13"/>
      <c r="AN629" s="28"/>
      <c r="AO629" s="13"/>
      <c r="AP629" s="28"/>
      <c r="AQ629" s="13"/>
      <c r="AR629" s="28"/>
      <c r="AS629" s="19">
        <f>SUM(H629,J629,L629,N629,P629,R629,T629,V629,X629,Z629,AB629,AD629,AF629,AH629,AJ629,AL629,AN629)</f>
        <v>0</v>
      </c>
      <c r="AT629" s="29" t="str">
        <f>IF(C629="","",DATE(YEAR(C629),MONTH(C629),1))</f>
        <v/>
      </c>
      <c r="AU629" s="28" t="str">
        <f>IF(AT629="","",TEXT(AT629,"mmmm yyyy"))</f>
        <v/>
      </c>
      <c r="AV629" s="29" t="str">
        <f>IF(C629="","",C629-WEEKDAY(C629,2)+1)</f>
        <v/>
      </c>
      <c r="AW629" s="29" t="str">
        <f>IF(AV629="","",AV629+6)</f>
        <v/>
      </c>
      <c r="AX629" s="28" t="str">
        <f>IF(AV629="","",TEXT(AV629,"dd/mm/yyyy")&amp;" - "&amp;TEXT(AW629,"dd/mm/yyyy"))</f>
        <v/>
      </c>
      <c r="AY629" s="28" t="str">
        <f>IF(B629="","",COUNTIFS($B$5:B629,B629,$AT$5:AT629,AT629))</f>
        <v/>
      </c>
      <c r="AZ629" s="28" t="str">
        <f>IF(B629="","",COUNTIFS($B$5:B629,B629,$AV$5:AV629,AV629))</f>
        <v/>
      </c>
      <c r="BA629" s="28" t="str">
        <f>IF(B629="","",TEXT(AY629,"00")&amp;"|"&amp;B629&amp;"|"&amp;TEXT(AT629,"yyyymmdd"))</f>
        <v/>
      </c>
      <c r="BB629" s="28" t="str">
        <f>IF(B629="","",TEXT(AZ629,"00")&amp;"|"&amp;B629&amp;"|"&amp;TEXT(AV629,"yyyymmdd"))</f>
        <v/>
      </c>
      <c r="BC629" s="28">
        <f>IF(OR(AQ629="YES",AQ629="Yes",AQ629="Y",AQ629=1),1,0)</f>
        <v>0</v>
      </c>
    </row>
    <row r="630" spans="1:55" ht="15" customHeight="1">
      <c r="A630" s="27"/>
      <c r="B630" s="28"/>
      <c r="C630" s="29"/>
      <c r="D630" s="30"/>
      <c r="E630" s="30"/>
      <c r="F630" s="28"/>
      <c r="G630" s="28"/>
      <c r="H630" s="28"/>
      <c r="I630" s="13"/>
      <c r="J630" s="28"/>
      <c r="K630" s="13"/>
      <c r="L630" s="28"/>
      <c r="M630" s="13"/>
      <c r="N630" s="28"/>
      <c r="O630" s="13"/>
      <c r="P630" s="28"/>
      <c r="Q630" s="20"/>
      <c r="R630" s="28"/>
      <c r="S630" s="20"/>
      <c r="T630" s="28"/>
      <c r="U630" s="13"/>
      <c r="V630" s="28"/>
      <c r="W630" s="13"/>
      <c r="X630" s="28"/>
      <c r="Y630" s="13"/>
      <c r="Z630" s="28"/>
      <c r="AA630" s="13"/>
      <c r="AB630" s="28"/>
      <c r="AC630" s="13"/>
      <c r="AD630" s="28"/>
      <c r="AE630" s="13"/>
      <c r="AF630" s="28"/>
      <c r="AG630" s="13"/>
      <c r="AH630" s="28"/>
      <c r="AI630" s="13"/>
      <c r="AJ630" s="28"/>
      <c r="AK630" s="13"/>
      <c r="AL630" s="28"/>
      <c r="AM630" s="13"/>
      <c r="AN630" s="28"/>
      <c r="AO630" s="13"/>
      <c r="AP630" s="28"/>
      <c r="AQ630" s="13"/>
      <c r="AR630" s="28"/>
      <c r="AS630" s="19">
        <f>SUM(H630,J630,L630,N630,P630,R630,T630,V630,X630,Z630,AB630,AD630,AF630,AH630,AJ630,AL630,AN630)</f>
        <v>0</v>
      </c>
      <c r="AT630" s="29" t="str">
        <f>IF(C630="","",DATE(YEAR(C630),MONTH(C630),1))</f>
        <v/>
      </c>
      <c r="AU630" s="28" t="str">
        <f>IF(AT630="","",TEXT(AT630,"mmmm yyyy"))</f>
        <v/>
      </c>
      <c r="AV630" s="29" t="str">
        <f>IF(C630="","",C630-WEEKDAY(C630,2)+1)</f>
        <v/>
      </c>
      <c r="AW630" s="29" t="str">
        <f>IF(AV630="","",AV630+6)</f>
        <v/>
      </c>
      <c r="AX630" s="28" t="str">
        <f>IF(AV630="","",TEXT(AV630,"dd/mm/yyyy")&amp;" - "&amp;TEXT(AW630,"dd/mm/yyyy"))</f>
        <v/>
      </c>
      <c r="AY630" s="28" t="str">
        <f>IF(B630="","",COUNTIFS($B$5:B630,B630,$AT$5:AT630,AT630))</f>
        <v/>
      </c>
      <c r="AZ630" s="28" t="str">
        <f>IF(B630="","",COUNTIFS($B$5:B630,B630,$AV$5:AV630,AV630))</f>
        <v/>
      </c>
      <c r="BA630" s="28" t="str">
        <f>IF(B630="","",TEXT(AY630,"00")&amp;"|"&amp;B630&amp;"|"&amp;TEXT(AT630,"yyyymmdd"))</f>
        <v/>
      </c>
      <c r="BB630" s="28" t="str">
        <f>IF(B630="","",TEXT(AZ630,"00")&amp;"|"&amp;B630&amp;"|"&amp;TEXT(AV630,"yyyymmdd"))</f>
        <v/>
      </c>
      <c r="BC630" s="28">
        <f>IF(OR(AQ630="YES",AQ630="Yes",AQ630="Y",AQ630=1),1,0)</f>
        <v>0</v>
      </c>
    </row>
    <row r="631" spans="1:55" ht="15" customHeight="1">
      <c r="A631" s="27"/>
      <c r="B631" s="28"/>
      <c r="C631" s="29"/>
      <c r="D631" s="30"/>
      <c r="E631" s="30"/>
      <c r="F631" s="28"/>
      <c r="G631" s="28"/>
      <c r="H631" s="28"/>
      <c r="I631" s="13"/>
      <c r="J631" s="28"/>
      <c r="K631" s="13"/>
      <c r="L631" s="28"/>
      <c r="M631" s="13"/>
      <c r="N631" s="28"/>
      <c r="O631" s="13"/>
      <c r="P631" s="28"/>
      <c r="Q631" s="20"/>
      <c r="R631" s="28"/>
      <c r="S631" s="20"/>
      <c r="T631" s="28"/>
      <c r="U631" s="13"/>
      <c r="V631" s="28"/>
      <c r="W631" s="13"/>
      <c r="X631" s="28"/>
      <c r="Y631" s="13"/>
      <c r="Z631" s="28"/>
      <c r="AA631" s="13"/>
      <c r="AB631" s="28"/>
      <c r="AC631" s="13"/>
      <c r="AD631" s="28"/>
      <c r="AE631" s="13"/>
      <c r="AF631" s="28"/>
      <c r="AG631" s="13"/>
      <c r="AH631" s="28"/>
      <c r="AI631" s="13"/>
      <c r="AJ631" s="28"/>
      <c r="AK631" s="13"/>
      <c r="AL631" s="28"/>
      <c r="AM631" s="13"/>
      <c r="AN631" s="28"/>
      <c r="AO631" s="13"/>
      <c r="AP631" s="28"/>
      <c r="AQ631" s="13"/>
      <c r="AR631" s="28"/>
      <c r="AS631" s="19">
        <f>SUM(H631,J631,L631,N631,P631,R631,T631,V631,X631,Z631,AB631,AD631,AF631,AH631,AJ631,AL631,AN631)</f>
        <v>0</v>
      </c>
      <c r="AT631" s="29" t="str">
        <f>IF(C631="","",DATE(YEAR(C631),MONTH(C631),1))</f>
        <v/>
      </c>
      <c r="AU631" s="28" t="str">
        <f>IF(AT631="","",TEXT(AT631,"mmmm yyyy"))</f>
        <v/>
      </c>
      <c r="AV631" s="29" t="str">
        <f>IF(C631="","",C631-WEEKDAY(C631,2)+1)</f>
        <v/>
      </c>
      <c r="AW631" s="29" t="str">
        <f>IF(AV631="","",AV631+6)</f>
        <v/>
      </c>
      <c r="AX631" s="28" t="str">
        <f>IF(AV631="","",TEXT(AV631,"dd/mm/yyyy")&amp;" - "&amp;TEXT(AW631,"dd/mm/yyyy"))</f>
        <v/>
      </c>
      <c r="AY631" s="28" t="str">
        <f>IF(B631="","",COUNTIFS($B$5:B631,B631,$AT$5:AT631,AT631))</f>
        <v/>
      </c>
      <c r="AZ631" s="28" t="str">
        <f>IF(B631="","",COUNTIFS($B$5:B631,B631,$AV$5:AV631,AV631))</f>
        <v/>
      </c>
      <c r="BA631" s="28" t="str">
        <f>IF(B631="","",TEXT(AY631,"00")&amp;"|"&amp;B631&amp;"|"&amp;TEXT(AT631,"yyyymmdd"))</f>
        <v/>
      </c>
      <c r="BB631" s="28" t="str">
        <f>IF(B631="","",TEXT(AZ631,"00")&amp;"|"&amp;B631&amp;"|"&amp;TEXT(AV631,"yyyymmdd"))</f>
        <v/>
      </c>
      <c r="BC631" s="28">
        <f>IF(OR(AQ631="YES",AQ631="Yes",AQ631="Y",AQ631=1),1,0)</f>
        <v>0</v>
      </c>
    </row>
    <row r="632" spans="1:55" ht="15" customHeight="1">
      <c r="A632" s="27"/>
      <c r="B632" s="28"/>
      <c r="C632" s="29"/>
      <c r="D632" s="30"/>
      <c r="E632" s="30"/>
      <c r="F632" s="28"/>
      <c r="G632" s="28"/>
      <c r="H632" s="28"/>
      <c r="I632" s="13"/>
      <c r="J632" s="28"/>
      <c r="K632" s="13"/>
      <c r="L632" s="28"/>
      <c r="M632" s="13"/>
      <c r="N632" s="28"/>
      <c r="O632" s="13"/>
      <c r="P632" s="28"/>
      <c r="Q632" s="20"/>
      <c r="R632" s="28"/>
      <c r="S632" s="20"/>
      <c r="T632" s="28"/>
      <c r="U632" s="13"/>
      <c r="V632" s="28"/>
      <c r="W632" s="13"/>
      <c r="X632" s="28"/>
      <c r="Y632" s="13"/>
      <c r="Z632" s="28"/>
      <c r="AA632" s="13"/>
      <c r="AB632" s="28"/>
      <c r="AC632" s="13"/>
      <c r="AD632" s="28"/>
      <c r="AE632" s="13"/>
      <c r="AF632" s="28"/>
      <c r="AG632" s="13"/>
      <c r="AH632" s="28"/>
      <c r="AI632" s="13"/>
      <c r="AJ632" s="28"/>
      <c r="AK632" s="13"/>
      <c r="AL632" s="28"/>
      <c r="AM632" s="13"/>
      <c r="AN632" s="28"/>
      <c r="AO632" s="13"/>
      <c r="AP632" s="28"/>
      <c r="AQ632" s="13"/>
      <c r="AR632" s="28"/>
      <c r="AS632" s="19">
        <f>SUM(H632,J632,L632,N632,P632,R632,T632,V632,X632,Z632,AB632,AD632,AF632,AH632,AJ632,AL632,AN632)</f>
        <v>0</v>
      </c>
      <c r="AT632" s="29" t="str">
        <f>IF(C632="","",DATE(YEAR(C632),MONTH(C632),1))</f>
        <v/>
      </c>
      <c r="AU632" s="28" t="str">
        <f>IF(AT632="","",TEXT(AT632,"mmmm yyyy"))</f>
        <v/>
      </c>
      <c r="AV632" s="29" t="str">
        <f>IF(C632="","",C632-WEEKDAY(C632,2)+1)</f>
        <v/>
      </c>
      <c r="AW632" s="29" t="str">
        <f>IF(AV632="","",AV632+6)</f>
        <v/>
      </c>
      <c r="AX632" s="28" t="str">
        <f>IF(AV632="","",TEXT(AV632,"dd/mm/yyyy")&amp;" - "&amp;TEXT(AW632,"dd/mm/yyyy"))</f>
        <v/>
      </c>
      <c r="AY632" s="28" t="str">
        <f>IF(B632="","",COUNTIFS($B$5:B632,B632,$AT$5:AT632,AT632))</f>
        <v/>
      </c>
      <c r="AZ632" s="28" t="str">
        <f>IF(B632="","",COUNTIFS($B$5:B632,B632,$AV$5:AV632,AV632))</f>
        <v/>
      </c>
      <c r="BA632" s="28" t="str">
        <f>IF(B632="","",TEXT(AY632,"00")&amp;"|"&amp;B632&amp;"|"&amp;TEXT(AT632,"yyyymmdd"))</f>
        <v/>
      </c>
      <c r="BB632" s="28" t="str">
        <f>IF(B632="","",TEXT(AZ632,"00")&amp;"|"&amp;B632&amp;"|"&amp;TEXT(AV632,"yyyymmdd"))</f>
        <v/>
      </c>
      <c r="BC632" s="28">
        <f>IF(OR(AQ632="YES",AQ632="Yes",AQ632="Y",AQ632=1),1,0)</f>
        <v>0</v>
      </c>
    </row>
    <row r="633" spans="1:55" ht="15" customHeight="1">
      <c r="A633" s="27"/>
      <c r="B633" s="28"/>
      <c r="C633" s="29"/>
      <c r="D633" s="30"/>
      <c r="E633" s="30"/>
      <c r="F633" s="28"/>
      <c r="G633" s="28"/>
      <c r="H633" s="28"/>
      <c r="I633" s="13"/>
      <c r="J633" s="28"/>
      <c r="K633" s="13"/>
      <c r="L633" s="28"/>
      <c r="M633" s="13"/>
      <c r="N633" s="28"/>
      <c r="O633" s="13"/>
      <c r="P633" s="28"/>
      <c r="Q633" s="20"/>
      <c r="R633" s="28"/>
      <c r="S633" s="20"/>
      <c r="T633" s="28"/>
      <c r="U633" s="13"/>
      <c r="V633" s="28"/>
      <c r="W633" s="13"/>
      <c r="X633" s="28"/>
      <c r="Y633" s="13"/>
      <c r="Z633" s="28"/>
      <c r="AA633" s="13"/>
      <c r="AB633" s="28"/>
      <c r="AC633" s="13"/>
      <c r="AD633" s="28"/>
      <c r="AE633" s="13"/>
      <c r="AF633" s="28"/>
      <c r="AG633" s="13"/>
      <c r="AH633" s="28"/>
      <c r="AI633" s="13"/>
      <c r="AJ633" s="28"/>
      <c r="AK633" s="13"/>
      <c r="AL633" s="28"/>
      <c r="AM633" s="13"/>
      <c r="AN633" s="28"/>
      <c r="AO633" s="13"/>
      <c r="AP633" s="28"/>
      <c r="AQ633" s="13"/>
      <c r="AR633" s="28"/>
      <c r="AS633" s="19">
        <f>SUM(H633,J633,L633,N633,P633,R633,T633,V633,X633,Z633,AB633,AD633,AF633,AH633,AJ633,AL633,AN633)</f>
        <v>0</v>
      </c>
      <c r="AT633" s="29" t="str">
        <f>IF(C633="","",DATE(YEAR(C633),MONTH(C633),1))</f>
        <v/>
      </c>
      <c r="AU633" s="28" t="str">
        <f>IF(AT633="","",TEXT(AT633,"mmmm yyyy"))</f>
        <v/>
      </c>
      <c r="AV633" s="29" t="str">
        <f>IF(C633="","",C633-WEEKDAY(C633,2)+1)</f>
        <v/>
      </c>
      <c r="AW633" s="29" t="str">
        <f>IF(AV633="","",AV633+6)</f>
        <v/>
      </c>
      <c r="AX633" s="28" t="str">
        <f>IF(AV633="","",TEXT(AV633,"dd/mm/yyyy")&amp;" - "&amp;TEXT(AW633,"dd/mm/yyyy"))</f>
        <v/>
      </c>
      <c r="AY633" s="28" t="str">
        <f>IF(B633="","",COUNTIFS($B$5:B633,B633,$AT$5:AT633,AT633))</f>
        <v/>
      </c>
      <c r="AZ633" s="28" t="str">
        <f>IF(B633="","",COUNTIFS($B$5:B633,B633,$AV$5:AV633,AV633))</f>
        <v/>
      </c>
      <c r="BA633" s="28" t="str">
        <f>IF(B633="","",TEXT(AY633,"00")&amp;"|"&amp;B633&amp;"|"&amp;TEXT(AT633,"yyyymmdd"))</f>
        <v/>
      </c>
      <c r="BB633" s="28" t="str">
        <f>IF(B633="","",TEXT(AZ633,"00")&amp;"|"&amp;B633&amp;"|"&amp;TEXT(AV633,"yyyymmdd"))</f>
        <v/>
      </c>
      <c r="BC633" s="28">
        <f>IF(OR(AQ633="YES",AQ633="Yes",AQ633="Y",AQ633=1),1,0)</f>
        <v>0</v>
      </c>
    </row>
    <row r="634" spans="1:55" ht="15" customHeight="1">
      <c r="A634" s="27"/>
      <c r="B634" s="28"/>
      <c r="C634" s="29"/>
      <c r="D634" s="30"/>
      <c r="E634" s="30"/>
      <c r="F634" s="28"/>
      <c r="G634" s="28"/>
      <c r="H634" s="28"/>
      <c r="I634" s="13"/>
      <c r="J634" s="28"/>
      <c r="K634" s="13"/>
      <c r="L634" s="28"/>
      <c r="M634" s="13"/>
      <c r="N634" s="28"/>
      <c r="O634" s="13"/>
      <c r="P634" s="28"/>
      <c r="Q634" s="20"/>
      <c r="R634" s="28"/>
      <c r="S634" s="20"/>
      <c r="T634" s="28"/>
      <c r="U634" s="13"/>
      <c r="V634" s="28"/>
      <c r="W634" s="13"/>
      <c r="X634" s="28"/>
      <c r="Y634" s="13"/>
      <c r="Z634" s="28"/>
      <c r="AA634" s="13"/>
      <c r="AB634" s="28"/>
      <c r="AC634" s="13"/>
      <c r="AD634" s="28"/>
      <c r="AE634" s="13"/>
      <c r="AF634" s="28"/>
      <c r="AG634" s="13"/>
      <c r="AH634" s="28"/>
      <c r="AI634" s="13"/>
      <c r="AJ634" s="28"/>
      <c r="AK634" s="13"/>
      <c r="AL634" s="28"/>
      <c r="AM634" s="13"/>
      <c r="AN634" s="28"/>
      <c r="AO634" s="13"/>
      <c r="AP634" s="28"/>
      <c r="AQ634" s="13"/>
      <c r="AR634" s="28"/>
      <c r="AS634" s="19">
        <f>SUM(H634,J634,L634,N634,P634,R634,T634,V634,X634,Z634,AB634,AD634,AF634,AH634,AJ634,AL634,AN634)</f>
        <v>0</v>
      </c>
      <c r="AT634" s="29" t="str">
        <f>IF(C634="","",DATE(YEAR(C634),MONTH(C634),1))</f>
        <v/>
      </c>
      <c r="AU634" s="28" t="str">
        <f>IF(AT634="","",TEXT(AT634,"mmmm yyyy"))</f>
        <v/>
      </c>
      <c r="AV634" s="29" t="str">
        <f>IF(C634="","",C634-WEEKDAY(C634,2)+1)</f>
        <v/>
      </c>
      <c r="AW634" s="29" t="str">
        <f>IF(AV634="","",AV634+6)</f>
        <v/>
      </c>
      <c r="AX634" s="28" t="str">
        <f>IF(AV634="","",TEXT(AV634,"dd/mm/yyyy")&amp;" - "&amp;TEXT(AW634,"dd/mm/yyyy"))</f>
        <v/>
      </c>
      <c r="AY634" s="28" t="str">
        <f>IF(B634="","",COUNTIFS($B$5:B634,B634,$AT$5:AT634,AT634))</f>
        <v/>
      </c>
      <c r="AZ634" s="28" t="str">
        <f>IF(B634="","",COUNTIFS($B$5:B634,B634,$AV$5:AV634,AV634))</f>
        <v/>
      </c>
      <c r="BA634" s="28" t="str">
        <f>IF(B634="","",TEXT(AY634,"00")&amp;"|"&amp;B634&amp;"|"&amp;TEXT(AT634,"yyyymmdd"))</f>
        <v/>
      </c>
      <c r="BB634" s="28" t="str">
        <f>IF(B634="","",TEXT(AZ634,"00")&amp;"|"&amp;B634&amp;"|"&amp;TEXT(AV634,"yyyymmdd"))</f>
        <v/>
      </c>
      <c r="BC634" s="28">
        <f>IF(OR(AQ634="YES",AQ634="Yes",AQ634="Y",AQ634=1),1,0)</f>
        <v>0</v>
      </c>
    </row>
    <row r="635" spans="1:55" ht="15" customHeight="1">
      <c r="A635" s="27"/>
      <c r="B635" s="28"/>
      <c r="C635" s="29"/>
      <c r="D635" s="30"/>
      <c r="E635" s="30"/>
      <c r="F635" s="28"/>
      <c r="G635" s="28"/>
      <c r="H635" s="28"/>
      <c r="I635" s="13"/>
      <c r="J635" s="28"/>
      <c r="K635" s="13"/>
      <c r="L635" s="28"/>
      <c r="M635" s="13"/>
      <c r="N635" s="28"/>
      <c r="O635" s="13"/>
      <c r="P635" s="28"/>
      <c r="Q635" s="20"/>
      <c r="R635" s="28"/>
      <c r="S635" s="20"/>
      <c r="T635" s="28"/>
      <c r="U635" s="13"/>
      <c r="V635" s="28"/>
      <c r="W635" s="13"/>
      <c r="X635" s="28"/>
      <c r="Y635" s="13"/>
      <c r="Z635" s="28"/>
      <c r="AA635" s="13"/>
      <c r="AB635" s="28"/>
      <c r="AC635" s="13"/>
      <c r="AD635" s="28"/>
      <c r="AE635" s="13"/>
      <c r="AF635" s="28"/>
      <c r="AG635" s="13"/>
      <c r="AH635" s="28"/>
      <c r="AI635" s="13"/>
      <c r="AJ635" s="28"/>
      <c r="AK635" s="13"/>
      <c r="AL635" s="28"/>
      <c r="AM635" s="13"/>
      <c r="AN635" s="28"/>
      <c r="AO635" s="13"/>
      <c r="AP635" s="28"/>
      <c r="AQ635" s="13"/>
      <c r="AR635" s="28"/>
      <c r="AS635" s="19">
        <f>SUM(H635,J635,L635,N635,P635,R635,T635,V635,X635,Z635,AB635,AD635,AF635,AH635,AJ635,AL635,AN635)</f>
        <v>0</v>
      </c>
      <c r="AT635" s="29" t="str">
        <f>IF(C635="","",DATE(YEAR(C635),MONTH(C635),1))</f>
        <v/>
      </c>
      <c r="AU635" s="28" t="str">
        <f>IF(AT635="","",TEXT(AT635,"mmmm yyyy"))</f>
        <v/>
      </c>
      <c r="AV635" s="29" t="str">
        <f>IF(C635="","",C635-WEEKDAY(C635,2)+1)</f>
        <v/>
      </c>
      <c r="AW635" s="29" t="str">
        <f>IF(AV635="","",AV635+6)</f>
        <v/>
      </c>
      <c r="AX635" s="28" t="str">
        <f>IF(AV635="","",TEXT(AV635,"dd/mm/yyyy")&amp;" - "&amp;TEXT(AW635,"dd/mm/yyyy"))</f>
        <v/>
      </c>
      <c r="AY635" s="28" t="str">
        <f>IF(B635="","",COUNTIFS($B$5:B635,B635,$AT$5:AT635,AT635))</f>
        <v/>
      </c>
      <c r="AZ635" s="28" t="str">
        <f>IF(B635="","",COUNTIFS($B$5:B635,B635,$AV$5:AV635,AV635))</f>
        <v/>
      </c>
      <c r="BA635" s="28" t="str">
        <f>IF(B635="","",TEXT(AY635,"00")&amp;"|"&amp;B635&amp;"|"&amp;TEXT(AT635,"yyyymmdd"))</f>
        <v/>
      </c>
      <c r="BB635" s="28" t="str">
        <f>IF(B635="","",TEXT(AZ635,"00")&amp;"|"&amp;B635&amp;"|"&amp;TEXT(AV635,"yyyymmdd"))</f>
        <v/>
      </c>
      <c r="BC635" s="28">
        <f>IF(OR(AQ635="YES",AQ635="Yes",AQ635="Y",AQ635=1),1,0)</f>
        <v>0</v>
      </c>
    </row>
    <row r="636" spans="1:55" ht="15" customHeight="1">
      <c r="A636" s="27"/>
      <c r="B636" s="28"/>
      <c r="C636" s="29"/>
      <c r="D636" s="30"/>
      <c r="E636" s="30"/>
      <c r="F636" s="28"/>
      <c r="G636" s="28"/>
      <c r="H636" s="28"/>
      <c r="I636" s="13"/>
      <c r="J636" s="28"/>
      <c r="K636" s="13"/>
      <c r="L636" s="28"/>
      <c r="M636" s="13"/>
      <c r="N636" s="28"/>
      <c r="O636" s="13"/>
      <c r="P636" s="28"/>
      <c r="Q636" s="20"/>
      <c r="R636" s="28"/>
      <c r="S636" s="20"/>
      <c r="T636" s="28"/>
      <c r="U636" s="13"/>
      <c r="V636" s="28"/>
      <c r="W636" s="13"/>
      <c r="X636" s="28"/>
      <c r="Y636" s="13"/>
      <c r="Z636" s="28"/>
      <c r="AA636" s="13"/>
      <c r="AB636" s="28"/>
      <c r="AC636" s="13"/>
      <c r="AD636" s="28"/>
      <c r="AE636" s="13"/>
      <c r="AF636" s="28"/>
      <c r="AG636" s="13"/>
      <c r="AH636" s="28"/>
      <c r="AI636" s="13"/>
      <c r="AJ636" s="28"/>
      <c r="AK636" s="13"/>
      <c r="AL636" s="28"/>
      <c r="AM636" s="13"/>
      <c r="AN636" s="28"/>
      <c r="AO636" s="13"/>
      <c r="AP636" s="28"/>
      <c r="AQ636" s="13"/>
      <c r="AR636" s="28"/>
      <c r="AS636" s="19">
        <f>SUM(H636,J636,L636,N636,P636,R636,T636,V636,X636,Z636,AB636,AD636,AF636,AH636,AJ636,AL636,AN636)</f>
        <v>0</v>
      </c>
      <c r="AT636" s="29" t="str">
        <f>IF(C636="","",DATE(YEAR(C636),MONTH(C636),1))</f>
        <v/>
      </c>
      <c r="AU636" s="28" t="str">
        <f>IF(AT636="","",TEXT(AT636,"mmmm yyyy"))</f>
        <v/>
      </c>
      <c r="AV636" s="29" t="str">
        <f>IF(C636="","",C636-WEEKDAY(C636,2)+1)</f>
        <v/>
      </c>
      <c r="AW636" s="29" t="str">
        <f>IF(AV636="","",AV636+6)</f>
        <v/>
      </c>
      <c r="AX636" s="28" t="str">
        <f>IF(AV636="","",TEXT(AV636,"dd/mm/yyyy")&amp;" - "&amp;TEXT(AW636,"dd/mm/yyyy"))</f>
        <v/>
      </c>
      <c r="AY636" s="28" t="str">
        <f>IF(B636="","",COUNTIFS($B$5:B636,B636,$AT$5:AT636,AT636))</f>
        <v/>
      </c>
      <c r="AZ636" s="28" t="str">
        <f>IF(B636="","",COUNTIFS($B$5:B636,B636,$AV$5:AV636,AV636))</f>
        <v/>
      </c>
      <c r="BA636" s="28" t="str">
        <f>IF(B636="","",TEXT(AY636,"00")&amp;"|"&amp;B636&amp;"|"&amp;TEXT(AT636,"yyyymmdd"))</f>
        <v/>
      </c>
      <c r="BB636" s="28" t="str">
        <f>IF(B636="","",TEXT(AZ636,"00")&amp;"|"&amp;B636&amp;"|"&amp;TEXT(AV636,"yyyymmdd"))</f>
        <v/>
      </c>
      <c r="BC636" s="28">
        <f>IF(OR(AQ636="YES",AQ636="Yes",AQ636="Y",AQ636=1),1,0)</f>
        <v>0</v>
      </c>
    </row>
    <row r="637" spans="1:55" ht="15" customHeight="1">
      <c r="A637" s="27"/>
      <c r="B637" s="28"/>
      <c r="C637" s="29"/>
      <c r="D637" s="30"/>
      <c r="E637" s="30"/>
      <c r="F637" s="28"/>
      <c r="G637" s="28"/>
      <c r="H637" s="28"/>
      <c r="I637" s="13"/>
      <c r="J637" s="28"/>
      <c r="K637" s="13"/>
      <c r="L637" s="28"/>
      <c r="M637" s="13"/>
      <c r="N637" s="28"/>
      <c r="O637" s="13"/>
      <c r="P637" s="28"/>
      <c r="Q637" s="20"/>
      <c r="R637" s="28"/>
      <c r="S637" s="20"/>
      <c r="T637" s="28"/>
      <c r="U637" s="13"/>
      <c r="V637" s="28"/>
      <c r="W637" s="13"/>
      <c r="X637" s="28"/>
      <c r="Y637" s="13"/>
      <c r="Z637" s="28"/>
      <c r="AA637" s="13"/>
      <c r="AB637" s="28"/>
      <c r="AC637" s="13"/>
      <c r="AD637" s="28"/>
      <c r="AE637" s="13"/>
      <c r="AF637" s="28"/>
      <c r="AG637" s="13"/>
      <c r="AH637" s="28"/>
      <c r="AI637" s="13"/>
      <c r="AJ637" s="28"/>
      <c r="AK637" s="13"/>
      <c r="AL637" s="28"/>
      <c r="AM637" s="13"/>
      <c r="AN637" s="28"/>
      <c r="AO637" s="13"/>
      <c r="AP637" s="28"/>
      <c r="AQ637" s="13"/>
      <c r="AR637" s="28"/>
      <c r="AS637" s="19">
        <f>SUM(H637,J637,L637,N637,P637,R637,T637,V637,X637,Z637,AB637,AD637,AF637,AH637,AJ637,AL637,AN637)</f>
        <v>0</v>
      </c>
      <c r="AT637" s="29" t="str">
        <f>IF(C637="","",DATE(YEAR(C637),MONTH(C637),1))</f>
        <v/>
      </c>
      <c r="AU637" s="28" t="str">
        <f>IF(AT637="","",TEXT(AT637,"mmmm yyyy"))</f>
        <v/>
      </c>
      <c r="AV637" s="29" t="str">
        <f>IF(C637="","",C637-WEEKDAY(C637,2)+1)</f>
        <v/>
      </c>
      <c r="AW637" s="29" t="str">
        <f>IF(AV637="","",AV637+6)</f>
        <v/>
      </c>
      <c r="AX637" s="28" t="str">
        <f>IF(AV637="","",TEXT(AV637,"dd/mm/yyyy")&amp;" - "&amp;TEXT(AW637,"dd/mm/yyyy"))</f>
        <v/>
      </c>
      <c r="AY637" s="28" t="str">
        <f>IF(B637="","",COUNTIFS($B$5:B637,B637,$AT$5:AT637,AT637))</f>
        <v/>
      </c>
      <c r="AZ637" s="28" t="str">
        <f>IF(B637="","",COUNTIFS($B$5:B637,B637,$AV$5:AV637,AV637))</f>
        <v/>
      </c>
      <c r="BA637" s="28" t="str">
        <f>IF(B637="","",TEXT(AY637,"00")&amp;"|"&amp;B637&amp;"|"&amp;TEXT(AT637,"yyyymmdd"))</f>
        <v/>
      </c>
      <c r="BB637" s="28" t="str">
        <f>IF(B637="","",TEXT(AZ637,"00")&amp;"|"&amp;B637&amp;"|"&amp;TEXT(AV637,"yyyymmdd"))</f>
        <v/>
      </c>
      <c r="BC637" s="28">
        <f>IF(OR(AQ637="YES",AQ637="Yes",AQ637="Y",AQ637=1),1,0)</f>
        <v>0</v>
      </c>
    </row>
    <row r="638" spans="1:55" ht="15" customHeight="1">
      <c r="A638" s="27"/>
      <c r="B638" s="28"/>
      <c r="C638" s="29"/>
      <c r="D638" s="30"/>
      <c r="E638" s="30"/>
      <c r="F638" s="28"/>
      <c r="G638" s="28"/>
      <c r="H638" s="28"/>
      <c r="I638" s="13"/>
      <c r="J638" s="28"/>
      <c r="K638" s="13"/>
      <c r="L638" s="28"/>
      <c r="M638" s="13"/>
      <c r="N638" s="28"/>
      <c r="O638" s="13"/>
      <c r="P638" s="28"/>
      <c r="Q638" s="20"/>
      <c r="R638" s="28"/>
      <c r="S638" s="20"/>
      <c r="T638" s="28"/>
      <c r="U638" s="13"/>
      <c r="V638" s="28"/>
      <c r="W638" s="13"/>
      <c r="X638" s="28"/>
      <c r="Y638" s="13"/>
      <c r="Z638" s="28"/>
      <c r="AA638" s="13"/>
      <c r="AB638" s="28"/>
      <c r="AC638" s="13"/>
      <c r="AD638" s="28"/>
      <c r="AE638" s="13"/>
      <c r="AF638" s="28"/>
      <c r="AG638" s="13"/>
      <c r="AH638" s="28"/>
      <c r="AI638" s="13"/>
      <c r="AJ638" s="28"/>
      <c r="AK638" s="13"/>
      <c r="AL638" s="28"/>
      <c r="AM638" s="13"/>
      <c r="AN638" s="28"/>
      <c r="AO638" s="13"/>
      <c r="AP638" s="28"/>
      <c r="AQ638" s="13"/>
      <c r="AR638" s="28"/>
      <c r="AS638" s="19">
        <f>SUM(H638,J638,L638,N638,P638,R638,T638,V638,X638,Z638,AB638,AD638,AF638,AH638,AJ638,AL638,AN638)</f>
        <v>0</v>
      </c>
      <c r="AT638" s="29" t="str">
        <f>IF(C638="","",DATE(YEAR(C638),MONTH(C638),1))</f>
        <v/>
      </c>
      <c r="AU638" s="28" t="str">
        <f>IF(AT638="","",TEXT(AT638,"mmmm yyyy"))</f>
        <v/>
      </c>
      <c r="AV638" s="29" t="str">
        <f>IF(C638="","",C638-WEEKDAY(C638,2)+1)</f>
        <v/>
      </c>
      <c r="AW638" s="29" t="str">
        <f>IF(AV638="","",AV638+6)</f>
        <v/>
      </c>
      <c r="AX638" s="28" t="str">
        <f>IF(AV638="","",TEXT(AV638,"dd/mm/yyyy")&amp;" - "&amp;TEXT(AW638,"dd/mm/yyyy"))</f>
        <v/>
      </c>
      <c r="AY638" s="28" t="str">
        <f>IF(B638="","",COUNTIFS($B$5:B638,B638,$AT$5:AT638,AT638))</f>
        <v/>
      </c>
      <c r="AZ638" s="28" t="str">
        <f>IF(B638="","",COUNTIFS($B$5:B638,B638,$AV$5:AV638,AV638))</f>
        <v/>
      </c>
      <c r="BA638" s="28" t="str">
        <f>IF(B638="","",TEXT(AY638,"00")&amp;"|"&amp;B638&amp;"|"&amp;TEXT(AT638,"yyyymmdd"))</f>
        <v/>
      </c>
      <c r="BB638" s="28" t="str">
        <f>IF(B638="","",TEXT(AZ638,"00")&amp;"|"&amp;B638&amp;"|"&amp;TEXT(AV638,"yyyymmdd"))</f>
        <v/>
      </c>
      <c r="BC638" s="28">
        <f>IF(OR(AQ638="YES",AQ638="Yes",AQ638="Y",AQ638=1),1,0)</f>
        <v>0</v>
      </c>
    </row>
    <row r="639" spans="1:55" ht="15" customHeight="1">
      <c r="A639" s="27"/>
      <c r="B639" s="28"/>
      <c r="C639" s="29"/>
      <c r="D639" s="30"/>
      <c r="E639" s="30"/>
      <c r="F639" s="28"/>
      <c r="G639" s="28"/>
      <c r="H639" s="28"/>
      <c r="I639" s="13"/>
      <c r="J639" s="28"/>
      <c r="K639" s="13"/>
      <c r="L639" s="28"/>
      <c r="M639" s="13"/>
      <c r="N639" s="28"/>
      <c r="O639" s="13"/>
      <c r="P639" s="28"/>
      <c r="Q639" s="20"/>
      <c r="R639" s="28"/>
      <c r="S639" s="20"/>
      <c r="T639" s="28"/>
      <c r="U639" s="13"/>
      <c r="V639" s="28"/>
      <c r="W639" s="13"/>
      <c r="X639" s="28"/>
      <c r="Y639" s="13"/>
      <c r="Z639" s="28"/>
      <c r="AA639" s="13"/>
      <c r="AB639" s="28"/>
      <c r="AC639" s="13"/>
      <c r="AD639" s="28"/>
      <c r="AE639" s="13"/>
      <c r="AF639" s="28"/>
      <c r="AG639" s="13"/>
      <c r="AH639" s="28"/>
      <c r="AI639" s="13"/>
      <c r="AJ639" s="28"/>
      <c r="AK639" s="13"/>
      <c r="AL639" s="28"/>
      <c r="AM639" s="13"/>
      <c r="AN639" s="28"/>
      <c r="AO639" s="13"/>
      <c r="AP639" s="28"/>
      <c r="AQ639" s="13"/>
      <c r="AR639" s="28"/>
      <c r="AS639" s="19">
        <f>SUM(H639,J639,L639,N639,P639,R639,T639,V639,X639,Z639,AB639,AD639,AF639,AH639,AJ639,AL639,AN639)</f>
        <v>0</v>
      </c>
      <c r="AT639" s="29" t="str">
        <f>IF(C639="","",DATE(YEAR(C639),MONTH(C639),1))</f>
        <v/>
      </c>
      <c r="AU639" s="28" t="str">
        <f>IF(AT639="","",TEXT(AT639,"mmmm yyyy"))</f>
        <v/>
      </c>
      <c r="AV639" s="29" t="str">
        <f>IF(C639="","",C639-WEEKDAY(C639,2)+1)</f>
        <v/>
      </c>
      <c r="AW639" s="29" t="str">
        <f>IF(AV639="","",AV639+6)</f>
        <v/>
      </c>
      <c r="AX639" s="28" t="str">
        <f>IF(AV639="","",TEXT(AV639,"dd/mm/yyyy")&amp;" - "&amp;TEXT(AW639,"dd/mm/yyyy"))</f>
        <v/>
      </c>
      <c r="AY639" s="28" t="str">
        <f>IF(B639="","",COUNTIFS($B$5:B639,B639,$AT$5:AT639,AT639))</f>
        <v/>
      </c>
      <c r="AZ639" s="28" t="str">
        <f>IF(B639="","",COUNTIFS($B$5:B639,B639,$AV$5:AV639,AV639))</f>
        <v/>
      </c>
      <c r="BA639" s="28" t="str">
        <f>IF(B639="","",TEXT(AY639,"00")&amp;"|"&amp;B639&amp;"|"&amp;TEXT(AT639,"yyyymmdd"))</f>
        <v/>
      </c>
      <c r="BB639" s="28" t="str">
        <f>IF(B639="","",TEXT(AZ639,"00")&amp;"|"&amp;B639&amp;"|"&amp;TEXT(AV639,"yyyymmdd"))</f>
        <v/>
      </c>
      <c r="BC639" s="28">
        <f>IF(OR(AQ639="YES",AQ639="Yes",AQ639="Y",AQ639=1),1,0)</f>
        <v>0</v>
      </c>
    </row>
    <row r="640" spans="1:55" ht="15" customHeight="1">
      <c r="A640" s="27"/>
      <c r="B640" s="28"/>
      <c r="C640" s="29"/>
      <c r="D640" s="30"/>
      <c r="E640" s="30"/>
      <c r="F640" s="28"/>
      <c r="G640" s="28"/>
      <c r="H640" s="28"/>
      <c r="I640" s="13"/>
      <c r="J640" s="28"/>
      <c r="K640" s="13"/>
      <c r="L640" s="28"/>
      <c r="M640" s="13"/>
      <c r="N640" s="28"/>
      <c r="O640" s="13"/>
      <c r="P640" s="28"/>
      <c r="Q640" s="20"/>
      <c r="R640" s="28"/>
      <c r="S640" s="20"/>
      <c r="T640" s="28"/>
      <c r="U640" s="13"/>
      <c r="V640" s="28"/>
      <c r="W640" s="13"/>
      <c r="X640" s="28"/>
      <c r="Y640" s="13"/>
      <c r="Z640" s="28"/>
      <c r="AA640" s="13"/>
      <c r="AB640" s="28"/>
      <c r="AC640" s="13"/>
      <c r="AD640" s="28"/>
      <c r="AE640" s="13"/>
      <c r="AF640" s="28"/>
      <c r="AG640" s="13"/>
      <c r="AH640" s="28"/>
      <c r="AI640" s="13"/>
      <c r="AJ640" s="28"/>
      <c r="AK640" s="13"/>
      <c r="AL640" s="28"/>
      <c r="AM640" s="13"/>
      <c r="AN640" s="28"/>
      <c r="AO640" s="13"/>
      <c r="AP640" s="28"/>
      <c r="AQ640" s="13"/>
      <c r="AR640" s="28"/>
      <c r="AS640" s="19">
        <f>SUM(H640,J640,L640,N640,P640,R640,T640,V640,X640,Z640,AB640,AD640,AF640,AH640,AJ640,AL640,AN640)</f>
        <v>0</v>
      </c>
      <c r="AT640" s="29" t="str">
        <f>IF(C640="","",DATE(YEAR(C640),MONTH(C640),1))</f>
        <v/>
      </c>
      <c r="AU640" s="28" t="str">
        <f>IF(AT640="","",TEXT(AT640,"mmmm yyyy"))</f>
        <v/>
      </c>
      <c r="AV640" s="29" t="str">
        <f>IF(C640="","",C640-WEEKDAY(C640,2)+1)</f>
        <v/>
      </c>
      <c r="AW640" s="29" t="str">
        <f>IF(AV640="","",AV640+6)</f>
        <v/>
      </c>
      <c r="AX640" s="28" t="str">
        <f>IF(AV640="","",TEXT(AV640,"dd/mm/yyyy")&amp;" - "&amp;TEXT(AW640,"dd/mm/yyyy"))</f>
        <v/>
      </c>
      <c r="AY640" s="28" t="str">
        <f>IF(B640="","",COUNTIFS($B$5:B640,B640,$AT$5:AT640,AT640))</f>
        <v/>
      </c>
      <c r="AZ640" s="28" t="str">
        <f>IF(B640="","",COUNTIFS($B$5:B640,B640,$AV$5:AV640,AV640))</f>
        <v/>
      </c>
      <c r="BA640" s="28" t="str">
        <f>IF(B640="","",TEXT(AY640,"00")&amp;"|"&amp;B640&amp;"|"&amp;TEXT(AT640,"yyyymmdd"))</f>
        <v/>
      </c>
      <c r="BB640" s="28" t="str">
        <f>IF(B640="","",TEXT(AZ640,"00")&amp;"|"&amp;B640&amp;"|"&amp;TEXT(AV640,"yyyymmdd"))</f>
        <v/>
      </c>
      <c r="BC640" s="28">
        <f>IF(OR(AQ640="YES",AQ640="Yes",AQ640="Y",AQ640=1),1,0)</f>
        <v>0</v>
      </c>
    </row>
    <row r="641" spans="1:55" ht="15" customHeight="1">
      <c r="A641" s="27"/>
      <c r="B641" s="28"/>
      <c r="C641" s="29"/>
      <c r="D641" s="30"/>
      <c r="E641" s="30"/>
      <c r="F641" s="28"/>
      <c r="G641" s="28"/>
      <c r="H641" s="28"/>
      <c r="I641" s="13"/>
      <c r="J641" s="28"/>
      <c r="K641" s="13"/>
      <c r="L641" s="28"/>
      <c r="M641" s="13"/>
      <c r="N641" s="28"/>
      <c r="O641" s="13"/>
      <c r="P641" s="28"/>
      <c r="Q641" s="20"/>
      <c r="R641" s="28"/>
      <c r="S641" s="20"/>
      <c r="T641" s="28"/>
      <c r="U641" s="13"/>
      <c r="V641" s="28"/>
      <c r="W641" s="13"/>
      <c r="X641" s="28"/>
      <c r="Y641" s="13"/>
      <c r="Z641" s="28"/>
      <c r="AA641" s="13"/>
      <c r="AB641" s="28"/>
      <c r="AC641" s="13"/>
      <c r="AD641" s="28"/>
      <c r="AE641" s="13"/>
      <c r="AF641" s="28"/>
      <c r="AG641" s="13"/>
      <c r="AH641" s="28"/>
      <c r="AI641" s="13"/>
      <c r="AJ641" s="28"/>
      <c r="AK641" s="13"/>
      <c r="AL641" s="28"/>
      <c r="AM641" s="13"/>
      <c r="AN641" s="28"/>
      <c r="AO641" s="13"/>
      <c r="AP641" s="28"/>
      <c r="AQ641" s="13"/>
      <c r="AR641" s="28"/>
      <c r="AS641" s="19">
        <f>SUM(H641,J641,L641,N641,P641,R641,T641,V641,X641,Z641,AB641,AD641,AF641,AH641,AJ641,AL641,AN641)</f>
        <v>0</v>
      </c>
      <c r="AT641" s="29" t="str">
        <f>IF(C641="","",DATE(YEAR(C641),MONTH(C641),1))</f>
        <v/>
      </c>
      <c r="AU641" s="28" t="str">
        <f>IF(AT641="","",TEXT(AT641,"mmmm yyyy"))</f>
        <v/>
      </c>
      <c r="AV641" s="29" t="str">
        <f>IF(C641="","",C641-WEEKDAY(C641,2)+1)</f>
        <v/>
      </c>
      <c r="AW641" s="29" t="str">
        <f>IF(AV641="","",AV641+6)</f>
        <v/>
      </c>
      <c r="AX641" s="28" t="str">
        <f>IF(AV641="","",TEXT(AV641,"dd/mm/yyyy")&amp;" - "&amp;TEXT(AW641,"dd/mm/yyyy"))</f>
        <v/>
      </c>
      <c r="AY641" s="28" t="str">
        <f>IF(B641="","",COUNTIFS($B$5:B641,B641,$AT$5:AT641,AT641))</f>
        <v/>
      </c>
      <c r="AZ641" s="28" t="str">
        <f>IF(B641="","",COUNTIFS($B$5:B641,B641,$AV$5:AV641,AV641))</f>
        <v/>
      </c>
      <c r="BA641" s="28" t="str">
        <f>IF(B641="","",TEXT(AY641,"00")&amp;"|"&amp;B641&amp;"|"&amp;TEXT(AT641,"yyyymmdd"))</f>
        <v/>
      </c>
      <c r="BB641" s="28" t="str">
        <f>IF(B641="","",TEXT(AZ641,"00")&amp;"|"&amp;B641&amp;"|"&amp;TEXT(AV641,"yyyymmdd"))</f>
        <v/>
      </c>
      <c r="BC641" s="28">
        <f>IF(OR(AQ641="YES",AQ641="Yes",AQ641="Y",AQ641=1),1,0)</f>
        <v>0</v>
      </c>
    </row>
    <row r="642" spans="1:55" ht="15" customHeight="1">
      <c r="A642" s="27"/>
      <c r="B642" s="28"/>
      <c r="C642" s="29"/>
      <c r="D642" s="30"/>
      <c r="E642" s="30"/>
      <c r="F642" s="28"/>
      <c r="G642" s="28"/>
      <c r="H642" s="28"/>
      <c r="I642" s="13"/>
      <c r="J642" s="28"/>
      <c r="K642" s="13"/>
      <c r="L642" s="28"/>
      <c r="M642" s="13"/>
      <c r="N642" s="28"/>
      <c r="O642" s="13"/>
      <c r="P642" s="28"/>
      <c r="Q642" s="20"/>
      <c r="R642" s="28"/>
      <c r="S642" s="20"/>
      <c r="T642" s="28"/>
      <c r="U642" s="13"/>
      <c r="V642" s="28"/>
      <c r="W642" s="13"/>
      <c r="X642" s="28"/>
      <c r="Y642" s="13"/>
      <c r="Z642" s="28"/>
      <c r="AA642" s="13"/>
      <c r="AB642" s="28"/>
      <c r="AC642" s="13"/>
      <c r="AD642" s="28"/>
      <c r="AE642" s="13"/>
      <c r="AF642" s="28"/>
      <c r="AG642" s="13"/>
      <c r="AH642" s="28"/>
      <c r="AI642" s="13"/>
      <c r="AJ642" s="28"/>
      <c r="AK642" s="13"/>
      <c r="AL642" s="28"/>
      <c r="AM642" s="13"/>
      <c r="AN642" s="28"/>
      <c r="AO642" s="13"/>
      <c r="AP642" s="28"/>
      <c r="AQ642" s="13"/>
      <c r="AR642" s="28"/>
      <c r="AS642" s="19">
        <f>SUM(H642,J642,L642,N642,P642,R642,T642,V642,X642,Z642,AB642,AD642,AF642,AH642,AJ642,AL642,AN642)</f>
        <v>0</v>
      </c>
      <c r="AT642" s="29" t="str">
        <f>IF(C642="","",DATE(YEAR(C642),MONTH(C642),1))</f>
        <v/>
      </c>
      <c r="AU642" s="28" t="str">
        <f>IF(AT642="","",TEXT(AT642,"mmmm yyyy"))</f>
        <v/>
      </c>
      <c r="AV642" s="29" t="str">
        <f>IF(C642="","",C642-WEEKDAY(C642,2)+1)</f>
        <v/>
      </c>
      <c r="AW642" s="29" t="str">
        <f>IF(AV642="","",AV642+6)</f>
        <v/>
      </c>
      <c r="AX642" s="28" t="str">
        <f>IF(AV642="","",TEXT(AV642,"dd/mm/yyyy")&amp;" - "&amp;TEXT(AW642,"dd/mm/yyyy"))</f>
        <v/>
      </c>
      <c r="AY642" s="28" t="str">
        <f>IF(B642="","",COUNTIFS($B$5:B642,B642,$AT$5:AT642,AT642))</f>
        <v/>
      </c>
      <c r="AZ642" s="28" t="str">
        <f>IF(B642="","",COUNTIFS($B$5:B642,B642,$AV$5:AV642,AV642))</f>
        <v/>
      </c>
      <c r="BA642" s="28" t="str">
        <f>IF(B642="","",TEXT(AY642,"00")&amp;"|"&amp;B642&amp;"|"&amp;TEXT(AT642,"yyyymmdd"))</f>
        <v/>
      </c>
      <c r="BB642" s="28" t="str">
        <f>IF(B642="","",TEXT(AZ642,"00")&amp;"|"&amp;B642&amp;"|"&amp;TEXT(AV642,"yyyymmdd"))</f>
        <v/>
      </c>
      <c r="BC642" s="28">
        <f>IF(OR(AQ642="YES",AQ642="Yes",AQ642="Y",AQ642=1),1,0)</f>
        <v>0</v>
      </c>
    </row>
    <row r="643" spans="1:55" ht="15" customHeight="1">
      <c r="A643" s="27"/>
      <c r="B643" s="28"/>
      <c r="C643" s="29"/>
      <c r="D643" s="30"/>
      <c r="E643" s="30"/>
      <c r="F643" s="28"/>
      <c r="G643" s="28"/>
      <c r="H643" s="28"/>
      <c r="I643" s="13"/>
      <c r="J643" s="28"/>
      <c r="K643" s="13"/>
      <c r="L643" s="28"/>
      <c r="M643" s="13"/>
      <c r="N643" s="28"/>
      <c r="O643" s="13"/>
      <c r="P643" s="28"/>
      <c r="Q643" s="20"/>
      <c r="R643" s="28"/>
      <c r="S643" s="20"/>
      <c r="T643" s="28"/>
      <c r="U643" s="13"/>
      <c r="V643" s="28"/>
      <c r="W643" s="13"/>
      <c r="X643" s="28"/>
      <c r="Y643" s="13"/>
      <c r="Z643" s="28"/>
      <c r="AA643" s="13"/>
      <c r="AB643" s="28"/>
      <c r="AC643" s="13"/>
      <c r="AD643" s="28"/>
      <c r="AE643" s="13"/>
      <c r="AF643" s="28"/>
      <c r="AG643" s="13"/>
      <c r="AH643" s="28"/>
      <c r="AI643" s="13"/>
      <c r="AJ643" s="28"/>
      <c r="AK643" s="13"/>
      <c r="AL643" s="28"/>
      <c r="AM643" s="13"/>
      <c r="AN643" s="28"/>
      <c r="AO643" s="13"/>
      <c r="AP643" s="28"/>
      <c r="AQ643" s="13"/>
      <c r="AR643" s="28"/>
      <c r="AS643" s="19">
        <f>SUM(H643,J643,L643,N643,P643,R643,T643,V643,X643,Z643,AB643,AD643,AF643,AH643,AJ643,AL643,AN643)</f>
        <v>0</v>
      </c>
      <c r="AT643" s="29" t="str">
        <f>IF(C643="","",DATE(YEAR(C643),MONTH(C643),1))</f>
        <v/>
      </c>
      <c r="AU643" s="28" t="str">
        <f>IF(AT643="","",TEXT(AT643,"mmmm yyyy"))</f>
        <v/>
      </c>
      <c r="AV643" s="29" t="str">
        <f>IF(C643="","",C643-WEEKDAY(C643,2)+1)</f>
        <v/>
      </c>
      <c r="AW643" s="29" t="str">
        <f>IF(AV643="","",AV643+6)</f>
        <v/>
      </c>
      <c r="AX643" s="28" t="str">
        <f>IF(AV643="","",TEXT(AV643,"dd/mm/yyyy")&amp;" - "&amp;TEXT(AW643,"dd/mm/yyyy"))</f>
        <v/>
      </c>
      <c r="AY643" s="28" t="str">
        <f>IF(B643="","",COUNTIFS($B$5:B643,B643,$AT$5:AT643,AT643))</f>
        <v/>
      </c>
      <c r="AZ643" s="28" t="str">
        <f>IF(B643="","",COUNTIFS($B$5:B643,B643,$AV$5:AV643,AV643))</f>
        <v/>
      </c>
      <c r="BA643" s="28" t="str">
        <f>IF(B643="","",TEXT(AY643,"00")&amp;"|"&amp;B643&amp;"|"&amp;TEXT(AT643,"yyyymmdd"))</f>
        <v/>
      </c>
      <c r="BB643" s="28" t="str">
        <f>IF(B643="","",TEXT(AZ643,"00")&amp;"|"&amp;B643&amp;"|"&amp;TEXT(AV643,"yyyymmdd"))</f>
        <v/>
      </c>
      <c r="BC643" s="28">
        <f>IF(OR(AQ643="YES",AQ643="Yes",AQ643="Y",AQ643=1),1,0)</f>
        <v>0</v>
      </c>
    </row>
    <row r="644" spans="1:55" ht="15" customHeight="1">
      <c r="A644" s="27"/>
      <c r="B644" s="28"/>
      <c r="C644" s="29"/>
      <c r="D644" s="30"/>
      <c r="E644" s="30"/>
      <c r="F644" s="28"/>
      <c r="G644" s="28"/>
      <c r="H644" s="28"/>
      <c r="I644" s="13"/>
      <c r="J644" s="28"/>
      <c r="K644" s="13"/>
      <c r="L644" s="28"/>
      <c r="M644" s="13"/>
      <c r="N644" s="28"/>
      <c r="O644" s="13"/>
      <c r="P644" s="28"/>
      <c r="Q644" s="20"/>
      <c r="R644" s="28"/>
      <c r="S644" s="20"/>
      <c r="T644" s="28"/>
      <c r="U644" s="13"/>
      <c r="V644" s="28"/>
      <c r="W644" s="13"/>
      <c r="X644" s="28"/>
      <c r="Y644" s="13"/>
      <c r="Z644" s="28"/>
      <c r="AA644" s="13"/>
      <c r="AB644" s="28"/>
      <c r="AC644" s="13"/>
      <c r="AD644" s="28"/>
      <c r="AE644" s="13"/>
      <c r="AF644" s="28"/>
      <c r="AG644" s="13"/>
      <c r="AH644" s="28"/>
      <c r="AI644" s="13"/>
      <c r="AJ644" s="28"/>
      <c r="AK644" s="13"/>
      <c r="AL644" s="28"/>
      <c r="AM644" s="13"/>
      <c r="AN644" s="28"/>
      <c r="AO644" s="13"/>
      <c r="AP644" s="28"/>
      <c r="AQ644" s="13"/>
      <c r="AR644" s="28"/>
      <c r="AS644" s="19">
        <f>SUM(H644,J644,L644,N644,P644,R644,T644,V644,X644,Z644,AB644,AD644,AF644,AH644,AJ644,AL644,AN644)</f>
        <v>0</v>
      </c>
      <c r="AT644" s="29" t="str">
        <f>IF(C644="","",DATE(YEAR(C644),MONTH(C644),1))</f>
        <v/>
      </c>
      <c r="AU644" s="28" t="str">
        <f>IF(AT644="","",TEXT(AT644,"mmmm yyyy"))</f>
        <v/>
      </c>
      <c r="AV644" s="29" t="str">
        <f>IF(C644="","",C644-WEEKDAY(C644,2)+1)</f>
        <v/>
      </c>
      <c r="AW644" s="29" t="str">
        <f>IF(AV644="","",AV644+6)</f>
        <v/>
      </c>
      <c r="AX644" s="28" t="str">
        <f>IF(AV644="","",TEXT(AV644,"dd/mm/yyyy")&amp;" - "&amp;TEXT(AW644,"dd/mm/yyyy"))</f>
        <v/>
      </c>
      <c r="AY644" s="28" t="str">
        <f>IF(B644="","",COUNTIFS($B$5:B644,B644,$AT$5:AT644,AT644))</f>
        <v/>
      </c>
      <c r="AZ644" s="28" t="str">
        <f>IF(B644="","",COUNTIFS($B$5:B644,B644,$AV$5:AV644,AV644))</f>
        <v/>
      </c>
      <c r="BA644" s="28" t="str">
        <f>IF(B644="","",TEXT(AY644,"00")&amp;"|"&amp;B644&amp;"|"&amp;TEXT(AT644,"yyyymmdd"))</f>
        <v/>
      </c>
      <c r="BB644" s="28" t="str">
        <f>IF(B644="","",TEXT(AZ644,"00")&amp;"|"&amp;B644&amp;"|"&amp;TEXT(AV644,"yyyymmdd"))</f>
        <v/>
      </c>
      <c r="BC644" s="28">
        <f>IF(OR(AQ644="YES",AQ644="Yes",AQ644="Y",AQ644=1),1,0)</f>
        <v>0</v>
      </c>
    </row>
    <row r="645" spans="1:55" ht="15" customHeight="1">
      <c r="A645" s="27"/>
      <c r="B645" s="28"/>
      <c r="C645" s="29"/>
      <c r="D645" s="30"/>
      <c r="E645" s="30"/>
      <c r="F645" s="28"/>
      <c r="G645" s="28"/>
      <c r="H645" s="28"/>
      <c r="I645" s="13"/>
      <c r="J645" s="28"/>
      <c r="K645" s="13"/>
      <c r="L645" s="28"/>
      <c r="M645" s="13"/>
      <c r="N645" s="28"/>
      <c r="O645" s="13"/>
      <c r="P645" s="28"/>
      <c r="Q645" s="20"/>
      <c r="R645" s="28"/>
      <c r="S645" s="20"/>
      <c r="T645" s="28"/>
      <c r="U645" s="13"/>
      <c r="V645" s="28"/>
      <c r="W645" s="13"/>
      <c r="X645" s="28"/>
      <c r="Y645" s="13"/>
      <c r="Z645" s="28"/>
      <c r="AA645" s="13"/>
      <c r="AB645" s="28"/>
      <c r="AC645" s="13"/>
      <c r="AD645" s="28"/>
      <c r="AE645" s="13"/>
      <c r="AF645" s="28"/>
      <c r="AG645" s="13"/>
      <c r="AH645" s="28"/>
      <c r="AI645" s="13"/>
      <c r="AJ645" s="28"/>
      <c r="AK645" s="13"/>
      <c r="AL645" s="28"/>
      <c r="AM645" s="13"/>
      <c r="AN645" s="28"/>
      <c r="AO645" s="13"/>
      <c r="AP645" s="28"/>
      <c r="AQ645" s="13"/>
      <c r="AR645" s="28"/>
      <c r="AS645" s="19">
        <f>SUM(H645,J645,L645,N645,P645,R645,T645,V645,X645,Z645,AB645,AD645,AF645,AH645,AJ645,AL645,AN645)</f>
        <v>0</v>
      </c>
      <c r="AT645" s="29" t="str">
        <f>IF(C645="","",DATE(YEAR(C645),MONTH(C645),1))</f>
        <v/>
      </c>
      <c r="AU645" s="28" t="str">
        <f>IF(AT645="","",TEXT(AT645,"mmmm yyyy"))</f>
        <v/>
      </c>
      <c r="AV645" s="29" t="str">
        <f>IF(C645="","",C645-WEEKDAY(C645,2)+1)</f>
        <v/>
      </c>
      <c r="AW645" s="29" t="str">
        <f>IF(AV645="","",AV645+6)</f>
        <v/>
      </c>
      <c r="AX645" s="28" t="str">
        <f>IF(AV645="","",TEXT(AV645,"dd/mm/yyyy")&amp;" - "&amp;TEXT(AW645,"dd/mm/yyyy"))</f>
        <v/>
      </c>
      <c r="AY645" s="28" t="str">
        <f>IF(B645="","",COUNTIFS($B$5:B645,B645,$AT$5:AT645,AT645))</f>
        <v/>
      </c>
      <c r="AZ645" s="28" t="str">
        <f>IF(B645="","",COUNTIFS($B$5:B645,B645,$AV$5:AV645,AV645))</f>
        <v/>
      </c>
      <c r="BA645" s="28" t="str">
        <f>IF(B645="","",TEXT(AY645,"00")&amp;"|"&amp;B645&amp;"|"&amp;TEXT(AT645,"yyyymmdd"))</f>
        <v/>
      </c>
      <c r="BB645" s="28" t="str">
        <f>IF(B645="","",TEXT(AZ645,"00")&amp;"|"&amp;B645&amp;"|"&amp;TEXT(AV645,"yyyymmdd"))</f>
        <v/>
      </c>
      <c r="BC645" s="28">
        <f>IF(OR(AQ645="YES",AQ645="Yes",AQ645="Y",AQ645=1),1,0)</f>
        <v>0</v>
      </c>
    </row>
    <row r="646" spans="1:55" ht="15" customHeight="1">
      <c r="A646" s="27"/>
      <c r="B646" s="28"/>
      <c r="C646" s="29"/>
      <c r="D646" s="30"/>
      <c r="E646" s="30"/>
      <c r="F646" s="28"/>
      <c r="G646" s="28"/>
      <c r="H646" s="28"/>
      <c r="I646" s="13"/>
      <c r="J646" s="28"/>
      <c r="K646" s="13"/>
      <c r="L646" s="28"/>
      <c r="M646" s="13"/>
      <c r="N646" s="28"/>
      <c r="O646" s="13"/>
      <c r="P646" s="28"/>
      <c r="Q646" s="20"/>
      <c r="R646" s="28"/>
      <c r="S646" s="20"/>
      <c r="T646" s="28"/>
      <c r="U646" s="13"/>
      <c r="V646" s="28"/>
      <c r="W646" s="13"/>
      <c r="X646" s="28"/>
      <c r="Y646" s="13"/>
      <c r="Z646" s="28"/>
      <c r="AA646" s="13"/>
      <c r="AB646" s="28"/>
      <c r="AC646" s="13"/>
      <c r="AD646" s="28"/>
      <c r="AE646" s="13"/>
      <c r="AF646" s="28"/>
      <c r="AG646" s="13"/>
      <c r="AH646" s="28"/>
      <c r="AI646" s="13"/>
      <c r="AJ646" s="28"/>
      <c r="AK646" s="13"/>
      <c r="AL646" s="28"/>
      <c r="AM646" s="13"/>
      <c r="AN646" s="28"/>
      <c r="AO646" s="13"/>
      <c r="AP646" s="28"/>
      <c r="AQ646" s="13"/>
      <c r="AR646" s="28"/>
      <c r="AS646" s="19">
        <f>SUM(H646,J646,L646,N646,P646,R646,T646,V646,X646,Z646,AB646,AD646,AF646,AH646,AJ646,AL646,AN646)</f>
        <v>0</v>
      </c>
      <c r="AT646" s="29" t="str">
        <f>IF(C646="","",DATE(YEAR(C646),MONTH(C646),1))</f>
        <v/>
      </c>
      <c r="AU646" s="28" t="str">
        <f>IF(AT646="","",TEXT(AT646,"mmmm yyyy"))</f>
        <v/>
      </c>
      <c r="AV646" s="29" t="str">
        <f>IF(C646="","",C646-WEEKDAY(C646,2)+1)</f>
        <v/>
      </c>
      <c r="AW646" s="29" t="str">
        <f>IF(AV646="","",AV646+6)</f>
        <v/>
      </c>
      <c r="AX646" s="28" t="str">
        <f>IF(AV646="","",TEXT(AV646,"dd/mm/yyyy")&amp;" - "&amp;TEXT(AW646,"dd/mm/yyyy"))</f>
        <v/>
      </c>
      <c r="AY646" s="28" t="str">
        <f>IF(B646="","",COUNTIFS($B$5:B646,B646,$AT$5:AT646,AT646))</f>
        <v/>
      </c>
      <c r="AZ646" s="28" t="str">
        <f>IF(B646="","",COUNTIFS($B$5:B646,B646,$AV$5:AV646,AV646))</f>
        <v/>
      </c>
      <c r="BA646" s="28" t="str">
        <f>IF(B646="","",TEXT(AY646,"00")&amp;"|"&amp;B646&amp;"|"&amp;TEXT(AT646,"yyyymmdd"))</f>
        <v/>
      </c>
      <c r="BB646" s="28" t="str">
        <f>IF(B646="","",TEXT(AZ646,"00")&amp;"|"&amp;B646&amp;"|"&amp;TEXT(AV646,"yyyymmdd"))</f>
        <v/>
      </c>
      <c r="BC646" s="28">
        <f>IF(OR(AQ646="YES",AQ646="Yes",AQ646="Y",AQ646=1),1,0)</f>
        <v>0</v>
      </c>
    </row>
    <row r="647" spans="1:55" ht="15" customHeight="1">
      <c r="A647" s="27"/>
      <c r="B647" s="28"/>
      <c r="C647" s="29"/>
      <c r="D647" s="30"/>
      <c r="E647" s="30"/>
      <c r="F647" s="28"/>
      <c r="G647" s="28"/>
      <c r="H647" s="28"/>
      <c r="I647" s="13"/>
      <c r="J647" s="28"/>
      <c r="K647" s="13"/>
      <c r="L647" s="28"/>
      <c r="M647" s="13"/>
      <c r="N647" s="28"/>
      <c r="O647" s="13"/>
      <c r="P647" s="28"/>
      <c r="Q647" s="20"/>
      <c r="R647" s="28"/>
      <c r="S647" s="20"/>
      <c r="T647" s="28"/>
      <c r="U647" s="13"/>
      <c r="V647" s="28"/>
      <c r="W647" s="13"/>
      <c r="X647" s="28"/>
      <c r="Y647" s="13"/>
      <c r="Z647" s="28"/>
      <c r="AA647" s="13"/>
      <c r="AB647" s="28"/>
      <c r="AC647" s="13"/>
      <c r="AD647" s="28"/>
      <c r="AE647" s="13"/>
      <c r="AF647" s="28"/>
      <c r="AG647" s="13"/>
      <c r="AH647" s="28"/>
      <c r="AI647" s="13"/>
      <c r="AJ647" s="28"/>
      <c r="AK647" s="13"/>
      <c r="AL647" s="28"/>
      <c r="AM647" s="13"/>
      <c r="AN647" s="28"/>
      <c r="AO647" s="13"/>
      <c r="AP647" s="28"/>
      <c r="AQ647" s="13"/>
      <c r="AR647" s="28"/>
      <c r="AS647" s="19">
        <f>SUM(H647,J647,L647,N647,P647,R647,T647,V647,X647,Z647,AB647,AD647,AF647,AH647,AJ647,AL647,AN647)</f>
        <v>0</v>
      </c>
      <c r="AT647" s="29" t="str">
        <f>IF(C647="","",DATE(YEAR(C647),MONTH(C647),1))</f>
        <v/>
      </c>
      <c r="AU647" s="28" t="str">
        <f>IF(AT647="","",TEXT(AT647,"mmmm yyyy"))</f>
        <v/>
      </c>
      <c r="AV647" s="29" t="str">
        <f>IF(C647="","",C647-WEEKDAY(C647,2)+1)</f>
        <v/>
      </c>
      <c r="AW647" s="29" t="str">
        <f>IF(AV647="","",AV647+6)</f>
        <v/>
      </c>
      <c r="AX647" s="28" t="str">
        <f>IF(AV647="","",TEXT(AV647,"dd/mm/yyyy")&amp;" - "&amp;TEXT(AW647,"dd/mm/yyyy"))</f>
        <v/>
      </c>
      <c r="AY647" s="28" t="str">
        <f>IF(B647="","",COUNTIFS($B$5:B647,B647,$AT$5:AT647,AT647))</f>
        <v/>
      </c>
      <c r="AZ647" s="28" t="str">
        <f>IF(B647="","",COUNTIFS($B$5:B647,B647,$AV$5:AV647,AV647))</f>
        <v/>
      </c>
      <c r="BA647" s="28" t="str">
        <f>IF(B647="","",TEXT(AY647,"00")&amp;"|"&amp;B647&amp;"|"&amp;TEXT(AT647,"yyyymmdd"))</f>
        <v/>
      </c>
      <c r="BB647" s="28" t="str">
        <f>IF(B647="","",TEXT(AZ647,"00")&amp;"|"&amp;B647&amp;"|"&amp;TEXT(AV647,"yyyymmdd"))</f>
        <v/>
      </c>
      <c r="BC647" s="28">
        <f>IF(OR(AQ647="YES",AQ647="Yes",AQ647="Y",AQ647=1),1,0)</f>
        <v>0</v>
      </c>
    </row>
    <row r="648" spans="1:55" ht="15" customHeight="1">
      <c r="A648" s="27"/>
      <c r="B648" s="28"/>
      <c r="C648" s="29"/>
      <c r="D648" s="30"/>
      <c r="E648" s="30"/>
      <c r="F648" s="28"/>
      <c r="G648" s="28"/>
      <c r="H648" s="28"/>
      <c r="I648" s="13"/>
      <c r="J648" s="28"/>
      <c r="K648" s="13"/>
      <c r="L648" s="28"/>
      <c r="M648" s="13"/>
      <c r="N648" s="28"/>
      <c r="O648" s="13"/>
      <c r="P648" s="28"/>
      <c r="Q648" s="20"/>
      <c r="R648" s="28"/>
      <c r="S648" s="20"/>
      <c r="T648" s="28"/>
      <c r="U648" s="13"/>
      <c r="V648" s="28"/>
      <c r="W648" s="13"/>
      <c r="X648" s="28"/>
      <c r="Y648" s="13"/>
      <c r="Z648" s="28"/>
      <c r="AA648" s="13"/>
      <c r="AB648" s="28"/>
      <c r="AC648" s="13"/>
      <c r="AD648" s="28"/>
      <c r="AE648" s="13"/>
      <c r="AF648" s="28"/>
      <c r="AG648" s="13"/>
      <c r="AH648" s="28"/>
      <c r="AI648" s="13"/>
      <c r="AJ648" s="28"/>
      <c r="AK648" s="13"/>
      <c r="AL648" s="28"/>
      <c r="AM648" s="13"/>
      <c r="AN648" s="28"/>
      <c r="AO648" s="13"/>
      <c r="AP648" s="28"/>
      <c r="AQ648" s="13"/>
      <c r="AR648" s="28"/>
      <c r="AS648" s="19">
        <f>SUM(H648,J648,L648,N648,P648,R648,T648,V648,X648,Z648,AB648,AD648,AF648,AH648,AJ648,AL648,AN648)</f>
        <v>0</v>
      </c>
      <c r="AT648" s="29" t="str">
        <f>IF(C648="","",DATE(YEAR(C648),MONTH(C648),1))</f>
        <v/>
      </c>
      <c r="AU648" s="28" t="str">
        <f>IF(AT648="","",TEXT(AT648,"mmmm yyyy"))</f>
        <v/>
      </c>
      <c r="AV648" s="29" t="str">
        <f>IF(C648="","",C648-WEEKDAY(C648,2)+1)</f>
        <v/>
      </c>
      <c r="AW648" s="29" t="str">
        <f>IF(AV648="","",AV648+6)</f>
        <v/>
      </c>
      <c r="AX648" s="28" t="str">
        <f>IF(AV648="","",TEXT(AV648,"dd/mm/yyyy")&amp;" - "&amp;TEXT(AW648,"dd/mm/yyyy"))</f>
        <v/>
      </c>
      <c r="AY648" s="28" t="str">
        <f>IF(B648="","",COUNTIFS($B$5:B648,B648,$AT$5:AT648,AT648))</f>
        <v/>
      </c>
      <c r="AZ648" s="28" t="str">
        <f>IF(B648="","",COUNTIFS($B$5:B648,B648,$AV$5:AV648,AV648))</f>
        <v/>
      </c>
      <c r="BA648" s="28" t="str">
        <f>IF(B648="","",TEXT(AY648,"00")&amp;"|"&amp;B648&amp;"|"&amp;TEXT(AT648,"yyyymmdd"))</f>
        <v/>
      </c>
      <c r="BB648" s="28" t="str">
        <f>IF(B648="","",TEXT(AZ648,"00")&amp;"|"&amp;B648&amp;"|"&amp;TEXT(AV648,"yyyymmdd"))</f>
        <v/>
      </c>
      <c r="BC648" s="28">
        <f>IF(OR(AQ648="YES",AQ648="Yes",AQ648="Y",AQ648=1),1,0)</f>
        <v>0</v>
      </c>
    </row>
    <row r="649" spans="1:55" ht="15" customHeight="1">
      <c r="A649" s="27"/>
      <c r="B649" s="28"/>
      <c r="C649" s="29"/>
      <c r="D649" s="30"/>
      <c r="E649" s="30"/>
      <c r="F649" s="28"/>
      <c r="G649" s="28"/>
      <c r="H649" s="28"/>
      <c r="I649" s="13"/>
      <c r="J649" s="28"/>
      <c r="K649" s="13"/>
      <c r="L649" s="28"/>
      <c r="M649" s="13"/>
      <c r="N649" s="28"/>
      <c r="O649" s="13"/>
      <c r="P649" s="28"/>
      <c r="Q649" s="20"/>
      <c r="R649" s="28"/>
      <c r="S649" s="20"/>
      <c r="T649" s="28"/>
      <c r="U649" s="13"/>
      <c r="V649" s="28"/>
      <c r="W649" s="13"/>
      <c r="X649" s="28"/>
      <c r="Y649" s="13"/>
      <c r="Z649" s="28"/>
      <c r="AA649" s="13"/>
      <c r="AB649" s="28"/>
      <c r="AC649" s="13"/>
      <c r="AD649" s="28"/>
      <c r="AE649" s="13"/>
      <c r="AF649" s="28"/>
      <c r="AG649" s="13"/>
      <c r="AH649" s="28"/>
      <c r="AI649" s="13"/>
      <c r="AJ649" s="28"/>
      <c r="AK649" s="13"/>
      <c r="AL649" s="28"/>
      <c r="AM649" s="13"/>
      <c r="AN649" s="28"/>
      <c r="AO649" s="13"/>
      <c r="AP649" s="28"/>
      <c r="AQ649" s="13"/>
      <c r="AR649" s="28"/>
      <c r="AS649" s="19">
        <f>SUM(H649,J649,L649,N649,P649,R649,T649,V649,X649,Z649,AB649,AD649,AF649,AH649,AJ649,AL649,AN649)</f>
        <v>0</v>
      </c>
      <c r="AT649" s="29" t="str">
        <f>IF(C649="","",DATE(YEAR(C649),MONTH(C649),1))</f>
        <v/>
      </c>
      <c r="AU649" s="28" t="str">
        <f>IF(AT649="","",TEXT(AT649,"mmmm yyyy"))</f>
        <v/>
      </c>
      <c r="AV649" s="29" t="str">
        <f>IF(C649="","",C649-WEEKDAY(C649,2)+1)</f>
        <v/>
      </c>
      <c r="AW649" s="29" t="str">
        <f>IF(AV649="","",AV649+6)</f>
        <v/>
      </c>
      <c r="AX649" s="28" t="str">
        <f>IF(AV649="","",TEXT(AV649,"dd/mm/yyyy")&amp;" - "&amp;TEXT(AW649,"dd/mm/yyyy"))</f>
        <v/>
      </c>
      <c r="AY649" s="28" t="str">
        <f>IF(B649="","",COUNTIFS($B$5:B649,B649,$AT$5:AT649,AT649))</f>
        <v/>
      </c>
      <c r="AZ649" s="28" t="str">
        <f>IF(B649="","",COUNTIFS($B$5:B649,B649,$AV$5:AV649,AV649))</f>
        <v/>
      </c>
      <c r="BA649" s="28" t="str">
        <f>IF(B649="","",TEXT(AY649,"00")&amp;"|"&amp;B649&amp;"|"&amp;TEXT(AT649,"yyyymmdd"))</f>
        <v/>
      </c>
      <c r="BB649" s="28" t="str">
        <f>IF(B649="","",TEXT(AZ649,"00")&amp;"|"&amp;B649&amp;"|"&amp;TEXT(AV649,"yyyymmdd"))</f>
        <v/>
      </c>
      <c r="BC649" s="28">
        <f>IF(OR(AQ649="YES",AQ649="Yes",AQ649="Y",AQ649=1),1,0)</f>
        <v>0</v>
      </c>
    </row>
    <row r="650" spans="1:55" ht="15" customHeight="1">
      <c r="A650" s="27"/>
      <c r="B650" s="28"/>
      <c r="C650" s="29"/>
      <c r="D650" s="30"/>
      <c r="E650" s="30"/>
      <c r="F650" s="28"/>
      <c r="G650" s="28"/>
      <c r="H650" s="28"/>
      <c r="I650" s="13"/>
      <c r="J650" s="28"/>
      <c r="K650" s="13"/>
      <c r="L650" s="28"/>
      <c r="M650" s="13"/>
      <c r="N650" s="28"/>
      <c r="O650" s="13"/>
      <c r="P650" s="28"/>
      <c r="Q650" s="20"/>
      <c r="R650" s="28"/>
      <c r="S650" s="20"/>
      <c r="T650" s="28"/>
      <c r="U650" s="13"/>
      <c r="V650" s="28"/>
      <c r="W650" s="13"/>
      <c r="X650" s="28"/>
      <c r="Y650" s="13"/>
      <c r="Z650" s="28"/>
      <c r="AA650" s="13"/>
      <c r="AB650" s="28"/>
      <c r="AC650" s="13"/>
      <c r="AD650" s="28"/>
      <c r="AE650" s="13"/>
      <c r="AF650" s="28"/>
      <c r="AG650" s="13"/>
      <c r="AH650" s="28"/>
      <c r="AI650" s="13"/>
      <c r="AJ650" s="28"/>
      <c r="AK650" s="13"/>
      <c r="AL650" s="28"/>
      <c r="AM650" s="13"/>
      <c r="AN650" s="28"/>
      <c r="AO650" s="13"/>
      <c r="AP650" s="28"/>
      <c r="AQ650" s="13"/>
      <c r="AR650" s="28"/>
      <c r="AS650" s="19">
        <f>SUM(H650,J650,L650,N650,P650,R650,T650,V650,X650,Z650,AB650,AD650,AF650,AH650,AJ650,AL650,AN650)</f>
        <v>0</v>
      </c>
      <c r="AT650" s="29" t="str">
        <f>IF(C650="","",DATE(YEAR(C650),MONTH(C650),1))</f>
        <v/>
      </c>
      <c r="AU650" s="28" t="str">
        <f>IF(AT650="","",TEXT(AT650,"mmmm yyyy"))</f>
        <v/>
      </c>
      <c r="AV650" s="29" t="str">
        <f>IF(C650="","",C650-WEEKDAY(C650,2)+1)</f>
        <v/>
      </c>
      <c r="AW650" s="29" t="str">
        <f>IF(AV650="","",AV650+6)</f>
        <v/>
      </c>
      <c r="AX650" s="28" t="str">
        <f>IF(AV650="","",TEXT(AV650,"dd/mm/yyyy")&amp;" - "&amp;TEXT(AW650,"dd/mm/yyyy"))</f>
        <v/>
      </c>
      <c r="AY650" s="28" t="str">
        <f>IF(B650="","",COUNTIFS($B$5:B650,B650,$AT$5:AT650,AT650))</f>
        <v/>
      </c>
      <c r="AZ650" s="28" t="str">
        <f>IF(B650="","",COUNTIFS($B$5:B650,B650,$AV$5:AV650,AV650))</f>
        <v/>
      </c>
      <c r="BA650" s="28" t="str">
        <f>IF(B650="","",TEXT(AY650,"00")&amp;"|"&amp;B650&amp;"|"&amp;TEXT(AT650,"yyyymmdd"))</f>
        <v/>
      </c>
      <c r="BB650" s="28" t="str">
        <f>IF(B650="","",TEXT(AZ650,"00")&amp;"|"&amp;B650&amp;"|"&amp;TEXT(AV650,"yyyymmdd"))</f>
        <v/>
      </c>
      <c r="BC650" s="28">
        <f>IF(OR(AQ650="YES",AQ650="Yes",AQ650="Y",AQ650=1),1,0)</f>
        <v>0</v>
      </c>
    </row>
    <row r="651" spans="1:55" ht="15" customHeight="1">
      <c r="A651" s="27"/>
      <c r="B651" s="28"/>
      <c r="C651" s="29"/>
      <c r="D651" s="30"/>
      <c r="E651" s="30"/>
      <c r="F651" s="28"/>
      <c r="G651" s="28"/>
      <c r="H651" s="28"/>
      <c r="I651" s="13"/>
      <c r="J651" s="28"/>
      <c r="K651" s="13"/>
      <c r="L651" s="28"/>
      <c r="M651" s="13"/>
      <c r="N651" s="28"/>
      <c r="O651" s="13"/>
      <c r="P651" s="28"/>
      <c r="Q651" s="20"/>
      <c r="R651" s="28"/>
      <c r="S651" s="20"/>
      <c r="T651" s="28"/>
      <c r="U651" s="13"/>
      <c r="V651" s="28"/>
      <c r="W651" s="13"/>
      <c r="X651" s="28"/>
      <c r="Y651" s="13"/>
      <c r="Z651" s="28"/>
      <c r="AA651" s="13"/>
      <c r="AB651" s="28"/>
      <c r="AC651" s="13"/>
      <c r="AD651" s="28"/>
      <c r="AE651" s="13"/>
      <c r="AF651" s="28"/>
      <c r="AG651" s="13"/>
      <c r="AH651" s="28"/>
      <c r="AI651" s="13"/>
      <c r="AJ651" s="28"/>
      <c r="AK651" s="13"/>
      <c r="AL651" s="28"/>
      <c r="AM651" s="13"/>
      <c r="AN651" s="28"/>
      <c r="AO651" s="13"/>
      <c r="AP651" s="28"/>
      <c r="AQ651" s="13"/>
      <c r="AR651" s="28"/>
      <c r="AS651" s="19">
        <f>SUM(H651,J651,L651,N651,P651,R651,T651,V651,X651,Z651,AB651,AD651,AF651,AH651,AJ651,AL651,AN651)</f>
        <v>0</v>
      </c>
      <c r="AT651" s="29" t="str">
        <f>IF(C651="","",DATE(YEAR(C651),MONTH(C651),1))</f>
        <v/>
      </c>
      <c r="AU651" s="28" t="str">
        <f>IF(AT651="","",TEXT(AT651,"mmmm yyyy"))</f>
        <v/>
      </c>
      <c r="AV651" s="29" t="str">
        <f>IF(C651="","",C651-WEEKDAY(C651,2)+1)</f>
        <v/>
      </c>
      <c r="AW651" s="29" t="str">
        <f>IF(AV651="","",AV651+6)</f>
        <v/>
      </c>
      <c r="AX651" s="28" t="str">
        <f>IF(AV651="","",TEXT(AV651,"dd/mm/yyyy")&amp;" - "&amp;TEXT(AW651,"dd/mm/yyyy"))</f>
        <v/>
      </c>
      <c r="AY651" s="28" t="str">
        <f>IF(B651="","",COUNTIFS($B$5:B651,B651,$AT$5:AT651,AT651))</f>
        <v/>
      </c>
      <c r="AZ651" s="28" t="str">
        <f>IF(B651="","",COUNTIFS($B$5:B651,B651,$AV$5:AV651,AV651))</f>
        <v/>
      </c>
      <c r="BA651" s="28" t="str">
        <f>IF(B651="","",TEXT(AY651,"00")&amp;"|"&amp;B651&amp;"|"&amp;TEXT(AT651,"yyyymmdd"))</f>
        <v/>
      </c>
      <c r="BB651" s="28" t="str">
        <f>IF(B651="","",TEXT(AZ651,"00")&amp;"|"&amp;B651&amp;"|"&amp;TEXT(AV651,"yyyymmdd"))</f>
        <v/>
      </c>
      <c r="BC651" s="28">
        <f>IF(OR(AQ651="YES",AQ651="Yes",AQ651="Y",AQ651=1),1,0)</f>
        <v>0</v>
      </c>
    </row>
    <row r="652" spans="1:55" ht="15" customHeight="1">
      <c r="A652" s="27"/>
      <c r="B652" s="28"/>
      <c r="C652" s="29"/>
      <c r="D652" s="30"/>
      <c r="E652" s="30"/>
      <c r="F652" s="28"/>
      <c r="G652" s="28"/>
      <c r="H652" s="28"/>
      <c r="I652" s="13"/>
      <c r="J652" s="28"/>
      <c r="K652" s="13"/>
      <c r="L652" s="28"/>
      <c r="M652" s="13"/>
      <c r="N652" s="28"/>
      <c r="O652" s="13"/>
      <c r="P652" s="28"/>
      <c r="Q652" s="20"/>
      <c r="R652" s="28"/>
      <c r="S652" s="20"/>
      <c r="T652" s="28"/>
      <c r="U652" s="13"/>
      <c r="V652" s="28"/>
      <c r="W652" s="13"/>
      <c r="X652" s="28"/>
      <c r="Y652" s="13"/>
      <c r="Z652" s="28"/>
      <c r="AA652" s="13"/>
      <c r="AB652" s="28"/>
      <c r="AC652" s="13"/>
      <c r="AD652" s="28"/>
      <c r="AE652" s="13"/>
      <c r="AF652" s="28"/>
      <c r="AG652" s="13"/>
      <c r="AH652" s="28"/>
      <c r="AI652" s="13"/>
      <c r="AJ652" s="28"/>
      <c r="AK652" s="13"/>
      <c r="AL652" s="28"/>
      <c r="AM652" s="13"/>
      <c r="AN652" s="28"/>
      <c r="AO652" s="13"/>
      <c r="AP652" s="28"/>
      <c r="AQ652" s="13"/>
      <c r="AR652" s="28"/>
      <c r="AS652" s="19">
        <f>SUM(H652,J652,L652,N652,P652,R652,T652,V652,X652,Z652,AB652,AD652,AF652,AH652,AJ652,AL652,AN652)</f>
        <v>0</v>
      </c>
      <c r="AT652" s="29" t="str">
        <f>IF(C652="","",DATE(YEAR(C652),MONTH(C652),1))</f>
        <v/>
      </c>
      <c r="AU652" s="28" t="str">
        <f>IF(AT652="","",TEXT(AT652,"mmmm yyyy"))</f>
        <v/>
      </c>
      <c r="AV652" s="29" t="str">
        <f>IF(C652="","",C652-WEEKDAY(C652,2)+1)</f>
        <v/>
      </c>
      <c r="AW652" s="29" t="str">
        <f>IF(AV652="","",AV652+6)</f>
        <v/>
      </c>
      <c r="AX652" s="28" t="str">
        <f>IF(AV652="","",TEXT(AV652,"dd/mm/yyyy")&amp;" - "&amp;TEXT(AW652,"dd/mm/yyyy"))</f>
        <v/>
      </c>
      <c r="AY652" s="28" t="str">
        <f>IF(B652="","",COUNTIFS($B$5:B652,B652,$AT$5:AT652,AT652))</f>
        <v/>
      </c>
      <c r="AZ652" s="28" t="str">
        <f>IF(B652="","",COUNTIFS($B$5:B652,B652,$AV$5:AV652,AV652))</f>
        <v/>
      </c>
      <c r="BA652" s="28" t="str">
        <f>IF(B652="","",TEXT(AY652,"00")&amp;"|"&amp;B652&amp;"|"&amp;TEXT(AT652,"yyyymmdd"))</f>
        <v/>
      </c>
      <c r="BB652" s="28" t="str">
        <f>IF(B652="","",TEXT(AZ652,"00")&amp;"|"&amp;B652&amp;"|"&amp;TEXT(AV652,"yyyymmdd"))</f>
        <v/>
      </c>
      <c r="BC652" s="28">
        <f>IF(OR(AQ652="YES",AQ652="Yes",AQ652="Y",AQ652=1),1,0)</f>
        <v>0</v>
      </c>
    </row>
    <row r="653" spans="1:55" ht="15" customHeight="1">
      <c r="A653" s="27"/>
      <c r="B653" s="28"/>
      <c r="C653" s="29"/>
      <c r="D653" s="30"/>
      <c r="E653" s="30"/>
      <c r="F653" s="28"/>
      <c r="G653" s="28"/>
      <c r="H653" s="28"/>
      <c r="I653" s="13"/>
      <c r="J653" s="28"/>
      <c r="K653" s="13"/>
      <c r="L653" s="28"/>
      <c r="M653" s="13"/>
      <c r="N653" s="28"/>
      <c r="O653" s="13"/>
      <c r="P653" s="28"/>
      <c r="Q653" s="20"/>
      <c r="R653" s="28"/>
      <c r="S653" s="20"/>
      <c r="T653" s="28"/>
      <c r="U653" s="13"/>
      <c r="V653" s="28"/>
      <c r="W653" s="13"/>
      <c r="X653" s="28"/>
      <c r="Y653" s="13"/>
      <c r="Z653" s="28"/>
      <c r="AA653" s="13"/>
      <c r="AB653" s="28"/>
      <c r="AC653" s="13"/>
      <c r="AD653" s="28"/>
      <c r="AE653" s="13"/>
      <c r="AF653" s="28"/>
      <c r="AG653" s="13"/>
      <c r="AH653" s="28"/>
      <c r="AI653" s="13"/>
      <c r="AJ653" s="28"/>
      <c r="AK653" s="13"/>
      <c r="AL653" s="28"/>
      <c r="AM653" s="13"/>
      <c r="AN653" s="28"/>
      <c r="AO653" s="13"/>
      <c r="AP653" s="28"/>
      <c r="AQ653" s="13"/>
      <c r="AR653" s="28"/>
      <c r="AS653" s="19">
        <f>SUM(H653,J653,L653,N653,P653,R653,T653,V653,X653,Z653,AB653,AD653,AF653,AH653,AJ653,AL653,AN653)</f>
        <v>0</v>
      </c>
      <c r="AT653" s="29" t="str">
        <f>IF(C653="","",DATE(YEAR(C653),MONTH(C653),1))</f>
        <v/>
      </c>
      <c r="AU653" s="28" t="str">
        <f>IF(AT653="","",TEXT(AT653,"mmmm yyyy"))</f>
        <v/>
      </c>
      <c r="AV653" s="29" t="str">
        <f>IF(C653="","",C653-WEEKDAY(C653,2)+1)</f>
        <v/>
      </c>
      <c r="AW653" s="29" t="str">
        <f>IF(AV653="","",AV653+6)</f>
        <v/>
      </c>
      <c r="AX653" s="28" t="str">
        <f>IF(AV653="","",TEXT(AV653,"dd/mm/yyyy")&amp;" - "&amp;TEXT(AW653,"dd/mm/yyyy"))</f>
        <v/>
      </c>
      <c r="AY653" s="28" t="str">
        <f>IF(B653="","",COUNTIFS($B$5:B653,B653,$AT$5:AT653,AT653))</f>
        <v/>
      </c>
      <c r="AZ653" s="28" t="str">
        <f>IF(B653="","",COUNTIFS($B$5:B653,B653,$AV$5:AV653,AV653))</f>
        <v/>
      </c>
      <c r="BA653" s="28" t="str">
        <f>IF(B653="","",TEXT(AY653,"00")&amp;"|"&amp;B653&amp;"|"&amp;TEXT(AT653,"yyyymmdd"))</f>
        <v/>
      </c>
      <c r="BB653" s="28" t="str">
        <f>IF(B653="","",TEXT(AZ653,"00")&amp;"|"&amp;B653&amp;"|"&amp;TEXT(AV653,"yyyymmdd"))</f>
        <v/>
      </c>
      <c r="BC653" s="28">
        <f>IF(OR(AQ653="YES",AQ653="Yes",AQ653="Y",AQ653=1),1,0)</f>
        <v>0</v>
      </c>
    </row>
    <row r="654" spans="1:55" ht="15" customHeight="1">
      <c r="A654" s="27"/>
      <c r="B654" s="28"/>
      <c r="C654" s="29"/>
      <c r="D654" s="30"/>
      <c r="E654" s="30"/>
      <c r="F654" s="28"/>
      <c r="G654" s="28"/>
      <c r="H654" s="28"/>
      <c r="I654" s="13"/>
      <c r="J654" s="28"/>
      <c r="K654" s="13"/>
      <c r="L654" s="28"/>
      <c r="M654" s="13"/>
      <c r="N654" s="28"/>
      <c r="O654" s="13"/>
      <c r="P654" s="28"/>
      <c r="Q654" s="20"/>
      <c r="R654" s="28"/>
      <c r="S654" s="20"/>
      <c r="T654" s="28"/>
      <c r="U654" s="13"/>
      <c r="V654" s="28"/>
      <c r="W654" s="13"/>
      <c r="X654" s="28"/>
      <c r="Y654" s="13"/>
      <c r="Z654" s="28"/>
      <c r="AA654" s="13"/>
      <c r="AB654" s="28"/>
      <c r="AC654" s="13"/>
      <c r="AD654" s="28"/>
      <c r="AE654" s="13"/>
      <c r="AF654" s="28"/>
      <c r="AG654" s="13"/>
      <c r="AH654" s="28"/>
      <c r="AI654" s="13"/>
      <c r="AJ654" s="28"/>
      <c r="AK654" s="13"/>
      <c r="AL654" s="28"/>
      <c r="AM654" s="13"/>
      <c r="AN654" s="28"/>
      <c r="AO654" s="13"/>
      <c r="AP654" s="28"/>
      <c r="AQ654" s="13"/>
      <c r="AR654" s="28"/>
      <c r="AS654" s="19">
        <f>SUM(H654,J654,L654,N654,P654,R654,T654,V654,X654,Z654,AB654,AD654,AF654,AH654,AJ654,AL654,AN654)</f>
        <v>0</v>
      </c>
      <c r="AT654" s="29" t="str">
        <f>IF(C654="","",DATE(YEAR(C654),MONTH(C654),1))</f>
        <v/>
      </c>
      <c r="AU654" s="28" t="str">
        <f>IF(AT654="","",TEXT(AT654,"mmmm yyyy"))</f>
        <v/>
      </c>
      <c r="AV654" s="29" t="str">
        <f>IF(C654="","",C654-WEEKDAY(C654,2)+1)</f>
        <v/>
      </c>
      <c r="AW654" s="29" t="str">
        <f>IF(AV654="","",AV654+6)</f>
        <v/>
      </c>
      <c r="AX654" s="28" t="str">
        <f>IF(AV654="","",TEXT(AV654,"dd/mm/yyyy")&amp;" - "&amp;TEXT(AW654,"dd/mm/yyyy"))</f>
        <v/>
      </c>
      <c r="AY654" s="28" t="str">
        <f>IF(B654="","",COUNTIFS($B$5:B654,B654,$AT$5:AT654,AT654))</f>
        <v/>
      </c>
      <c r="AZ654" s="28" t="str">
        <f>IF(B654="","",COUNTIFS($B$5:B654,B654,$AV$5:AV654,AV654))</f>
        <v/>
      </c>
      <c r="BA654" s="28" t="str">
        <f>IF(B654="","",TEXT(AY654,"00")&amp;"|"&amp;B654&amp;"|"&amp;TEXT(AT654,"yyyymmdd"))</f>
        <v/>
      </c>
      <c r="BB654" s="28" t="str">
        <f>IF(B654="","",TEXT(AZ654,"00")&amp;"|"&amp;B654&amp;"|"&amp;TEXT(AV654,"yyyymmdd"))</f>
        <v/>
      </c>
      <c r="BC654" s="28">
        <f>IF(OR(AQ654="YES",AQ654="Yes",AQ654="Y",AQ654=1),1,0)</f>
        <v>0</v>
      </c>
    </row>
    <row r="655" spans="1:55" ht="15" customHeight="1">
      <c r="A655" s="27"/>
      <c r="B655" s="28"/>
      <c r="C655" s="29"/>
      <c r="D655" s="30"/>
      <c r="E655" s="30"/>
      <c r="F655" s="28"/>
      <c r="G655" s="28"/>
      <c r="H655" s="28"/>
      <c r="I655" s="13"/>
      <c r="J655" s="28"/>
      <c r="K655" s="13"/>
      <c r="L655" s="28"/>
      <c r="M655" s="13"/>
      <c r="N655" s="28"/>
      <c r="O655" s="13"/>
      <c r="P655" s="28"/>
      <c r="Q655" s="20"/>
      <c r="R655" s="28"/>
      <c r="S655" s="20"/>
      <c r="T655" s="28"/>
      <c r="U655" s="13"/>
      <c r="V655" s="28"/>
      <c r="W655" s="13"/>
      <c r="X655" s="28"/>
      <c r="Y655" s="13"/>
      <c r="Z655" s="28"/>
      <c r="AA655" s="13"/>
      <c r="AB655" s="28"/>
      <c r="AC655" s="13"/>
      <c r="AD655" s="28"/>
      <c r="AE655" s="13"/>
      <c r="AF655" s="28"/>
      <c r="AG655" s="13"/>
      <c r="AH655" s="28"/>
      <c r="AI655" s="13"/>
      <c r="AJ655" s="28"/>
      <c r="AK655" s="13"/>
      <c r="AL655" s="28"/>
      <c r="AM655" s="13"/>
      <c r="AN655" s="28"/>
      <c r="AO655" s="13"/>
      <c r="AP655" s="28"/>
      <c r="AQ655" s="13"/>
      <c r="AR655" s="28"/>
      <c r="AS655" s="19">
        <f>SUM(H655,J655,L655,N655,P655,R655,T655,V655,X655,Z655,AB655,AD655,AF655,AH655,AJ655,AL655,AN655)</f>
        <v>0</v>
      </c>
      <c r="AT655" s="29" t="str">
        <f>IF(C655="","",DATE(YEAR(C655),MONTH(C655),1))</f>
        <v/>
      </c>
      <c r="AU655" s="28" t="str">
        <f>IF(AT655="","",TEXT(AT655,"mmmm yyyy"))</f>
        <v/>
      </c>
      <c r="AV655" s="29" t="str">
        <f>IF(C655="","",C655-WEEKDAY(C655,2)+1)</f>
        <v/>
      </c>
      <c r="AW655" s="29" t="str">
        <f>IF(AV655="","",AV655+6)</f>
        <v/>
      </c>
      <c r="AX655" s="28" t="str">
        <f>IF(AV655="","",TEXT(AV655,"dd/mm/yyyy")&amp;" - "&amp;TEXT(AW655,"dd/mm/yyyy"))</f>
        <v/>
      </c>
      <c r="AY655" s="28" t="str">
        <f>IF(B655="","",COUNTIFS($B$5:B655,B655,$AT$5:AT655,AT655))</f>
        <v/>
      </c>
      <c r="AZ655" s="28" t="str">
        <f>IF(B655="","",COUNTIFS($B$5:B655,B655,$AV$5:AV655,AV655))</f>
        <v/>
      </c>
      <c r="BA655" s="28" t="str">
        <f>IF(B655="","",TEXT(AY655,"00")&amp;"|"&amp;B655&amp;"|"&amp;TEXT(AT655,"yyyymmdd"))</f>
        <v/>
      </c>
      <c r="BB655" s="28" t="str">
        <f>IF(B655="","",TEXT(AZ655,"00")&amp;"|"&amp;B655&amp;"|"&amp;TEXT(AV655,"yyyymmdd"))</f>
        <v/>
      </c>
      <c r="BC655" s="28">
        <f>IF(OR(AQ655="YES",AQ655="Yes",AQ655="Y",AQ655=1),1,0)</f>
        <v>0</v>
      </c>
    </row>
    <row r="656" spans="1:55" ht="15" customHeight="1">
      <c r="A656" s="27"/>
      <c r="B656" s="28"/>
      <c r="C656" s="29"/>
      <c r="D656" s="30"/>
      <c r="E656" s="30"/>
      <c r="F656" s="28"/>
      <c r="G656" s="28"/>
      <c r="H656" s="28"/>
      <c r="I656" s="13"/>
      <c r="J656" s="28"/>
      <c r="K656" s="13"/>
      <c r="L656" s="28"/>
      <c r="M656" s="13"/>
      <c r="N656" s="28"/>
      <c r="O656" s="13"/>
      <c r="P656" s="28"/>
      <c r="Q656" s="20"/>
      <c r="R656" s="28"/>
      <c r="S656" s="20"/>
      <c r="T656" s="28"/>
      <c r="U656" s="13"/>
      <c r="V656" s="28"/>
      <c r="W656" s="13"/>
      <c r="X656" s="28"/>
      <c r="Y656" s="13"/>
      <c r="Z656" s="28"/>
      <c r="AA656" s="13"/>
      <c r="AB656" s="28"/>
      <c r="AC656" s="13"/>
      <c r="AD656" s="28"/>
      <c r="AE656" s="13"/>
      <c r="AF656" s="28"/>
      <c r="AG656" s="13"/>
      <c r="AH656" s="28"/>
      <c r="AI656" s="13"/>
      <c r="AJ656" s="28"/>
      <c r="AK656" s="13"/>
      <c r="AL656" s="28"/>
      <c r="AM656" s="13"/>
      <c r="AN656" s="28"/>
      <c r="AO656" s="13"/>
      <c r="AP656" s="28"/>
      <c r="AQ656" s="13"/>
      <c r="AR656" s="28"/>
      <c r="AS656" s="19">
        <f>SUM(H656,J656,L656,N656,P656,R656,T656,V656,X656,Z656,AB656,AD656,AF656,AH656,AJ656,AL656,AN656)</f>
        <v>0</v>
      </c>
      <c r="AT656" s="29" t="str">
        <f>IF(C656="","",DATE(YEAR(C656),MONTH(C656),1))</f>
        <v/>
      </c>
      <c r="AU656" s="28" t="str">
        <f>IF(AT656="","",TEXT(AT656,"mmmm yyyy"))</f>
        <v/>
      </c>
      <c r="AV656" s="29" t="str">
        <f>IF(C656="","",C656-WEEKDAY(C656,2)+1)</f>
        <v/>
      </c>
      <c r="AW656" s="29" t="str">
        <f>IF(AV656="","",AV656+6)</f>
        <v/>
      </c>
      <c r="AX656" s="28" t="str">
        <f>IF(AV656="","",TEXT(AV656,"dd/mm/yyyy")&amp;" - "&amp;TEXT(AW656,"dd/mm/yyyy"))</f>
        <v/>
      </c>
      <c r="AY656" s="28" t="str">
        <f>IF(B656="","",COUNTIFS($B$5:B656,B656,$AT$5:AT656,AT656))</f>
        <v/>
      </c>
      <c r="AZ656" s="28" t="str">
        <f>IF(B656="","",COUNTIFS($B$5:B656,B656,$AV$5:AV656,AV656))</f>
        <v/>
      </c>
      <c r="BA656" s="28" t="str">
        <f>IF(B656="","",TEXT(AY656,"00")&amp;"|"&amp;B656&amp;"|"&amp;TEXT(AT656,"yyyymmdd"))</f>
        <v/>
      </c>
      <c r="BB656" s="28" t="str">
        <f>IF(B656="","",TEXT(AZ656,"00")&amp;"|"&amp;B656&amp;"|"&amp;TEXT(AV656,"yyyymmdd"))</f>
        <v/>
      </c>
      <c r="BC656" s="28">
        <f>IF(OR(AQ656="YES",AQ656="Yes",AQ656="Y",AQ656=1),1,0)</f>
        <v>0</v>
      </c>
    </row>
    <row r="657" spans="1:55" ht="15" customHeight="1">
      <c r="A657" s="27"/>
      <c r="B657" s="28"/>
      <c r="C657" s="29"/>
      <c r="D657" s="30"/>
      <c r="E657" s="30"/>
      <c r="F657" s="28"/>
      <c r="G657" s="28"/>
      <c r="H657" s="28"/>
      <c r="I657" s="13"/>
      <c r="J657" s="28"/>
      <c r="K657" s="13"/>
      <c r="L657" s="28"/>
      <c r="M657" s="13"/>
      <c r="N657" s="28"/>
      <c r="O657" s="13"/>
      <c r="P657" s="28"/>
      <c r="Q657" s="20"/>
      <c r="R657" s="28"/>
      <c r="S657" s="20"/>
      <c r="T657" s="28"/>
      <c r="U657" s="13"/>
      <c r="V657" s="28"/>
      <c r="W657" s="13"/>
      <c r="X657" s="28"/>
      <c r="Y657" s="13"/>
      <c r="Z657" s="28"/>
      <c r="AA657" s="13"/>
      <c r="AB657" s="28"/>
      <c r="AC657" s="13"/>
      <c r="AD657" s="28"/>
      <c r="AE657" s="13"/>
      <c r="AF657" s="28"/>
      <c r="AG657" s="13"/>
      <c r="AH657" s="28"/>
      <c r="AI657" s="13"/>
      <c r="AJ657" s="28"/>
      <c r="AK657" s="13"/>
      <c r="AL657" s="28"/>
      <c r="AM657" s="13"/>
      <c r="AN657" s="28"/>
      <c r="AO657" s="13"/>
      <c r="AP657" s="28"/>
      <c r="AQ657" s="13"/>
      <c r="AR657" s="28"/>
      <c r="AS657" s="19">
        <f>SUM(H657,J657,L657,N657,P657,R657,T657,V657,X657,Z657,AB657,AD657,AF657,AH657,AJ657,AL657,AN657)</f>
        <v>0</v>
      </c>
      <c r="AT657" s="29" t="str">
        <f>IF(C657="","",DATE(YEAR(C657),MONTH(C657),1))</f>
        <v/>
      </c>
      <c r="AU657" s="28" t="str">
        <f>IF(AT657="","",TEXT(AT657,"mmmm yyyy"))</f>
        <v/>
      </c>
      <c r="AV657" s="29" t="str">
        <f>IF(C657="","",C657-WEEKDAY(C657,2)+1)</f>
        <v/>
      </c>
      <c r="AW657" s="29" t="str">
        <f>IF(AV657="","",AV657+6)</f>
        <v/>
      </c>
      <c r="AX657" s="28" t="str">
        <f>IF(AV657="","",TEXT(AV657,"dd/mm/yyyy")&amp;" - "&amp;TEXT(AW657,"dd/mm/yyyy"))</f>
        <v/>
      </c>
      <c r="AY657" s="28" t="str">
        <f>IF(B657="","",COUNTIFS($B$5:B657,B657,$AT$5:AT657,AT657))</f>
        <v/>
      </c>
      <c r="AZ657" s="28" t="str">
        <f>IF(B657="","",COUNTIFS($B$5:B657,B657,$AV$5:AV657,AV657))</f>
        <v/>
      </c>
      <c r="BA657" s="28" t="str">
        <f>IF(B657="","",TEXT(AY657,"00")&amp;"|"&amp;B657&amp;"|"&amp;TEXT(AT657,"yyyymmdd"))</f>
        <v/>
      </c>
      <c r="BB657" s="28" t="str">
        <f>IF(B657="","",TEXT(AZ657,"00")&amp;"|"&amp;B657&amp;"|"&amp;TEXT(AV657,"yyyymmdd"))</f>
        <v/>
      </c>
      <c r="BC657" s="28">
        <f>IF(OR(AQ657="YES",AQ657="Yes",AQ657="Y",AQ657=1),1,0)</f>
        <v>0</v>
      </c>
    </row>
    <row r="658" spans="1:55" ht="15" customHeight="1">
      <c r="A658" s="27"/>
      <c r="B658" s="28"/>
      <c r="C658" s="29"/>
      <c r="D658" s="30"/>
      <c r="E658" s="30"/>
      <c r="F658" s="28"/>
      <c r="G658" s="28"/>
      <c r="H658" s="28"/>
      <c r="I658" s="13"/>
      <c r="J658" s="28"/>
      <c r="K658" s="13"/>
      <c r="L658" s="28"/>
      <c r="M658" s="13"/>
      <c r="N658" s="28"/>
      <c r="O658" s="13"/>
      <c r="P658" s="28"/>
      <c r="Q658" s="20"/>
      <c r="R658" s="28"/>
      <c r="S658" s="20"/>
      <c r="T658" s="28"/>
      <c r="U658" s="13"/>
      <c r="V658" s="28"/>
      <c r="W658" s="13"/>
      <c r="X658" s="28"/>
      <c r="Y658" s="13"/>
      <c r="Z658" s="28"/>
      <c r="AA658" s="13"/>
      <c r="AB658" s="28"/>
      <c r="AC658" s="13"/>
      <c r="AD658" s="28"/>
      <c r="AE658" s="13"/>
      <c r="AF658" s="28"/>
      <c r="AG658" s="13"/>
      <c r="AH658" s="28"/>
      <c r="AI658" s="13"/>
      <c r="AJ658" s="28"/>
      <c r="AK658" s="13"/>
      <c r="AL658" s="28"/>
      <c r="AM658" s="13"/>
      <c r="AN658" s="28"/>
      <c r="AO658" s="13"/>
      <c r="AP658" s="28"/>
      <c r="AQ658" s="13"/>
      <c r="AR658" s="28"/>
      <c r="AS658" s="19">
        <f>SUM(H658,J658,L658,N658,P658,R658,T658,V658,X658,Z658,AB658,AD658,AF658,AH658,AJ658,AL658,AN658)</f>
        <v>0</v>
      </c>
      <c r="AT658" s="29" t="str">
        <f>IF(C658="","",DATE(YEAR(C658),MONTH(C658),1))</f>
        <v/>
      </c>
      <c r="AU658" s="28" t="str">
        <f>IF(AT658="","",TEXT(AT658,"mmmm yyyy"))</f>
        <v/>
      </c>
      <c r="AV658" s="29" t="str">
        <f>IF(C658="","",C658-WEEKDAY(C658,2)+1)</f>
        <v/>
      </c>
      <c r="AW658" s="29" t="str">
        <f>IF(AV658="","",AV658+6)</f>
        <v/>
      </c>
      <c r="AX658" s="28" t="str">
        <f>IF(AV658="","",TEXT(AV658,"dd/mm/yyyy")&amp;" - "&amp;TEXT(AW658,"dd/mm/yyyy"))</f>
        <v/>
      </c>
      <c r="AY658" s="28" t="str">
        <f>IF(B658="","",COUNTIFS($B$5:B658,B658,$AT$5:AT658,AT658))</f>
        <v/>
      </c>
      <c r="AZ658" s="28" t="str">
        <f>IF(B658="","",COUNTIFS($B$5:B658,B658,$AV$5:AV658,AV658))</f>
        <v/>
      </c>
      <c r="BA658" s="28" t="str">
        <f>IF(B658="","",TEXT(AY658,"00")&amp;"|"&amp;B658&amp;"|"&amp;TEXT(AT658,"yyyymmdd"))</f>
        <v/>
      </c>
      <c r="BB658" s="28" t="str">
        <f>IF(B658="","",TEXT(AZ658,"00")&amp;"|"&amp;B658&amp;"|"&amp;TEXT(AV658,"yyyymmdd"))</f>
        <v/>
      </c>
      <c r="BC658" s="28">
        <f>IF(OR(AQ658="YES",AQ658="Yes",AQ658="Y",AQ658=1),1,0)</f>
        <v>0</v>
      </c>
    </row>
    <row r="659" spans="1:55" ht="15" customHeight="1">
      <c r="A659" s="27"/>
      <c r="B659" s="28"/>
      <c r="C659" s="29"/>
      <c r="D659" s="30"/>
      <c r="E659" s="30"/>
      <c r="F659" s="28"/>
      <c r="G659" s="28"/>
      <c r="H659" s="28"/>
      <c r="I659" s="13"/>
      <c r="J659" s="28"/>
      <c r="K659" s="13"/>
      <c r="L659" s="28"/>
      <c r="M659" s="13"/>
      <c r="N659" s="28"/>
      <c r="O659" s="13"/>
      <c r="P659" s="28"/>
      <c r="Q659" s="20"/>
      <c r="R659" s="28"/>
      <c r="S659" s="20"/>
      <c r="T659" s="28"/>
      <c r="U659" s="13"/>
      <c r="V659" s="28"/>
      <c r="W659" s="13"/>
      <c r="X659" s="28"/>
      <c r="Y659" s="13"/>
      <c r="Z659" s="28"/>
      <c r="AA659" s="13"/>
      <c r="AB659" s="28"/>
      <c r="AC659" s="13"/>
      <c r="AD659" s="28"/>
      <c r="AE659" s="13"/>
      <c r="AF659" s="28"/>
      <c r="AG659" s="13"/>
      <c r="AH659" s="28"/>
      <c r="AI659" s="13"/>
      <c r="AJ659" s="28"/>
      <c r="AK659" s="13"/>
      <c r="AL659" s="28"/>
      <c r="AM659" s="13"/>
      <c r="AN659" s="28"/>
      <c r="AO659" s="13"/>
      <c r="AP659" s="28"/>
      <c r="AQ659" s="13"/>
      <c r="AR659" s="28"/>
      <c r="AS659" s="19">
        <f>SUM(H659,J659,L659,N659,P659,R659,T659,V659,X659,Z659,AB659,AD659,AF659,AH659,AJ659,AL659,AN659)</f>
        <v>0</v>
      </c>
      <c r="AT659" s="29" t="str">
        <f>IF(C659="","",DATE(YEAR(C659),MONTH(C659),1))</f>
        <v/>
      </c>
      <c r="AU659" s="28" t="str">
        <f>IF(AT659="","",TEXT(AT659,"mmmm yyyy"))</f>
        <v/>
      </c>
      <c r="AV659" s="29" t="str">
        <f>IF(C659="","",C659-WEEKDAY(C659,2)+1)</f>
        <v/>
      </c>
      <c r="AW659" s="29" t="str">
        <f>IF(AV659="","",AV659+6)</f>
        <v/>
      </c>
      <c r="AX659" s="28" t="str">
        <f>IF(AV659="","",TEXT(AV659,"dd/mm/yyyy")&amp;" - "&amp;TEXT(AW659,"dd/mm/yyyy"))</f>
        <v/>
      </c>
      <c r="AY659" s="28" t="str">
        <f>IF(B659="","",COUNTIFS($B$5:B659,B659,$AT$5:AT659,AT659))</f>
        <v/>
      </c>
      <c r="AZ659" s="28" t="str">
        <f>IF(B659="","",COUNTIFS($B$5:B659,B659,$AV$5:AV659,AV659))</f>
        <v/>
      </c>
      <c r="BA659" s="28" t="str">
        <f>IF(B659="","",TEXT(AY659,"00")&amp;"|"&amp;B659&amp;"|"&amp;TEXT(AT659,"yyyymmdd"))</f>
        <v/>
      </c>
      <c r="BB659" s="28" t="str">
        <f>IF(B659="","",TEXT(AZ659,"00")&amp;"|"&amp;B659&amp;"|"&amp;TEXT(AV659,"yyyymmdd"))</f>
        <v/>
      </c>
      <c r="BC659" s="28">
        <f>IF(OR(AQ659="YES",AQ659="Yes",AQ659="Y",AQ659=1),1,0)</f>
        <v>0</v>
      </c>
    </row>
    <row r="660" spans="1:55" ht="15" customHeight="1">
      <c r="A660" s="27"/>
      <c r="B660" s="28"/>
      <c r="C660" s="29"/>
      <c r="D660" s="30"/>
      <c r="E660" s="30"/>
      <c r="F660" s="28"/>
      <c r="G660" s="28"/>
      <c r="H660" s="28"/>
      <c r="I660" s="13"/>
      <c r="J660" s="28"/>
      <c r="K660" s="13"/>
      <c r="L660" s="28"/>
      <c r="M660" s="13"/>
      <c r="N660" s="28"/>
      <c r="O660" s="13"/>
      <c r="P660" s="28"/>
      <c r="Q660" s="20"/>
      <c r="R660" s="28"/>
      <c r="S660" s="20"/>
      <c r="T660" s="28"/>
      <c r="U660" s="13"/>
      <c r="V660" s="28"/>
      <c r="W660" s="13"/>
      <c r="X660" s="28"/>
      <c r="Y660" s="13"/>
      <c r="Z660" s="28"/>
      <c r="AA660" s="13"/>
      <c r="AB660" s="28"/>
      <c r="AC660" s="13"/>
      <c r="AD660" s="28"/>
      <c r="AE660" s="13"/>
      <c r="AF660" s="28"/>
      <c r="AG660" s="13"/>
      <c r="AH660" s="28"/>
      <c r="AI660" s="13"/>
      <c r="AJ660" s="28"/>
      <c r="AK660" s="13"/>
      <c r="AL660" s="28"/>
      <c r="AM660" s="13"/>
      <c r="AN660" s="28"/>
      <c r="AO660" s="13"/>
      <c r="AP660" s="28"/>
      <c r="AQ660" s="13"/>
      <c r="AR660" s="28"/>
      <c r="AS660" s="19">
        <f>SUM(H660,J660,L660,N660,P660,R660,T660,V660,X660,Z660,AB660,AD660,AF660,AH660,AJ660,AL660,AN660)</f>
        <v>0</v>
      </c>
      <c r="AT660" s="29" t="str">
        <f>IF(C660="","",DATE(YEAR(C660),MONTH(C660),1))</f>
        <v/>
      </c>
      <c r="AU660" s="28" t="str">
        <f>IF(AT660="","",TEXT(AT660,"mmmm yyyy"))</f>
        <v/>
      </c>
      <c r="AV660" s="29" t="str">
        <f>IF(C660="","",C660-WEEKDAY(C660,2)+1)</f>
        <v/>
      </c>
      <c r="AW660" s="29" t="str">
        <f>IF(AV660="","",AV660+6)</f>
        <v/>
      </c>
      <c r="AX660" s="28" t="str">
        <f>IF(AV660="","",TEXT(AV660,"dd/mm/yyyy")&amp;" - "&amp;TEXT(AW660,"dd/mm/yyyy"))</f>
        <v/>
      </c>
      <c r="AY660" s="28" t="str">
        <f>IF(B660="","",COUNTIFS($B$5:B660,B660,$AT$5:AT660,AT660))</f>
        <v/>
      </c>
      <c r="AZ660" s="28" t="str">
        <f>IF(B660="","",COUNTIFS($B$5:B660,B660,$AV$5:AV660,AV660))</f>
        <v/>
      </c>
      <c r="BA660" s="28" t="str">
        <f>IF(B660="","",TEXT(AY660,"00")&amp;"|"&amp;B660&amp;"|"&amp;TEXT(AT660,"yyyymmdd"))</f>
        <v/>
      </c>
      <c r="BB660" s="28" t="str">
        <f>IF(B660="","",TEXT(AZ660,"00")&amp;"|"&amp;B660&amp;"|"&amp;TEXT(AV660,"yyyymmdd"))</f>
        <v/>
      </c>
      <c r="BC660" s="28">
        <f>IF(OR(AQ660="YES",AQ660="Yes",AQ660="Y",AQ660=1),1,0)</f>
        <v>0</v>
      </c>
    </row>
    <row r="661" spans="1:55" ht="15" customHeight="1">
      <c r="A661" s="27"/>
      <c r="B661" s="28"/>
      <c r="C661" s="29"/>
      <c r="D661" s="30"/>
      <c r="E661" s="30"/>
      <c r="F661" s="28"/>
      <c r="G661" s="28"/>
      <c r="H661" s="28"/>
      <c r="I661" s="13"/>
      <c r="J661" s="28"/>
      <c r="K661" s="13"/>
      <c r="L661" s="28"/>
      <c r="M661" s="13"/>
      <c r="N661" s="28"/>
      <c r="O661" s="13"/>
      <c r="P661" s="28"/>
      <c r="Q661" s="20"/>
      <c r="R661" s="28"/>
      <c r="S661" s="20"/>
      <c r="T661" s="28"/>
      <c r="U661" s="13"/>
      <c r="V661" s="28"/>
      <c r="W661" s="13"/>
      <c r="X661" s="28"/>
      <c r="Y661" s="13"/>
      <c r="Z661" s="28"/>
      <c r="AA661" s="13"/>
      <c r="AB661" s="28"/>
      <c r="AC661" s="13"/>
      <c r="AD661" s="28"/>
      <c r="AE661" s="13"/>
      <c r="AF661" s="28"/>
      <c r="AG661" s="13"/>
      <c r="AH661" s="28"/>
      <c r="AI661" s="13"/>
      <c r="AJ661" s="28"/>
      <c r="AK661" s="13"/>
      <c r="AL661" s="28"/>
      <c r="AM661" s="13"/>
      <c r="AN661" s="28"/>
      <c r="AO661" s="13"/>
      <c r="AP661" s="28"/>
      <c r="AQ661" s="13"/>
      <c r="AR661" s="28"/>
      <c r="AS661" s="19">
        <f>SUM(H661,J661,L661,N661,P661,R661,T661,V661,X661,Z661,AB661,AD661,AF661,AH661,AJ661,AL661,AN661)</f>
        <v>0</v>
      </c>
      <c r="AT661" s="29" t="str">
        <f>IF(C661="","",DATE(YEAR(C661),MONTH(C661),1))</f>
        <v/>
      </c>
      <c r="AU661" s="28" t="str">
        <f>IF(AT661="","",TEXT(AT661,"mmmm yyyy"))</f>
        <v/>
      </c>
      <c r="AV661" s="29" t="str">
        <f>IF(C661="","",C661-WEEKDAY(C661,2)+1)</f>
        <v/>
      </c>
      <c r="AW661" s="29" t="str">
        <f>IF(AV661="","",AV661+6)</f>
        <v/>
      </c>
      <c r="AX661" s="28" t="str">
        <f>IF(AV661="","",TEXT(AV661,"dd/mm/yyyy")&amp;" - "&amp;TEXT(AW661,"dd/mm/yyyy"))</f>
        <v/>
      </c>
      <c r="AY661" s="28" t="str">
        <f>IF(B661="","",COUNTIFS($B$5:B661,B661,$AT$5:AT661,AT661))</f>
        <v/>
      </c>
      <c r="AZ661" s="28" t="str">
        <f>IF(B661="","",COUNTIFS($B$5:B661,B661,$AV$5:AV661,AV661))</f>
        <v/>
      </c>
      <c r="BA661" s="28" t="str">
        <f>IF(B661="","",TEXT(AY661,"00")&amp;"|"&amp;B661&amp;"|"&amp;TEXT(AT661,"yyyymmdd"))</f>
        <v/>
      </c>
      <c r="BB661" s="28" t="str">
        <f>IF(B661="","",TEXT(AZ661,"00")&amp;"|"&amp;B661&amp;"|"&amp;TEXT(AV661,"yyyymmdd"))</f>
        <v/>
      </c>
      <c r="BC661" s="28">
        <f>IF(OR(AQ661="YES",AQ661="Yes",AQ661="Y",AQ661=1),1,0)</f>
        <v>0</v>
      </c>
    </row>
    <row r="662" spans="1:55" ht="15" customHeight="1">
      <c r="A662" s="27"/>
      <c r="B662" s="28"/>
      <c r="C662" s="29"/>
      <c r="D662" s="30"/>
      <c r="E662" s="30"/>
      <c r="F662" s="28"/>
      <c r="G662" s="28"/>
      <c r="H662" s="28"/>
      <c r="I662" s="13"/>
      <c r="J662" s="28"/>
      <c r="K662" s="13"/>
      <c r="L662" s="28"/>
      <c r="M662" s="13"/>
      <c r="N662" s="28"/>
      <c r="O662" s="13"/>
      <c r="P662" s="28"/>
      <c r="Q662" s="20"/>
      <c r="R662" s="28"/>
      <c r="S662" s="20"/>
      <c r="T662" s="28"/>
      <c r="U662" s="13"/>
      <c r="V662" s="28"/>
      <c r="W662" s="13"/>
      <c r="X662" s="28"/>
      <c r="Y662" s="13"/>
      <c r="Z662" s="28"/>
      <c r="AA662" s="13"/>
      <c r="AB662" s="28"/>
      <c r="AC662" s="13"/>
      <c r="AD662" s="28"/>
      <c r="AE662" s="13"/>
      <c r="AF662" s="28"/>
      <c r="AG662" s="13"/>
      <c r="AH662" s="28"/>
      <c r="AI662" s="13"/>
      <c r="AJ662" s="28"/>
      <c r="AK662" s="13"/>
      <c r="AL662" s="28"/>
      <c r="AM662" s="13"/>
      <c r="AN662" s="28"/>
      <c r="AO662" s="13"/>
      <c r="AP662" s="28"/>
      <c r="AQ662" s="13"/>
      <c r="AR662" s="28"/>
      <c r="AS662" s="19">
        <f>SUM(H662,J662,L662,N662,P662,R662,T662,V662,X662,Z662,AB662,AD662,AF662,AH662,AJ662,AL662,AN662)</f>
        <v>0</v>
      </c>
      <c r="AT662" s="29" t="str">
        <f>IF(C662="","",DATE(YEAR(C662),MONTH(C662),1))</f>
        <v/>
      </c>
      <c r="AU662" s="28" t="str">
        <f>IF(AT662="","",TEXT(AT662,"mmmm yyyy"))</f>
        <v/>
      </c>
      <c r="AV662" s="29" t="str">
        <f>IF(C662="","",C662-WEEKDAY(C662,2)+1)</f>
        <v/>
      </c>
      <c r="AW662" s="29" t="str">
        <f>IF(AV662="","",AV662+6)</f>
        <v/>
      </c>
      <c r="AX662" s="28" t="str">
        <f>IF(AV662="","",TEXT(AV662,"dd/mm/yyyy")&amp;" - "&amp;TEXT(AW662,"dd/mm/yyyy"))</f>
        <v/>
      </c>
      <c r="AY662" s="28" t="str">
        <f>IF(B662="","",COUNTIFS($B$5:B662,B662,$AT$5:AT662,AT662))</f>
        <v/>
      </c>
      <c r="AZ662" s="28" t="str">
        <f>IF(B662="","",COUNTIFS($B$5:B662,B662,$AV$5:AV662,AV662))</f>
        <v/>
      </c>
      <c r="BA662" s="28" t="str">
        <f>IF(B662="","",TEXT(AY662,"00")&amp;"|"&amp;B662&amp;"|"&amp;TEXT(AT662,"yyyymmdd"))</f>
        <v/>
      </c>
      <c r="BB662" s="28" t="str">
        <f>IF(B662="","",TEXT(AZ662,"00")&amp;"|"&amp;B662&amp;"|"&amp;TEXT(AV662,"yyyymmdd"))</f>
        <v/>
      </c>
      <c r="BC662" s="28">
        <f>IF(OR(AQ662="YES",AQ662="Yes",AQ662="Y",AQ662=1),1,0)</f>
        <v>0</v>
      </c>
    </row>
    <row r="663" spans="1:55" ht="15" customHeight="1">
      <c r="A663" s="27"/>
      <c r="B663" s="28"/>
      <c r="C663" s="29"/>
      <c r="D663" s="30"/>
      <c r="E663" s="30"/>
      <c r="F663" s="28"/>
      <c r="G663" s="28"/>
      <c r="H663" s="28"/>
      <c r="I663" s="13"/>
      <c r="J663" s="28"/>
      <c r="K663" s="13"/>
      <c r="L663" s="28"/>
      <c r="M663" s="13"/>
      <c r="N663" s="28"/>
      <c r="O663" s="13"/>
      <c r="P663" s="28"/>
      <c r="Q663" s="20"/>
      <c r="R663" s="28"/>
      <c r="S663" s="20"/>
      <c r="T663" s="28"/>
      <c r="U663" s="13"/>
      <c r="V663" s="28"/>
      <c r="W663" s="13"/>
      <c r="X663" s="28"/>
      <c r="Y663" s="13"/>
      <c r="Z663" s="28"/>
      <c r="AA663" s="13"/>
      <c r="AB663" s="28"/>
      <c r="AC663" s="13"/>
      <c r="AD663" s="28"/>
      <c r="AE663" s="13"/>
      <c r="AF663" s="28"/>
      <c r="AG663" s="13"/>
      <c r="AH663" s="28"/>
      <c r="AI663" s="13"/>
      <c r="AJ663" s="28"/>
      <c r="AK663" s="13"/>
      <c r="AL663" s="28"/>
      <c r="AM663" s="13"/>
      <c r="AN663" s="28"/>
      <c r="AO663" s="13"/>
      <c r="AP663" s="28"/>
      <c r="AQ663" s="13"/>
      <c r="AR663" s="28"/>
      <c r="AS663" s="19">
        <f>SUM(H663,J663,L663,N663,P663,R663,T663,V663,X663,Z663,AB663,AD663,AF663,AH663,AJ663,AL663,AN663)</f>
        <v>0</v>
      </c>
      <c r="AT663" s="29" t="str">
        <f>IF(C663="","",DATE(YEAR(C663),MONTH(C663),1))</f>
        <v/>
      </c>
      <c r="AU663" s="28" t="str">
        <f>IF(AT663="","",TEXT(AT663,"mmmm yyyy"))</f>
        <v/>
      </c>
      <c r="AV663" s="29" t="str">
        <f>IF(C663="","",C663-WEEKDAY(C663,2)+1)</f>
        <v/>
      </c>
      <c r="AW663" s="29" t="str">
        <f>IF(AV663="","",AV663+6)</f>
        <v/>
      </c>
      <c r="AX663" s="28" t="str">
        <f>IF(AV663="","",TEXT(AV663,"dd/mm/yyyy")&amp;" - "&amp;TEXT(AW663,"dd/mm/yyyy"))</f>
        <v/>
      </c>
      <c r="AY663" s="28" t="str">
        <f>IF(B663="","",COUNTIFS($B$5:B663,B663,$AT$5:AT663,AT663))</f>
        <v/>
      </c>
      <c r="AZ663" s="28" t="str">
        <f>IF(B663="","",COUNTIFS($B$5:B663,B663,$AV$5:AV663,AV663))</f>
        <v/>
      </c>
      <c r="BA663" s="28" t="str">
        <f>IF(B663="","",TEXT(AY663,"00")&amp;"|"&amp;B663&amp;"|"&amp;TEXT(AT663,"yyyymmdd"))</f>
        <v/>
      </c>
      <c r="BB663" s="28" t="str">
        <f>IF(B663="","",TEXT(AZ663,"00")&amp;"|"&amp;B663&amp;"|"&amp;TEXT(AV663,"yyyymmdd"))</f>
        <v/>
      </c>
      <c r="BC663" s="28">
        <f>IF(OR(AQ663="YES",AQ663="Yes",AQ663="Y",AQ663=1),1,0)</f>
        <v>0</v>
      </c>
    </row>
    <row r="664" spans="1:55" ht="15" customHeight="1">
      <c r="A664" s="27"/>
      <c r="B664" s="28"/>
      <c r="C664" s="29"/>
      <c r="D664" s="30"/>
      <c r="E664" s="30"/>
      <c r="F664" s="28"/>
      <c r="G664" s="28"/>
      <c r="H664" s="28"/>
      <c r="I664" s="13"/>
      <c r="J664" s="28"/>
      <c r="K664" s="13"/>
      <c r="L664" s="28"/>
      <c r="M664" s="13"/>
      <c r="N664" s="28"/>
      <c r="O664" s="13"/>
      <c r="P664" s="28"/>
      <c r="Q664" s="20"/>
      <c r="R664" s="28"/>
      <c r="S664" s="20"/>
      <c r="T664" s="28"/>
      <c r="U664" s="13"/>
      <c r="V664" s="28"/>
      <c r="W664" s="13"/>
      <c r="X664" s="28"/>
      <c r="Y664" s="13"/>
      <c r="Z664" s="28"/>
      <c r="AA664" s="13"/>
      <c r="AB664" s="28"/>
      <c r="AC664" s="13"/>
      <c r="AD664" s="28"/>
      <c r="AE664" s="13"/>
      <c r="AF664" s="28"/>
      <c r="AG664" s="13"/>
      <c r="AH664" s="28"/>
      <c r="AI664" s="13"/>
      <c r="AJ664" s="28"/>
      <c r="AK664" s="13"/>
      <c r="AL664" s="28"/>
      <c r="AM664" s="13"/>
      <c r="AN664" s="28"/>
      <c r="AO664" s="13"/>
      <c r="AP664" s="28"/>
      <c r="AQ664" s="13"/>
      <c r="AR664" s="28"/>
      <c r="AS664" s="19">
        <f>SUM(H664,J664,L664,N664,P664,R664,T664,V664,X664,Z664,AB664,AD664,AF664,AH664,AJ664,AL664,AN664)</f>
        <v>0</v>
      </c>
      <c r="AT664" s="29" t="str">
        <f>IF(C664="","",DATE(YEAR(C664),MONTH(C664),1))</f>
        <v/>
      </c>
      <c r="AU664" s="28" t="str">
        <f>IF(AT664="","",TEXT(AT664,"mmmm yyyy"))</f>
        <v/>
      </c>
      <c r="AV664" s="29" t="str">
        <f>IF(C664="","",C664-WEEKDAY(C664,2)+1)</f>
        <v/>
      </c>
      <c r="AW664" s="29" t="str">
        <f>IF(AV664="","",AV664+6)</f>
        <v/>
      </c>
      <c r="AX664" s="28" t="str">
        <f>IF(AV664="","",TEXT(AV664,"dd/mm/yyyy")&amp;" - "&amp;TEXT(AW664,"dd/mm/yyyy"))</f>
        <v/>
      </c>
      <c r="AY664" s="28" t="str">
        <f>IF(B664="","",COUNTIFS($B$5:B664,B664,$AT$5:AT664,AT664))</f>
        <v/>
      </c>
      <c r="AZ664" s="28" t="str">
        <f>IF(B664="","",COUNTIFS($B$5:B664,B664,$AV$5:AV664,AV664))</f>
        <v/>
      </c>
      <c r="BA664" s="28" t="str">
        <f>IF(B664="","",TEXT(AY664,"00")&amp;"|"&amp;B664&amp;"|"&amp;TEXT(AT664,"yyyymmdd"))</f>
        <v/>
      </c>
      <c r="BB664" s="28" t="str">
        <f>IF(B664="","",TEXT(AZ664,"00")&amp;"|"&amp;B664&amp;"|"&amp;TEXT(AV664,"yyyymmdd"))</f>
        <v/>
      </c>
      <c r="BC664" s="28">
        <f>IF(OR(AQ664="YES",AQ664="Yes",AQ664="Y",AQ664=1),1,0)</f>
        <v>0</v>
      </c>
    </row>
    <row r="665" spans="1:55" ht="15" customHeight="1">
      <c r="A665" s="27"/>
      <c r="B665" s="28"/>
      <c r="C665" s="29"/>
      <c r="D665" s="30"/>
      <c r="E665" s="30"/>
      <c r="F665" s="28"/>
      <c r="G665" s="28"/>
      <c r="H665" s="28"/>
      <c r="I665" s="13"/>
      <c r="J665" s="28"/>
      <c r="K665" s="13"/>
      <c r="L665" s="28"/>
      <c r="M665" s="13"/>
      <c r="N665" s="28"/>
      <c r="O665" s="13"/>
      <c r="P665" s="28"/>
      <c r="Q665" s="20"/>
      <c r="R665" s="28"/>
      <c r="S665" s="20"/>
      <c r="T665" s="28"/>
      <c r="U665" s="13"/>
      <c r="V665" s="28"/>
      <c r="W665" s="13"/>
      <c r="X665" s="28"/>
      <c r="Y665" s="13"/>
      <c r="Z665" s="28"/>
      <c r="AA665" s="13"/>
      <c r="AB665" s="28"/>
      <c r="AC665" s="13"/>
      <c r="AD665" s="28"/>
      <c r="AE665" s="13"/>
      <c r="AF665" s="28"/>
      <c r="AG665" s="13"/>
      <c r="AH665" s="28"/>
      <c r="AI665" s="13"/>
      <c r="AJ665" s="28"/>
      <c r="AK665" s="13"/>
      <c r="AL665" s="28"/>
      <c r="AM665" s="13"/>
      <c r="AN665" s="28"/>
      <c r="AO665" s="13"/>
      <c r="AP665" s="28"/>
      <c r="AQ665" s="13"/>
      <c r="AR665" s="28"/>
      <c r="AS665" s="19">
        <f>SUM(H665,J665,L665,N665,P665,R665,T665,V665,X665,Z665,AB665,AD665,AF665,AH665,AJ665,AL665,AN665)</f>
        <v>0</v>
      </c>
      <c r="AT665" s="29" t="str">
        <f>IF(C665="","",DATE(YEAR(C665),MONTH(C665),1))</f>
        <v/>
      </c>
      <c r="AU665" s="28" t="str">
        <f>IF(AT665="","",TEXT(AT665,"mmmm yyyy"))</f>
        <v/>
      </c>
      <c r="AV665" s="29" t="str">
        <f>IF(C665="","",C665-WEEKDAY(C665,2)+1)</f>
        <v/>
      </c>
      <c r="AW665" s="29" t="str">
        <f>IF(AV665="","",AV665+6)</f>
        <v/>
      </c>
      <c r="AX665" s="28" t="str">
        <f>IF(AV665="","",TEXT(AV665,"dd/mm/yyyy")&amp;" - "&amp;TEXT(AW665,"dd/mm/yyyy"))</f>
        <v/>
      </c>
      <c r="AY665" s="28" t="str">
        <f>IF(B665="","",COUNTIFS($B$5:B665,B665,$AT$5:AT665,AT665))</f>
        <v/>
      </c>
      <c r="AZ665" s="28" t="str">
        <f>IF(B665="","",COUNTIFS($B$5:B665,B665,$AV$5:AV665,AV665))</f>
        <v/>
      </c>
      <c r="BA665" s="28" t="str">
        <f>IF(B665="","",TEXT(AY665,"00")&amp;"|"&amp;B665&amp;"|"&amp;TEXT(AT665,"yyyymmdd"))</f>
        <v/>
      </c>
      <c r="BB665" s="28" t="str">
        <f>IF(B665="","",TEXT(AZ665,"00")&amp;"|"&amp;B665&amp;"|"&amp;TEXT(AV665,"yyyymmdd"))</f>
        <v/>
      </c>
      <c r="BC665" s="28">
        <f>IF(OR(AQ665="YES",AQ665="Yes",AQ665="Y",AQ665=1),1,0)</f>
        <v>0</v>
      </c>
    </row>
    <row r="666" spans="1:55" ht="15" customHeight="1">
      <c r="A666" s="27"/>
      <c r="B666" s="28"/>
      <c r="C666" s="29"/>
      <c r="D666" s="30"/>
      <c r="E666" s="30"/>
      <c r="F666" s="28"/>
      <c r="G666" s="28"/>
      <c r="H666" s="28"/>
      <c r="I666" s="13"/>
      <c r="J666" s="28"/>
      <c r="K666" s="13"/>
      <c r="L666" s="28"/>
      <c r="M666" s="13"/>
      <c r="N666" s="28"/>
      <c r="O666" s="13"/>
      <c r="P666" s="28"/>
      <c r="Q666" s="20"/>
      <c r="R666" s="28"/>
      <c r="S666" s="20"/>
      <c r="T666" s="28"/>
      <c r="U666" s="13"/>
      <c r="V666" s="28"/>
      <c r="W666" s="13"/>
      <c r="X666" s="28"/>
      <c r="Y666" s="13"/>
      <c r="Z666" s="28"/>
      <c r="AA666" s="13"/>
      <c r="AB666" s="28"/>
      <c r="AC666" s="13"/>
      <c r="AD666" s="28"/>
      <c r="AE666" s="13"/>
      <c r="AF666" s="28"/>
      <c r="AG666" s="13"/>
      <c r="AH666" s="28"/>
      <c r="AI666" s="13"/>
      <c r="AJ666" s="28"/>
      <c r="AK666" s="13"/>
      <c r="AL666" s="28"/>
      <c r="AM666" s="13"/>
      <c r="AN666" s="28"/>
      <c r="AO666" s="13"/>
      <c r="AP666" s="28"/>
      <c r="AQ666" s="13"/>
      <c r="AR666" s="28"/>
      <c r="AS666" s="19">
        <f>SUM(H666,J666,L666,N666,P666,R666,T666,V666,X666,Z666,AB666,AD666,AF666,AH666,AJ666,AL666,AN666)</f>
        <v>0</v>
      </c>
      <c r="AT666" s="29" t="str">
        <f>IF(C666="","",DATE(YEAR(C666),MONTH(C666),1))</f>
        <v/>
      </c>
      <c r="AU666" s="28" t="str">
        <f>IF(AT666="","",TEXT(AT666,"mmmm yyyy"))</f>
        <v/>
      </c>
      <c r="AV666" s="29" t="str">
        <f>IF(C666="","",C666-WEEKDAY(C666,2)+1)</f>
        <v/>
      </c>
      <c r="AW666" s="29" t="str">
        <f>IF(AV666="","",AV666+6)</f>
        <v/>
      </c>
      <c r="AX666" s="28" t="str">
        <f>IF(AV666="","",TEXT(AV666,"dd/mm/yyyy")&amp;" - "&amp;TEXT(AW666,"dd/mm/yyyy"))</f>
        <v/>
      </c>
      <c r="AY666" s="28" t="str">
        <f>IF(B666="","",COUNTIFS($B$5:B666,B666,$AT$5:AT666,AT666))</f>
        <v/>
      </c>
      <c r="AZ666" s="28" t="str">
        <f>IF(B666="","",COUNTIFS($B$5:B666,B666,$AV$5:AV666,AV666))</f>
        <v/>
      </c>
      <c r="BA666" s="28" t="str">
        <f>IF(B666="","",TEXT(AY666,"00")&amp;"|"&amp;B666&amp;"|"&amp;TEXT(AT666,"yyyymmdd"))</f>
        <v/>
      </c>
      <c r="BB666" s="28" t="str">
        <f>IF(B666="","",TEXT(AZ666,"00")&amp;"|"&amp;B666&amp;"|"&amp;TEXT(AV666,"yyyymmdd"))</f>
        <v/>
      </c>
      <c r="BC666" s="28">
        <f>IF(OR(AQ666="YES",AQ666="Yes",AQ666="Y",AQ666=1),1,0)</f>
        <v>0</v>
      </c>
    </row>
    <row r="667" spans="1:55" ht="15" customHeight="1">
      <c r="A667" s="27"/>
      <c r="B667" s="28"/>
      <c r="C667" s="29"/>
      <c r="D667" s="30"/>
      <c r="E667" s="30"/>
      <c r="F667" s="28"/>
      <c r="G667" s="28"/>
      <c r="H667" s="28"/>
      <c r="I667" s="13"/>
      <c r="J667" s="28"/>
      <c r="K667" s="13"/>
      <c r="L667" s="28"/>
      <c r="M667" s="13"/>
      <c r="N667" s="28"/>
      <c r="O667" s="13"/>
      <c r="P667" s="28"/>
      <c r="Q667" s="20"/>
      <c r="R667" s="28"/>
      <c r="S667" s="20"/>
      <c r="T667" s="28"/>
      <c r="U667" s="13"/>
      <c r="V667" s="28"/>
      <c r="W667" s="13"/>
      <c r="X667" s="28"/>
      <c r="Y667" s="13"/>
      <c r="Z667" s="28"/>
      <c r="AA667" s="13"/>
      <c r="AB667" s="28"/>
      <c r="AC667" s="13"/>
      <c r="AD667" s="28"/>
      <c r="AE667" s="13"/>
      <c r="AF667" s="28"/>
      <c r="AG667" s="13"/>
      <c r="AH667" s="28"/>
      <c r="AI667" s="13"/>
      <c r="AJ667" s="28"/>
      <c r="AK667" s="13"/>
      <c r="AL667" s="28"/>
      <c r="AM667" s="13"/>
      <c r="AN667" s="28"/>
      <c r="AO667" s="13"/>
      <c r="AP667" s="28"/>
      <c r="AQ667" s="13"/>
      <c r="AR667" s="28"/>
      <c r="AS667" s="19">
        <f>SUM(H667,J667,L667,N667,P667,R667,T667,V667,X667,Z667,AB667,AD667,AF667,AH667,AJ667,AL667,AN667)</f>
        <v>0</v>
      </c>
      <c r="AT667" s="29" t="str">
        <f>IF(C667="","",DATE(YEAR(C667),MONTH(C667),1))</f>
        <v/>
      </c>
      <c r="AU667" s="28" t="str">
        <f>IF(AT667="","",TEXT(AT667,"mmmm yyyy"))</f>
        <v/>
      </c>
      <c r="AV667" s="29" t="str">
        <f>IF(C667="","",C667-WEEKDAY(C667,2)+1)</f>
        <v/>
      </c>
      <c r="AW667" s="29" t="str">
        <f>IF(AV667="","",AV667+6)</f>
        <v/>
      </c>
      <c r="AX667" s="28" t="str">
        <f>IF(AV667="","",TEXT(AV667,"dd/mm/yyyy")&amp;" - "&amp;TEXT(AW667,"dd/mm/yyyy"))</f>
        <v/>
      </c>
      <c r="AY667" s="28" t="str">
        <f>IF(B667="","",COUNTIFS($B$5:B667,B667,$AT$5:AT667,AT667))</f>
        <v/>
      </c>
      <c r="AZ667" s="28" t="str">
        <f>IF(B667="","",COUNTIFS($B$5:B667,B667,$AV$5:AV667,AV667))</f>
        <v/>
      </c>
      <c r="BA667" s="28" t="str">
        <f>IF(B667="","",TEXT(AY667,"00")&amp;"|"&amp;B667&amp;"|"&amp;TEXT(AT667,"yyyymmdd"))</f>
        <v/>
      </c>
      <c r="BB667" s="28" t="str">
        <f>IF(B667="","",TEXT(AZ667,"00")&amp;"|"&amp;B667&amp;"|"&amp;TEXT(AV667,"yyyymmdd"))</f>
        <v/>
      </c>
      <c r="BC667" s="28">
        <f>IF(OR(AQ667="YES",AQ667="Yes",AQ667="Y",AQ667=1),1,0)</f>
        <v>0</v>
      </c>
    </row>
    <row r="668" spans="1:55" ht="15" customHeight="1">
      <c r="A668" s="27"/>
      <c r="B668" s="28"/>
      <c r="C668" s="29"/>
      <c r="D668" s="30"/>
      <c r="E668" s="30"/>
      <c r="F668" s="28"/>
      <c r="G668" s="28"/>
      <c r="H668" s="28"/>
      <c r="I668" s="13"/>
      <c r="J668" s="28"/>
      <c r="K668" s="13"/>
      <c r="L668" s="28"/>
      <c r="M668" s="13"/>
      <c r="N668" s="28"/>
      <c r="O668" s="13"/>
      <c r="P668" s="28"/>
      <c r="Q668" s="20"/>
      <c r="R668" s="28"/>
      <c r="S668" s="20"/>
      <c r="T668" s="28"/>
      <c r="U668" s="13"/>
      <c r="V668" s="28"/>
      <c r="W668" s="13"/>
      <c r="X668" s="28"/>
      <c r="Y668" s="13"/>
      <c r="Z668" s="28"/>
      <c r="AA668" s="13"/>
      <c r="AB668" s="28"/>
      <c r="AC668" s="13"/>
      <c r="AD668" s="28"/>
      <c r="AE668" s="13"/>
      <c r="AF668" s="28"/>
      <c r="AG668" s="13"/>
      <c r="AH668" s="28"/>
      <c r="AI668" s="13"/>
      <c r="AJ668" s="28"/>
      <c r="AK668" s="13"/>
      <c r="AL668" s="28"/>
      <c r="AM668" s="13"/>
      <c r="AN668" s="28"/>
      <c r="AO668" s="13"/>
      <c r="AP668" s="28"/>
      <c r="AQ668" s="13"/>
      <c r="AR668" s="28"/>
      <c r="AS668" s="19">
        <f>SUM(H668,J668,L668,N668,P668,R668,T668,V668,X668,Z668,AB668,AD668,AF668,AH668,AJ668,AL668,AN668)</f>
        <v>0</v>
      </c>
      <c r="AT668" s="29" t="str">
        <f>IF(C668="","",DATE(YEAR(C668),MONTH(C668),1))</f>
        <v/>
      </c>
      <c r="AU668" s="28" t="str">
        <f>IF(AT668="","",TEXT(AT668,"mmmm yyyy"))</f>
        <v/>
      </c>
      <c r="AV668" s="29" t="str">
        <f>IF(C668="","",C668-WEEKDAY(C668,2)+1)</f>
        <v/>
      </c>
      <c r="AW668" s="29" t="str">
        <f>IF(AV668="","",AV668+6)</f>
        <v/>
      </c>
      <c r="AX668" s="28" t="str">
        <f>IF(AV668="","",TEXT(AV668,"dd/mm/yyyy")&amp;" - "&amp;TEXT(AW668,"dd/mm/yyyy"))</f>
        <v/>
      </c>
      <c r="AY668" s="28" t="str">
        <f>IF(B668="","",COUNTIFS($B$5:B668,B668,$AT$5:AT668,AT668))</f>
        <v/>
      </c>
      <c r="AZ668" s="28" t="str">
        <f>IF(B668="","",COUNTIFS($B$5:B668,B668,$AV$5:AV668,AV668))</f>
        <v/>
      </c>
      <c r="BA668" s="28" t="str">
        <f>IF(B668="","",TEXT(AY668,"00")&amp;"|"&amp;B668&amp;"|"&amp;TEXT(AT668,"yyyymmdd"))</f>
        <v/>
      </c>
      <c r="BB668" s="28" t="str">
        <f>IF(B668="","",TEXT(AZ668,"00")&amp;"|"&amp;B668&amp;"|"&amp;TEXT(AV668,"yyyymmdd"))</f>
        <v/>
      </c>
      <c r="BC668" s="28">
        <f>IF(OR(AQ668="YES",AQ668="Yes",AQ668="Y",AQ668=1),1,0)</f>
        <v>0</v>
      </c>
    </row>
    <row r="669" spans="1:55" ht="15" customHeight="1">
      <c r="A669" s="27"/>
      <c r="B669" s="28"/>
      <c r="C669" s="29"/>
      <c r="D669" s="30"/>
      <c r="E669" s="30"/>
      <c r="F669" s="28"/>
      <c r="G669" s="28"/>
      <c r="H669" s="28"/>
      <c r="I669" s="13"/>
      <c r="J669" s="28"/>
      <c r="K669" s="13"/>
      <c r="L669" s="28"/>
      <c r="M669" s="13"/>
      <c r="N669" s="28"/>
      <c r="O669" s="13"/>
      <c r="P669" s="28"/>
      <c r="Q669" s="20"/>
      <c r="R669" s="28"/>
      <c r="S669" s="20"/>
      <c r="T669" s="28"/>
      <c r="U669" s="13"/>
      <c r="V669" s="28"/>
      <c r="W669" s="13"/>
      <c r="X669" s="28"/>
      <c r="Y669" s="13"/>
      <c r="Z669" s="28"/>
      <c r="AA669" s="13"/>
      <c r="AB669" s="28"/>
      <c r="AC669" s="13"/>
      <c r="AD669" s="28"/>
      <c r="AE669" s="13"/>
      <c r="AF669" s="28"/>
      <c r="AG669" s="13"/>
      <c r="AH669" s="28"/>
      <c r="AI669" s="13"/>
      <c r="AJ669" s="28"/>
      <c r="AK669" s="13"/>
      <c r="AL669" s="28"/>
      <c r="AM669" s="13"/>
      <c r="AN669" s="28"/>
      <c r="AO669" s="13"/>
      <c r="AP669" s="28"/>
      <c r="AQ669" s="13"/>
      <c r="AR669" s="28"/>
      <c r="AS669" s="19">
        <f>SUM(H669,J669,L669,N669,P669,R669,T669,V669,X669,Z669,AB669,AD669,AF669,AH669,AJ669,AL669,AN669)</f>
        <v>0</v>
      </c>
      <c r="AT669" s="29" t="str">
        <f>IF(C669="","",DATE(YEAR(C669),MONTH(C669),1))</f>
        <v/>
      </c>
      <c r="AU669" s="28" t="str">
        <f>IF(AT669="","",TEXT(AT669,"mmmm yyyy"))</f>
        <v/>
      </c>
      <c r="AV669" s="29" t="str">
        <f>IF(C669="","",C669-WEEKDAY(C669,2)+1)</f>
        <v/>
      </c>
      <c r="AW669" s="29" t="str">
        <f>IF(AV669="","",AV669+6)</f>
        <v/>
      </c>
      <c r="AX669" s="28" t="str">
        <f>IF(AV669="","",TEXT(AV669,"dd/mm/yyyy")&amp;" - "&amp;TEXT(AW669,"dd/mm/yyyy"))</f>
        <v/>
      </c>
      <c r="AY669" s="28" t="str">
        <f>IF(B669="","",COUNTIFS($B$5:B669,B669,$AT$5:AT669,AT669))</f>
        <v/>
      </c>
      <c r="AZ669" s="28" t="str">
        <f>IF(B669="","",COUNTIFS($B$5:B669,B669,$AV$5:AV669,AV669))</f>
        <v/>
      </c>
      <c r="BA669" s="28" t="str">
        <f>IF(B669="","",TEXT(AY669,"00")&amp;"|"&amp;B669&amp;"|"&amp;TEXT(AT669,"yyyymmdd"))</f>
        <v/>
      </c>
      <c r="BB669" s="28" t="str">
        <f>IF(B669="","",TEXT(AZ669,"00")&amp;"|"&amp;B669&amp;"|"&amp;TEXT(AV669,"yyyymmdd"))</f>
        <v/>
      </c>
      <c r="BC669" s="28">
        <f>IF(OR(AQ669="YES",AQ669="Yes",AQ669="Y",AQ669=1),1,0)</f>
        <v>0</v>
      </c>
    </row>
    <row r="670" spans="1:55" ht="15" customHeight="1">
      <c r="A670" s="27"/>
      <c r="B670" s="28"/>
      <c r="C670" s="29"/>
      <c r="D670" s="30"/>
      <c r="E670" s="30"/>
      <c r="F670" s="28"/>
      <c r="G670" s="28"/>
      <c r="H670" s="28"/>
      <c r="I670" s="13"/>
      <c r="J670" s="28"/>
      <c r="K670" s="13"/>
      <c r="L670" s="28"/>
      <c r="M670" s="13"/>
      <c r="N670" s="28"/>
      <c r="O670" s="13"/>
      <c r="P670" s="28"/>
      <c r="Q670" s="20"/>
      <c r="R670" s="28"/>
      <c r="S670" s="20"/>
      <c r="T670" s="28"/>
      <c r="U670" s="13"/>
      <c r="V670" s="28"/>
      <c r="W670" s="13"/>
      <c r="X670" s="28"/>
      <c r="Y670" s="13"/>
      <c r="Z670" s="28"/>
      <c r="AA670" s="13"/>
      <c r="AB670" s="28"/>
      <c r="AC670" s="13"/>
      <c r="AD670" s="28"/>
      <c r="AE670" s="13"/>
      <c r="AF670" s="28"/>
      <c r="AG670" s="13"/>
      <c r="AH670" s="28"/>
      <c r="AI670" s="13"/>
      <c r="AJ670" s="28"/>
      <c r="AK670" s="13"/>
      <c r="AL670" s="28"/>
      <c r="AM670" s="13"/>
      <c r="AN670" s="28"/>
      <c r="AO670" s="13"/>
      <c r="AP670" s="28"/>
      <c r="AQ670" s="13"/>
      <c r="AR670" s="28"/>
      <c r="AS670" s="19">
        <f>SUM(H670,J670,L670,N670,P670,R670,T670,V670,X670,Z670,AB670,AD670,AF670,AH670,AJ670,AL670,AN670)</f>
        <v>0</v>
      </c>
      <c r="AT670" s="29" t="str">
        <f>IF(C670="","",DATE(YEAR(C670),MONTH(C670),1))</f>
        <v/>
      </c>
      <c r="AU670" s="28" t="str">
        <f>IF(AT670="","",TEXT(AT670,"mmmm yyyy"))</f>
        <v/>
      </c>
      <c r="AV670" s="29" t="str">
        <f>IF(C670="","",C670-WEEKDAY(C670,2)+1)</f>
        <v/>
      </c>
      <c r="AW670" s="29" t="str">
        <f>IF(AV670="","",AV670+6)</f>
        <v/>
      </c>
      <c r="AX670" s="28" t="str">
        <f>IF(AV670="","",TEXT(AV670,"dd/mm/yyyy")&amp;" - "&amp;TEXT(AW670,"dd/mm/yyyy"))</f>
        <v/>
      </c>
      <c r="AY670" s="28" t="str">
        <f>IF(B670="","",COUNTIFS($B$5:B670,B670,$AT$5:AT670,AT670))</f>
        <v/>
      </c>
      <c r="AZ670" s="28" t="str">
        <f>IF(B670="","",COUNTIFS($B$5:B670,B670,$AV$5:AV670,AV670))</f>
        <v/>
      </c>
      <c r="BA670" s="28" t="str">
        <f>IF(B670="","",TEXT(AY670,"00")&amp;"|"&amp;B670&amp;"|"&amp;TEXT(AT670,"yyyymmdd"))</f>
        <v/>
      </c>
      <c r="BB670" s="28" t="str">
        <f>IF(B670="","",TEXT(AZ670,"00")&amp;"|"&amp;B670&amp;"|"&amp;TEXT(AV670,"yyyymmdd"))</f>
        <v/>
      </c>
      <c r="BC670" s="28">
        <f>IF(OR(AQ670="YES",AQ670="Yes",AQ670="Y",AQ670=1),1,0)</f>
        <v>0</v>
      </c>
    </row>
    <row r="671" spans="1:55" ht="15" customHeight="1">
      <c r="A671" s="27"/>
      <c r="B671" s="28"/>
      <c r="C671" s="29"/>
      <c r="D671" s="30"/>
      <c r="E671" s="30"/>
      <c r="F671" s="28"/>
      <c r="G671" s="28"/>
      <c r="H671" s="28"/>
      <c r="I671" s="13"/>
      <c r="J671" s="28"/>
      <c r="K671" s="13"/>
      <c r="L671" s="28"/>
      <c r="M671" s="13"/>
      <c r="N671" s="28"/>
      <c r="O671" s="13"/>
      <c r="P671" s="28"/>
      <c r="Q671" s="20"/>
      <c r="R671" s="28"/>
      <c r="S671" s="20"/>
      <c r="T671" s="28"/>
      <c r="U671" s="13"/>
      <c r="V671" s="28"/>
      <c r="W671" s="13"/>
      <c r="X671" s="28"/>
      <c r="Y671" s="13"/>
      <c r="Z671" s="28"/>
      <c r="AA671" s="13"/>
      <c r="AB671" s="28"/>
      <c r="AC671" s="13"/>
      <c r="AD671" s="28"/>
      <c r="AE671" s="13"/>
      <c r="AF671" s="28"/>
      <c r="AG671" s="13"/>
      <c r="AH671" s="28"/>
      <c r="AI671" s="13"/>
      <c r="AJ671" s="28"/>
      <c r="AK671" s="13"/>
      <c r="AL671" s="28"/>
      <c r="AM671" s="13"/>
      <c r="AN671" s="28"/>
      <c r="AO671" s="13"/>
      <c r="AP671" s="28"/>
      <c r="AQ671" s="13"/>
      <c r="AR671" s="28"/>
      <c r="AS671" s="19">
        <f>SUM(H671,J671,L671,N671,P671,R671,T671,V671,X671,Z671,AB671,AD671,AF671,AH671,AJ671,AL671,AN671)</f>
        <v>0</v>
      </c>
      <c r="AT671" s="29" t="str">
        <f>IF(C671="","",DATE(YEAR(C671),MONTH(C671),1))</f>
        <v/>
      </c>
      <c r="AU671" s="28" t="str">
        <f>IF(AT671="","",TEXT(AT671,"mmmm yyyy"))</f>
        <v/>
      </c>
      <c r="AV671" s="29" t="str">
        <f>IF(C671="","",C671-WEEKDAY(C671,2)+1)</f>
        <v/>
      </c>
      <c r="AW671" s="29" t="str">
        <f>IF(AV671="","",AV671+6)</f>
        <v/>
      </c>
      <c r="AX671" s="28" t="str">
        <f>IF(AV671="","",TEXT(AV671,"dd/mm/yyyy")&amp;" - "&amp;TEXT(AW671,"dd/mm/yyyy"))</f>
        <v/>
      </c>
      <c r="AY671" s="28" t="str">
        <f>IF(B671="","",COUNTIFS($B$5:B671,B671,$AT$5:AT671,AT671))</f>
        <v/>
      </c>
      <c r="AZ671" s="28" t="str">
        <f>IF(B671="","",COUNTIFS($B$5:B671,B671,$AV$5:AV671,AV671))</f>
        <v/>
      </c>
      <c r="BA671" s="28" t="str">
        <f>IF(B671="","",TEXT(AY671,"00")&amp;"|"&amp;B671&amp;"|"&amp;TEXT(AT671,"yyyymmdd"))</f>
        <v/>
      </c>
      <c r="BB671" s="28" t="str">
        <f>IF(B671="","",TEXT(AZ671,"00")&amp;"|"&amp;B671&amp;"|"&amp;TEXT(AV671,"yyyymmdd"))</f>
        <v/>
      </c>
      <c r="BC671" s="28">
        <f>IF(OR(AQ671="YES",AQ671="Yes",AQ671="Y",AQ671=1),1,0)</f>
        <v>0</v>
      </c>
    </row>
    <row r="672" spans="1:55" ht="15" customHeight="1">
      <c r="A672" s="27"/>
      <c r="B672" s="28"/>
      <c r="C672" s="29"/>
      <c r="D672" s="30"/>
      <c r="E672" s="30"/>
      <c r="F672" s="28"/>
      <c r="G672" s="28"/>
      <c r="H672" s="28"/>
      <c r="I672" s="13"/>
      <c r="J672" s="28"/>
      <c r="K672" s="13"/>
      <c r="L672" s="28"/>
      <c r="M672" s="13"/>
      <c r="N672" s="28"/>
      <c r="O672" s="13"/>
      <c r="P672" s="28"/>
      <c r="Q672" s="20"/>
      <c r="R672" s="28"/>
      <c r="S672" s="20"/>
      <c r="T672" s="28"/>
      <c r="U672" s="13"/>
      <c r="V672" s="28"/>
      <c r="W672" s="13"/>
      <c r="X672" s="28"/>
      <c r="Y672" s="13"/>
      <c r="Z672" s="28"/>
      <c r="AA672" s="13"/>
      <c r="AB672" s="28"/>
      <c r="AC672" s="13"/>
      <c r="AD672" s="28"/>
      <c r="AE672" s="13"/>
      <c r="AF672" s="28"/>
      <c r="AG672" s="13"/>
      <c r="AH672" s="28"/>
      <c r="AI672" s="13"/>
      <c r="AJ672" s="28"/>
      <c r="AK672" s="13"/>
      <c r="AL672" s="28"/>
      <c r="AM672" s="13"/>
      <c r="AN672" s="28"/>
      <c r="AO672" s="13"/>
      <c r="AP672" s="28"/>
      <c r="AQ672" s="13"/>
      <c r="AR672" s="28"/>
      <c r="AS672" s="19">
        <f>SUM(H672,J672,L672,N672,P672,R672,T672,V672,X672,Z672,AB672,AD672,AF672,AH672,AJ672,AL672,AN672)</f>
        <v>0</v>
      </c>
      <c r="AT672" s="29" t="str">
        <f>IF(C672="","",DATE(YEAR(C672),MONTH(C672),1))</f>
        <v/>
      </c>
      <c r="AU672" s="28" t="str">
        <f>IF(AT672="","",TEXT(AT672,"mmmm yyyy"))</f>
        <v/>
      </c>
      <c r="AV672" s="29" t="str">
        <f>IF(C672="","",C672-WEEKDAY(C672,2)+1)</f>
        <v/>
      </c>
      <c r="AW672" s="29" t="str">
        <f>IF(AV672="","",AV672+6)</f>
        <v/>
      </c>
      <c r="AX672" s="28" t="str">
        <f>IF(AV672="","",TEXT(AV672,"dd/mm/yyyy")&amp;" - "&amp;TEXT(AW672,"dd/mm/yyyy"))</f>
        <v/>
      </c>
      <c r="AY672" s="28" t="str">
        <f>IF(B672="","",COUNTIFS($B$5:B672,B672,$AT$5:AT672,AT672))</f>
        <v/>
      </c>
      <c r="AZ672" s="28" t="str">
        <f>IF(B672="","",COUNTIFS($B$5:B672,B672,$AV$5:AV672,AV672))</f>
        <v/>
      </c>
      <c r="BA672" s="28" t="str">
        <f>IF(B672="","",TEXT(AY672,"00")&amp;"|"&amp;B672&amp;"|"&amp;TEXT(AT672,"yyyymmdd"))</f>
        <v/>
      </c>
      <c r="BB672" s="28" t="str">
        <f>IF(B672="","",TEXT(AZ672,"00")&amp;"|"&amp;B672&amp;"|"&amp;TEXT(AV672,"yyyymmdd"))</f>
        <v/>
      </c>
      <c r="BC672" s="28">
        <f>IF(OR(AQ672="YES",AQ672="Yes",AQ672="Y",AQ672=1),1,0)</f>
        <v>0</v>
      </c>
    </row>
    <row r="673" spans="1:55" ht="15" customHeight="1">
      <c r="A673" s="27"/>
      <c r="B673" s="28"/>
      <c r="C673" s="29"/>
      <c r="D673" s="30"/>
      <c r="E673" s="30"/>
      <c r="F673" s="28"/>
      <c r="G673" s="28"/>
      <c r="H673" s="28"/>
      <c r="I673" s="13"/>
      <c r="J673" s="28"/>
      <c r="K673" s="13"/>
      <c r="L673" s="28"/>
      <c r="M673" s="13"/>
      <c r="N673" s="28"/>
      <c r="O673" s="13"/>
      <c r="P673" s="28"/>
      <c r="Q673" s="20"/>
      <c r="R673" s="28"/>
      <c r="S673" s="20"/>
      <c r="T673" s="28"/>
      <c r="U673" s="13"/>
      <c r="V673" s="28"/>
      <c r="W673" s="13"/>
      <c r="X673" s="28"/>
      <c r="Y673" s="13"/>
      <c r="Z673" s="28"/>
      <c r="AA673" s="13"/>
      <c r="AB673" s="28"/>
      <c r="AC673" s="13"/>
      <c r="AD673" s="28"/>
      <c r="AE673" s="13"/>
      <c r="AF673" s="28"/>
      <c r="AG673" s="13"/>
      <c r="AH673" s="28"/>
      <c r="AI673" s="13"/>
      <c r="AJ673" s="28"/>
      <c r="AK673" s="13"/>
      <c r="AL673" s="28"/>
      <c r="AM673" s="13"/>
      <c r="AN673" s="28"/>
      <c r="AO673" s="13"/>
      <c r="AP673" s="28"/>
      <c r="AQ673" s="13"/>
      <c r="AR673" s="28"/>
      <c r="AS673" s="19">
        <f>SUM(H673,J673,L673,N673,P673,R673,T673,V673,X673,Z673,AB673,AD673,AF673,AH673,AJ673,AL673,AN673)</f>
        <v>0</v>
      </c>
      <c r="AT673" s="29" t="str">
        <f>IF(C673="","",DATE(YEAR(C673),MONTH(C673),1))</f>
        <v/>
      </c>
      <c r="AU673" s="28" t="str">
        <f>IF(AT673="","",TEXT(AT673,"mmmm yyyy"))</f>
        <v/>
      </c>
      <c r="AV673" s="29" t="str">
        <f>IF(C673="","",C673-WEEKDAY(C673,2)+1)</f>
        <v/>
      </c>
      <c r="AW673" s="29" t="str">
        <f>IF(AV673="","",AV673+6)</f>
        <v/>
      </c>
      <c r="AX673" s="28" t="str">
        <f>IF(AV673="","",TEXT(AV673,"dd/mm/yyyy")&amp;" - "&amp;TEXT(AW673,"dd/mm/yyyy"))</f>
        <v/>
      </c>
      <c r="AY673" s="28" t="str">
        <f>IF(B673="","",COUNTIFS($B$5:B673,B673,$AT$5:AT673,AT673))</f>
        <v/>
      </c>
      <c r="AZ673" s="28" t="str">
        <f>IF(B673="","",COUNTIFS($B$5:B673,B673,$AV$5:AV673,AV673))</f>
        <v/>
      </c>
      <c r="BA673" s="28" t="str">
        <f>IF(B673="","",TEXT(AY673,"00")&amp;"|"&amp;B673&amp;"|"&amp;TEXT(AT673,"yyyymmdd"))</f>
        <v/>
      </c>
      <c r="BB673" s="28" t="str">
        <f>IF(B673="","",TEXT(AZ673,"00")&amp;"|"&amp;B673&amp;"|"&amp;TEXT(AV673,"yyyymmdd"))</f>
        <v/>
      </c>
      <c r="BC673" s="28">
        <f>IF(OR(AQ673="YES",AQ673="Yes",AQ673="Y",AQ673=1),1,0)</f>
        <v>0</v>
      </c>
    </row>
    <row r="674" spans="1:55" ht="15" customHeight="1">
      <c r="A674" s="27"/>
      <c r="B674" s="28"/>
      <c r="C674" s="29"/>
      <c r="D674" s="30"/>
      <c r="E674" s="30"/>
      <c r="F674" s="28"/>
      <c r="G674" s="28"/>
      <c r="H674" s="28"/>
      <c r="I674" s="13"/>
      <c r="J674" s="28"/>
      <c r="K674" s="13"/>
      <c r="L674" s="28"/>
      <c r="M674" s="13"/>
      <c r="N674" s="28"/>
      <c r="O674" s="13"/>
      <c r="P674" s="28"/>
      <c r="Q674" s="20"/>
      <c r="R674" s="28"/>
      <c r="S674" s="20"/>
      <c r="T674" s="28"/>
      <c r="U674" s="13"/>
      <c r="V674" s="28"/>
      <c r="W674" s="13"/>
      <c r="X674" s="28"/>
      <c r="Y674" s="13"/>
      <c r="Z674" s="28"/>
      <c r="AA674" s="13"/>
      <c r="AB674" s="28"/>
      <c r="AC674" s="13"/>
      <c r="AD674" s="28"/>
      <c r="AE674" s="13"/>
      <c r="AF674" s="28"/>
      <c r="AG674" s="13"/>
      <c r="AH674" s="28"/>
      <c r="AI674" s="13"/>
      <c r="AJ674" s="28"/>
      <c r="AK674" s="13"/>
      <c r="AL674" s="28"/>
      <c r="AM674" s="13"/>
      <c r="AN674" s="28"/>
      <c r="AO674" s="13"/>
      <c r="AP674" s="28"/>
      <c r="AQ674" s="13"/>
      <c r="AR674" s="28"/>
      <c r="AS674" s="19">
        <f>SUM(H674,J674,L674,N674,P674,R674,T674,V674,X674,Z674,AB674,AD674,AF674,AH674,AJ674,AL674,AN674)</f>
        <v>0</v>
      </c>
      <c r="AT674" s="29" t="str">
        <f>IF(C674="","",DATE(YEAR(C674),MONTH(C674),1))</f>
        <v/>
      </c>
      <c r="AU674" s="28" t="str">
        <f>IF(AT674="","",TEXT(AT674,"mmmm yyyy"))</f>
        <v/>
      </c>
      <c r="AV674" s="29" t="str">
        <f>IF(C674="","",C674-WEEKDAY(C674,2)+1)</f>
        <v/>
      </c>
      <c r="AW674" s="29" t="str">
        <f>IF(AV674="","",AV674+6)</f>
        <v/>
      </c>
      <c r="AX674" s="28" t="str">
        <f>IF(AV674="","",TEXT(AV674,"dd/mm/yyyy")&amp;" - "&amp;TEXT(AW674,"dd/mm/yyyy"))</f>
        <v/>
      </c>
      <c r="AY674" s="28" t="str">
        <f>IF(B674="","",COUNTIFS($B$5:B674,B674,$AT$5:AT674,AT674))</f>
        <v/>
      </c>
      <c r="AZ674" s="28" t="str">
        <f>IF(B674="","",COUNTIFS($B$5:B674,B674,$AV$5:AV674,AV674))</f>
        <v/>
      </c>
      <c r="BA674" s="28" t="str">
        <f>IF(B674="","",TEXT(AY674,"00")&amp;"|"&amp;B674&amp;"|"&amp;TEXT(AT674,"yyyymmdd"))</f>
        <v/>
      </c>
      <c r="BB674" s="28" t="str">
        <f>IF(B674="","",TEXT(AZ674,"00")&amp;"|"&amp;B674&amp;"|"&amp;TEXT(AV674,"yyyymmdd"))</f>
        <v/>
      </c>
      <c r="BC674" s="28">
        <f>IF(OR(AQ674="YES",AQ674="Yes",AQ674="Y",AQ674=1),1,0)</f>
        <v>0</v>
      </c>
    </row>
    <row r="675" spans="1:55" ht="15" customHeight="1">
      <c r="A675" s="27"/>
      <c r="B675" s="28"/>
      <c r="C675" s="29"/>
      <c r="D675" s="30"/>
      <c r="E675" s="30"/>
      <c r="F675" s="28"/>
      <c r="G675" s="28"/>
      <c r="H675" s="28"/>
      <c r="I675" s="13"/>
      <c r="J675" s="28"/>
      <c r="K675" s="13"/>
      <c r="L675" s="28"/>
      <c r="M675" s="13"/>
      <c r="N675" s="28"/>
      <c r="O675" s="13"/>
      <c r="P675" s="28"/>
      <c r="Q675" s="20"/>
      <c r="R675" s="28"/>
      <c r="S675" s="20"/>
      <c r="T675" s="28"/>
      <c r="U675" s="13"/>
      <c r="V675" s="28"/>
      <c r="W675" s="13"/>
      <c r="X675" s="28"/>
      <c r="Y675" s="13"/>
      <c r="Z675" s="28"/>
      <c r="AA675" s="13"/>
      <c r="AB675" s="28"/>
      <c r="AC675" s="13"/>
      <c r="AD675" s="28"/>
      <c r="AE675" s="13"/>
      <c r="AF675" s="28"/>
      <c r="AG675" s="13"/>
      <c r="AH675" s="28"/>
      <c r="AI675" s="13"/>
      <c r="AJ675" s="28"/>
      <c r="AK675" s="13"/>
      <c r="AL675" s="28"/>
      <c r="AM675" s="13"/>
      <c r="AN675" s="28"/>
      <c r="AO675" s="13"/>
      <c r="AP675" s="28"/>
      <c r="AQ675" s="13"/>
      <c r="AR675" s="28"/>
      <c r="AS675" s="19">
        <f>SUM(H675,J675,L675,N675,P675,R675,T675,V675,X675,Z675,AB675,AD675,AF675,AH675,AJ675,AL675,AN675)</f>
        <v>0</v>
      </c>
      <c r="AT675" s="29" t="str">
        <f>IF(C675="","",DATE(YEAR(C675),MONTH(C675),1))</f>
        <v/>
      </c>
      <c r="AU675" s="28" t="str">
        <f>IF(AT675="","",TEXT(AT675,"mmmm yyyy"))</f>
        <v/>
      </c>
      <c r="AV675" s="29" t="str">
        <f>IF(C675="","",C675-WEEKDAY(C675,2)+1)</f>
        <v/>
      </c>
      <c r="AW675" s="29" t="str">
        <f>IF(AV675="","",AV675+6)</f>
        <v/>
      </c>
      <c r="AX675" s="28" t="str">
        <f>IF(AV675="","",TEXT(AV675,"dd/mm/yyyy")&amp;" - "&amp;TEXT(AW675,"dd/mm/yyyy"))</f>
        <v/>
      </c>
      <c r="AY675" s="28" t="str">
        <f>IF(B675="","",COUNTIFS($B$5:B675,B675,$AT$5:AT675,AT675))</f>
        <v/>
      </c>
      <c r="AZ675" s="28" t="str">
        <f>IF(B675="","",COUNTIFS($B$5:B675,B675,$AV$5:AV675,AV675))</f>
        <v/>
      </c>
      <c r="BA675" s="28" t="str">
        <f>IF(B675="","",TEXT(AY675,"00")&amp;"|"&amp;B675&amp;"|"&amp;TEXT(AT675,"yyyymmdd"))</f>
        <v/>
      </c>
      <c r="BB675" s="28" t="str">
        <f>IF(B675="","",TEXT(AZ675,"00")&amp;"|"&amp;B675&amp;"|"&amp;TEXT(AV675,"yyyymmdd"))</f>
        <v/>
      </c>
      <c r="BC675" s="28">
        <f>IF(OR(AQ675="YES",AQ675="Yes",AQ675="Y",AQ675=1),1,0)</f>
        <v>0</v>
      </c>
    </row>
    <row r="676" spans="1:55" ht="15" customHeight="1">
      <c r="A676" s="27"/>
      <c r="B676" s="28"/>
      <c r="C676" s="29"/>
      <c r="D676" s="30"/>
      <c r="E676" s="30"/>
      <c r="F676" s="28"/>
      <c r="G676" s="28"/>
      <c r="H676" s="28"/>
      <c r="I676" s="13"/>
      <c r="J676" s="28"/>
      <c r="K676" s="13"/>
      <c r="L676" s="28"/>
      <c r="M676" s="13"/>
      <c r="N676" s="28"/>
      <c r="O676" s="13"/>
      <c r="P676" s="28"/>
      <c r="Q676" s="20"/>
      <c r="R676" s="28"/>
      <c r="S676" s="20"/>
      <c r="T676" s="28"/>
      <c r="U676" s="13"/>
      <c r="V676" s="28"/>
      <c r="W676" s="13"/>
      <c r="X676" s="28"/>
      <c r="Y676" s="13"/>
      <c r="Z676" s="28"/>
      <c r="AA676" s="13"/>
      <c r="AB676" s="28"/>
      <c r="AC676" s="13"/>
      <c r="AD676" s="28"/>
      <c r="AE676" s="13"/>
      <c r="AF676" s="28"/>
      <c r="AG676" s="13"/>
      <c r="AH676" s="28"/>
      <c r="AI676" s="13"/>
      <c r="AJ676" s="28"/>
      <c r="AK676" s="13"/>
      <c r="AL676" s="28"/>
      <c r="AM676" s="13"/>
      <c r="AN676" s="28"/>
      <c r="AO676" s="13"/>
      <c r="AP676" s="28"/>
      <c r="AQ676" s="13"/>
      <c r="AR676" s="28"/>
      <c r="AS676" s="19">
        <f>SUM(H676,J676,L676,N676,P676,R676,T676,V676,X676,Z676,AB676,AD676,AF676,AH676,AJ676,AL676,AN676)</f>
        <v>0</v>
      </c>
      <c r="AT676" s="29" t="str">
        <f>IF(C676="","",DATE(YEAR(C676),MONTH(C676),1))</f>
        <v/>
      </c>
      <c r="AU676" s="28" t="str">
        <f>IF(AT676="","",TEXT(AT676,"mmmm yyyy"))</f>
        <v/>
      </c>
      <c r="AV676" s="29" t="str">
        <f>IF(C676="","",C676-WEEKDAY(C676,2)+1)</f>
        <v/>
      </c>
      <c r="AW676" s="29" t="str">
        <f>IF(AV676="","",AV676+6)</f>
        <v/>
      </c>
      <c r="AX676" s="28" t="str">
        <f>IF(AV676="","",TEXT(AV676,"dd/mm/yyyy")&amp;" - "&amp;TEXT(AW676,"dd/mm/yyyy"))</f>
        <v/>
      </c>
      <c r="AY676" s="28" t="str">
        <f>IF(B676="","",COUNTIFS($B$5:B676,B676,$AT$5:AT676,AT676))</f>
        <v/>
      </c>
      <c r="AZ676" s="28" t="str">
        <f>IF(B676="","",COUNTIFS($B$5:B676,B676,$AV$5:AV676,AV676))</f>
        <v/>
      </c>
      <c r="BA676" s="28" t="str">
        <f>IF(B676="","",TEXT(AY676,"00")&amp;"|"&amp;B676&amp;"|"&amp;TEXT(AT676,"yyyymmdd"))</f>
        <v/>
      </c>
      <c r="BB676" s="28" t="str">
        <f>IF(B676="","",TEXT(AZ676,"00")&amp;"|"&amp;B676&amp;"|"&amp;TEXT(AV676,"yyyymmdd"))</f>
        <v/>
      </c>
      <c r="BC676" s="28">
        <f>IF(OR(AQ676="YES",AQ676="Yes",AQ676="Y",AQ676=1),1,0)</f>
        <v>0</v>
      </c>
    </row>
    <row r="677" spans="1:55" ht="15" customHeight="1">
      <c r="A677" s="27"/>
      <c r="B677" s="28"/>
      <c r="C677" s="29"/>
      <c r="D677" s="30"/>
      <c r="E677" s="30"/>
      <c r="F677" s="28"/>
      <c r="G677" s="28"/>
      <c r="H677" s="28"/>
      <c r="I677" s="13"/>
      <c r="J677" s="28"/>
      <c r="K677" s="13"/>
      <c r="L677" s="28"/>
      <c r="M677" s="13"/>
      <c r="N677" s="28"/>
      <c r="O677" s="13"/>
      <c r="P677" s="28"/>
      <c r="Q677" s="20"/>
      <c r="R677" s="28"/>
      <c r="S677" s="20"/>
      <c r="T677" s="28"/>
      <c r="U677" s="13"/>
      <c r="V677" s="28"/>
      <c r="W677" s="13"/>
      <c r="X677" s="28"/>
      <c r="Y677" s="13"/>
      <c r="Z677" s="28"/>
      <c r="AA677" s="13"/>
      <c r="AB677" s="28"/>
      <c r="AC677" s="13"/>
      <c r="AD677" s="28"/>
      <c r="AE677" s="13"/>
      <c r="AF677" s="28"/>
      <c r="AG677" s="13"/>
      <c r="AH677" s="28"/>
      <c r="AI677" s="13"/>
      <c r="AJ677" s="28"/>
      <c r="AK677" s="13"/>
      <c r="AL677" s="28"/>
      <c r="AM677" s="13"/>
      <c r="AN677" s="28"/>
      <c r="AO677" s="13"/>
      <c r="AP677" s="28"/>
      <c r="AQ677" s="13"/>
      <c r="AR677" s="28"/>
      <c r="AS677" s="19">
        <f>SUM(H677,J677,L677,N677,P677,R677,T677,V677,X677,Z677,AB677,AD677,AF677,AH677,AJ677,AL677,AN677)</f>
        <v>0</v>
      </c>
      <c r="AT677" s="29" t="str">
        <f>IF(C677="","",DATE(YEAR(C677),MONTH(C677),1))</f>
        <v/>
      </c>
      <c r="AU677" s="28" t="str">
        <f>IF(AT677="","",TEXT(AT677,"mmmm yyyy"))</f>
        <v/>
      </c>
      <c r="AV677" s="29" t="str">
        <f>IF(C677="","",C677-WEEKDAY(C677,2)+1)</f>
        <v/>
      </c>
      <c r="AW677" s="29" t="str">
        <f>IF(AV677="","",AV677+6)</f>
        <v/>
      </c>
      <c r="AX677" s="28" t="str">
        <f>IF(AV677="","",TEXT(AV677,"dd/mm/yyyy")&amp;" - "&amp;TEXT(AW677,"dd/mm/yyyy"))</f>
        <v/>
      </c>
      <c r="AY677" s="28" t="str">
        <f>IF(B677="","",COUNTIFS($B$5:B677,B677,$AT$5:AT677,AT677))</f>
        <v/>
      </c>
      <c r="AZ677" s="28" t="str">
        <f>IF(B677="","",COUNTIFS($B$5:B677,B677,$AV$5:AV677,AV677))</f>
        <v/>
      </c>
      <c r="BA677" s="28" t="str">
        <f>IF(B677="","",TEXT(AY677,"00")&amp;"|"&amp;B677&amp;"|"&amp;TEXT(AT677,"yyyymmdd"))</f>
        <v/>
      </c>
      <c r="BB677" s="28" t="str">
        <f>IF(B677="","",TEXT(AZ677,"00")&amp;"|"&amp;B677&amp;"|"&amp;TEXT(AV677,"yyyymmdd"))</f>
        <v/>
      </c>
      <c r="BC677" s="28">
        <f>IF(OR(AQ677="YES",AQ677="Yes",AQ677="Y",AQ677=1),1,0)</f>
        <v>0</v>
      </c>
    </row>
    <row r="678" spans="1:55" ht="15" customHeight="1">
      <c r="A678" s="27"/>
      <c r="B678" s="28"/>
      <c r="C678" s="29"/>
      <c r="D678" s="30"/>
      <c r="E678" s="30"/>
      <c r="F678" s="28"/>
      <c r="G678" s="28"/>
      <c r="H678" s="28"/>
      <c r="I678" s="13"/>
      <c r="J678" s="28"/>
      <c r="K678" s="13"/>
      <c r="L678" s="28"/>
      <c r="M678" s="13"/>
      <c r="N678" s="28"/>
      <c r="O678" s="13"/>
      <c r="P678" s="28"/>
      <c r="Q678" s="20"/>
      <c r="R678" s="28"/>
      <c r="S678" s="20"/>
      <c r="T678" s="28"/>
      <c r="U678" s="13"/>
      <c r="V678" s="28"/>
      <c r="W678" s="13"/>
      <c r="X678" s="28"/>
      <c r="Y678" s="13"/>
      <c r="Z678" s="28"/>
      <c r="AA678" s="13"/>
      <c r="AB678" s="28"/>
      <c r="AC678" s="13"/>
      <c r="AD678" s="28"/>
      <c r="AE678" s="13"/>
      <c r="AF678" s="28"/>
      <c r="AG678" s="13"/>
      <c r="AH678" s="28"/>
      <c r="AI678" s="13"/>
      <c r="AJ678" s="28"/>
      <c r="AK678" s="13"/>
      <c r="AL678" s="28"/>
      <c r="AM678" s="13"/>
      <c r="AN678" s="28"/>
      <c r="AO678" s="13"/>
      <c r="AP678" s="28"/>
      <c r="AQ678" s="13"/>
      <c r="AR678" s="28"/>
      <c r="AS678" s="19">
        <f>SUM(H678,J678,L678,N678,P678,R678,T678,V678,X678,Z678,AB678,AD678,AF678,AH678,AJ678,AL678,AN678)</f>
        <v>0</v>
      </c>
      <c r="AT678" s="29" t="str">
        <f>IF(C678="","",DATE(YEAR(C678),MONTH(C678),1))</f>
        <v/>
      </c>
      <c r="AU678" s="28" t="str">
        <f>IF(AT678="","",TEXT(AT678,"mmmm yyyy"))</f>
        <v/>
      </c>
      <c r="AV678" s="29" t="str">
        <f>IF(C678="","",C678-WEEKDAY(C678,2)+1)</f>
        <v/>
      </c>
      <c r="AW678" s="29" t="str">
        <f>IF(AV678="","",AV678+6)</f>
        <v/>
      </c>
      <c r="AX678" s="28" t="str">
        <f>IF(AV678="","",TEXT(AV678,"dd/mm/yyyy")&amp;" - "&amp;TEXT(AW678,"dd/mm/yyyy"))</f>
        <v/>
      </c>
      <c r="AY678" s="28" t="str">
        <f>IF(B678="","",COUNTIFS($B$5:B678,B678,$AT$5:AT678,AT678))</f>
        <v/>
      </c>
      <c r="AZ678" s="28" t="str">
        <f>IF(B678="","",COUNTIFS($B$5:B678,B678,$AV$5:AV678,AV678))</f>
        <v/>
      </c>
      <c r="BA678" s="28" t="str">
        <f>IF(B678="","",TEXT(AY678,"00")&amp;"|"&amp;B678&amp;"|"&amp;TEXT(AT678,"yyyymmdd"))</f>
        <v/>
      </c>
      <c r="BB678" s="28" t="str">
        <f>IF(B678="","",TEXT(AZ678,"00")&amp;"|"&amp;B678&amp;"|"&amp;TEXT(AV678,"yyyymmdd"))</f>
        <v/>
      </c>
      <c r="BC678" s="28">
        <f>IF(OR(AQ678="YES",AQ678="Yes",AQ678="Y",AQ678=1),1,0)</f>
        <v>0</v>
      </c>
    </row>
    <row r="679" spans="1:55" ht="15" customHeight="1">
      <c r="A679" s="27"/>
      <c r="B679" s="28"/>
      <c r="C679" s="29"/>
      <c r="D679" s="30"/>
      <c r="E679" s="30"/>
      <c r="F679" s="28"/>
      <c r="G679" s="28"/>
      <c r="H679" s="28"/>
      <c r="I679" s="13"/>
      <c r="J679" s="28"/>
      <c r="K679" s="13"/>
      <c r="L679" s="28"/>
      <c r="M679" s="13"/>
      <c r="N679" s="28"/>
      <c r="O679" s="13"/>
      <c r="P679" s="28"/>
      <c r="Q679" s="20"/>
      <c r="R679" s="28"/>
      <c r="S679" s="20"/>
      <c r="T679" s="28"/>
      <c r="U679" s="13"/>
      <c r="V679" s="28"/>
      <c r="W679" s="13"/>
      <c r="X679" s="28"/>
      <c r="Y679" s="13"/>
      <c r="Z679" s="28"/>
      <c r="AA679" s="13"/>
      <c r="AB679" s="28"/>
      <c r="AC679" s="13"/>
      <c r="AD679" s="28"/>
      <c r="AE679" s="13"/>
      <c r="AF679" s="28"/>
      <c r="AG679" s="13"/>
      <c r="AH679" s="28"/>
      <c r="AI679" s="13"/>
      <c r="AJ679" s="28"/>
      <c r="AK679" s="13"/>
      <c r="AL679" s="28"/>
      <c r="AM679" s="13"/>
      <c r="AN679" s="28"/>
      <c r="AO679" s="13"/>
      <c r="AP679" s="28"/>
      <c r="AQ679" s="13"/>
      <c r="AR679" s="28"/>
      <c r="AS679" s="19">
        <f>SUM(H679,J679,L679,N679,P679,R679,T679,V679,X679,Z679,AB679,AD679,AF679,AH679,AJ679,AL679,AN679)</f>
        <v>0</v>
      </c>
      <c r="AT679" s="29" t="str">
        <f>IF(C679="","",DATE(YEAR(C679),MONTH(C679),1))</f>
        <v/>
      </c>
      <c r="AU679" s="28" t="str">
        <f>IF(AT679="","",TEXT(AT679,"mmmm yyyy"))</f>
        <v/>
      </c>
      <c r="AV679" s="29" t="str">
        <f>IF(C679="","",C679-WEEKDAY(C679,2)+1)</f>
        <v/>
      </c>
      <c r="AW679" s="29" t="str">
        <f>IF(AV679="","",AV679+6)</f>
        <v/>
      </c>
      <c r="AX679" s="28" t="str">
        <f>IF(AV679="","",TEXT(AV679,"dd/mm/yyyy")&amp;" - "&amp;TEXT(AW679,"dd/mm/yyyy"))</f>
        <v/>
      </c>
      <c r="AY679" s="28" t="str">
        <f>IF(B679="","",COUNTIFS($B$5:B679,B679,$AT$5:AT679,AT679))</f>
        <v/>
      </c>
      <c r="AZ679" s="28" t="str">
        <f>IF(B679="","",COUNTIFS($B$5:B679,B679,$AV$5:AV679,AV679))</f>
        <v/>
      </c>
      <c r="BA679" s="28" t="str">
        <f>IF(B679="","",TEXT(AY679,"00")&amp;"|"&amp;B679&amp;"|"&amp;TEXT(AT679,"yyyymmdd"))</f>
        <v/>
      </c>
      <c r="BB679" s="28" t="str">
        <f>IF(B679="","",TEXT(AZ679,"00")&amp;"|"&amp;B679&amp;"|"&amp;TEXT(AV679,"yyyymmdd"))</f>
        <v/>
      </c>
      <c r="BC679" s="28">
        <f>IF(OR(AQ679="YES",AQ679="Yes",AQ679="Y",AQ679=1),1,0)</f>
        <v>0</v>
      </c>
    </row>
    <row r="680" spans="1:55" ht="15" customHeight="1">
      <c r="A680" s="27"/>
      <c r="B680" s="28"/>
      <c r="C680" s="29"/>
      <c r="D680" s="30"/>
      <c r="E680" s="30"/>
      <c r="F680" s="28"/>
      <c r="G680" s="28"/>
      <c r="H680" s="28"/>
      <c r="I680" s="13"/>
      <c r="J680" s="28"/>
      <c r="K680" s="13"/>
      <c r="L680" s="28"/>
      <c r="M680" s="13"/>
      <c r="N680" s="28"/>
      <c r="O680" s="13"/>
      <c r="P680" s="28"/>
      <c r="Q680" s="20"/>
      <c r="R680" s="28"/>
      <c r="S680" s="20"/>
      <c r="T680" s="28"/>
      <c r="U680" s="13"/>
      <c r="V680" s="28"/>
      <c r="W680" s="13"/>
      <c r="X680" s="28"/>
      <c r="Y680" s="13"/>
      <c r="Z680" s="28"/>
      <c r="AA680" s="13"/>
      <c r="AB680" s="28"/>
      <c r="AC680" s="13"/>
      <c r="AD680" s="28"/>
      <c r="AE680" s="13"/>
      <c r="AF680" s="28"/>
      <c r="AG680" s="13"/>
      <c r="AH680" s="28"/>
      <c r="AI680" s="13"/>
      <c r="AJ680" s="28"/>
      <c r="AK680" s="13"/>
      <c r="AL680" s="28"/>
      <c r="AM680" s="13"/>
      <c r="AN680" s="28"/>
      <c r="AO680" s="13"/>
      <c r="AP680" s="28"/>
      <c r="AQ680" s="13"/>
      <c r="AR680" s="28"/>
      <c r="AS680" s="19">
        <f>SUM(H680,J680,L680,N680,P680,R680,T680,V680,X680,Z680,AB680,AD680,AF680,AH680,AJ680,AL680,AN680)</f>
        <v>0</v>
      </c>
      <c r="AT680" s="29" t="str">
        <f>IF(C680="","",DATE(YEAR(C680),MONTH(C680),1))</f>
        <v/>
      </c>
      <c r="AU680" s="28" t="str">
        <f>IF(AT680="","",TEXT(AT680,"mmmm yyyy"))</f>
        <v/>
      </c>
      <c r="AV680" s="29" t="str">
        <f>IF(C680="","",C680-WEEKDAY(C680,2)+1)</f>
        <v/>
      </c>
      <c r="AW680" s="29" t="str">
        <f>IF(AV680="","",AV680+6)</f>
        <v/>
      </c>
      <c r="AX680" s="28" t="str">
        <f>IF(AV680="","",TEXT(AV680,"dd/mm/yyyy")&amp;" - "&amp;TEXT(AW680,"dd/mm/yyyy"))</f>
        <v/>
      </c>
      <c r="AY680" s="28" t="str">
        <f>IF(B680="","",COUNTIFS($B$5:B680,B680,$AT$5:AT680,AT680))</f>
        <v/>
      </c>
      <c r="AZ680" s="28" t="str">
        <f>IF(B680="","",COUNTIFS($B$5:B680,B680,$AV$5:AV680,AV680))</f>
        <v/>
      </c>
      <c r="BA680" s="28" t="str">
        <f>IF(B680="","",TEXT(AY680,"00")&amp;"|"&amp;B680&amp;"|"&amp;TEXT(AT680,"yyyymmdd"))</f>
        <v/>
      </c>
      <c r="BB680" s="28" t="str">
        <f>IF(B680="","",TEXT(AZ680,"00")&amp;"|"&amp;B680&amp;"|"&amp;TEXT(AV680,"yyyymmdd"))</f>
        <v/>
      </c>
      <c r="BC680" s="28">
        <f>IF(OR(AQ680="YES",AQ680="Yes",AQ680="Y",AQ680=1),1,0)</f>
        <v>0</v>
      </c>
    </row>
    <row r="681" spans="1:55" ht="15" customHeight="1">
      <c r="A681" s="27"/>
      <c r="B681" s="28"/>
      <c r="C681" s="29"/>
      <c r="D681" s="30"/>
      <c r="E681" s="30"/>
      <c r="F681" s="28"/>
      <c r="G681" s="28"/>
      <c r="H681" s="28"/>
      <c r="I681" s="13"/>
      <c r="J681" s="28"/>
      <c r="K681" s="13"/>
      <c r="L681" s="28"/>
      <c r="M681" s="13"/>
      <c r="N681" s="28"/>
      <c r="O681" s="13"/>
      <c r="P681" s="28"/>
      <c r="Q681" s="20"/>
      <c r="R681" s="28"/>
      <c r="S681" s="20"/>
      <c r="T681" s="28"/>
      <c r="U681" s="13"/>
      <c r="V681" s="28"/>
      <c r="W681" s="13"/>
      <c r="X681" s="28"/>
      <c r="Y681" s="13"/>
      <c r="Z681" s="28"/>
      <c r="AA681" s="13"/>
      <c r="AB681" s="28"/>
      <c r="AC681" s="13"/>
      <c r="AD681" s="28"/>
      <c r="AE681" s="13"/>
      <c r="AF681" s="28"/>
      <c r="AG681" s="13"/>
      <c r="AH681" s="28"/>
      <c r="AI681" s="13"/>
      <c r="AJ681" s="28"/>
      <c r="AK681" s="13"/>
      <c r="AL681" s="28"/>
      <c r="AM681" s="13"/>
      <c r="AN681" s="28"/>
      <c r="AO681" s="13"/>
      <c r="AP681" s="28"/>
      <c r="AQ681" s="13"/>
      <c r="AR681" s="28"/>
      <c r="AS681" s="19">
        <f>SUM(H681,J681,L681,N681,P681,R681,T681,V681,X681,Z681,AB681,AD681,AF681,AH681,AJ681,AL681,AN681)</f>
        <v>0</v>
      </c>
      <c r="AT681" s="29" t="str">
        <f>IF(C681="","",DATE(YEAR(C681),MONTH(C681),1))</f>
        <v/>
      </c>
      <c r="AU681" s="28" t="str">
        <f>IF(AT681="","",TEXT(AT681,"mmmm yyyy"))</f>
        <v/>
      </c>
      <c r="AV681" s="29" t="str">
        <f>IF(C681="","",C681-WEEKDAY(C681,2)+1)</f>
        <v/>
      </c>
      <c r="AW681" s="29" t="str">
        <f>IF(AV681="","",AV681+6)</f>
        <v/>
      </c>
      <c r="AX681" s="28" t="str">
        <f>IF(AV681="","",TEXT(AV681,"dd/mm/yyyy")&amp;" - "&amp;TEXT(AW681,"dd/mm/yyyy"))</f>
        <v/>
      </c>
      <c r="AY681" s="28" t="str">
        <f>IF(B681="","",COUNTIFS($B$5:B681,B681,$AT$5:AT681,AT681))</f>
        <v/>
      </c>
      <c r="AZ681" s="28" t="str">
        <f>IF(B681="","",COUNTIFS($B$5:B681,B681,$AV$5:AV681,AV681))</f>
        <v/>
      </c>
      <c r="BA681" s="28" t="str">
        <f>IF(B681="","",TEXT(AY681,"00")&amp;"|"&amp;B681&amp;"|"&amp;TEXT(AT681,"yyyymmdd"))</f>
        <v/>
      </c>
      <c r="BB681" s="28" t="str">
        <f>IF(B681="","",TEXT(AZ681,"00")&amp;"|"&amp;B681&amp;"|"&amp;TEXT(AV681,"yyyymmdd"))</f>
        <v/>
      </c>
      <c r="BC681" s="28">
        <f>IF(OR(AQ681="YES",AQ681="Yes",AQ681="Y",AQ681=1),1,0)</f>
        <v>0</v>
      </c>
    </row>
    <row r="682" spans="1:55" ht="15" customHeight="1">
      <c r="A682" s="27"/>
      <c r="B682" s="28"/>
      <c r="C682" s="29"/>
      <c r="D682" s="30"/>
      <c r="E682" s="30"/>
      <c r="F682" s="28"/>
      <c r="G682" s="28"/>
      <c r="H682" s="28"/>
      <c r="I682" s="13"/>
      <c r="J682" s="28"/>
      <c r="K682" s="13"/>
      <c r="L682" s="28"/>
      <c r="M682" s="13"/>
      <c r="N682" s="28"/>
      <c r="O682" s="13"/>
      <c r="P682" s="28"/>
      <c r="Q682" s="20"/>
      <c r="R682" s="28"/>
      <c r="S682" s="20"/>
      <c r="T682" s="28"/>
      <c r="U682" s="13"/>
      <c r="V682" s="28"/>
      <c r="W682" s="13"/>
      <c r="X682" s="28"/>
      <c r="Y682" s="13"/>
      <c r="Z682" s="28"/>
      <c r="AA682" s="13"/>
      <c r="AB682" s="28"/>
      <c r="AC682" s="13"/>
      <c r="AD682" s="28"/>
      <c r="AE682" s="13"/>
      <c r="AF682" s="28"/>
      <c r="AG682" s="13"/>
      <c r="AH682" s="28"/>
      <c r="AI682" s="13"/>
      <c r="AJ682" s="28"/>
      <c r="AK682" s="13"/>
      <c r="AL682" s="28"/>
      <c r="AM682" s="13"/>
      <c r="AN682" s="28"/>
      <c r="AO682" s="13"/>
      <c r="AP682" s="28"/>
      <c r="AQ682" s="13"/>
      <c r="AR682" s="28"/>
      <c r="AS682" s="19">
        <f>SUM(H682,J682,L682,N682,P682,R682,T682,V682,X682,Z682,AB682,AD682,AF682,AH682,AJ682,AL682,AN682)</f>
        <v>0</v>
      </c>
      <c r="AT682" s="29" t="str">
        <f>IF(C682="","",DATE(YEAR(C682),MONTH(C682),1))</f>
        <v/>
      </c>
      <c r="AU682" s="28" t="str">
        <f>IF(AT682="","",TEXT(AT682,"mmmm yyyy"))</f>
        <v/>
      </c>
      <c r="AV682" s="29" t="str">
        <f>IF(C682="","",C682-WEEKDAY(C682,2)+1)</f>
        <v/>
      </c>
      <c r="AW682" s="29" t="str">
        <f>IF(AV682="","",AV682+6)</f>
        <v/>
      </c>
      <c r="AX682" s="28" t="str">
        <f>IF(AV682="","",TEXT(AV682,"dd/mm/yyyy")&amp;" - "&amp;TEXT(AW682,"dd/mm/yyyy"))</f>
        <v/>
      </c>
      <c r="AY682" s="28" t="str">
        <f>IF(B682="","",COUNTIFS($B$5:B682,B682,$AT$5:AT682,AT682))</f>
        <v/>
      </c>
      <c r="AZ682" s="28" t="str">
        <f>IF(B682="","",COUNTIFS($B$5:B682,B682,$AV$5:AV682,AV682))</f>
        <v/>
      </c>
      <c r="BA682" s="28" t="str">
        <f>IF(B682="","",TEXT(AY682,"00")&amp;"|"&amp;B682&amp;"|"&amp;TEXT(AT682,"yyyymmdd"))</f>
        <v/>
      </c>
      <c r="BB682" s="28" t="str">
        <f>IF(B682="","",TEXT(AZ682,"00")&amp;"|"&amp;B682&amp;"|"&amp;TEXT(AV682,"yyyymmdd"))</f>
        <v/>
      </c>
      <c r="BC682" s="28">
        <f>IF(OR(AQ682="YES",AQ682="Yes",AQ682="Y",AQ682=1),1,0)</f>
        <v>0</v>
      </c>
    </row>
    <row r="683" spans="1:55" ht="15" customHeight="1">
      <c r="A683" s="27"/>
      <c r="B683" s="28"/>
      <c r="C683" s="29"/>
      <c r="D683" s="30"/>
      <c r="E683" s="30"/>
      <c r="F683" s="28"/>
      <c r="G683" s="28"/>
      <c r="H683" s="28"/>
      <c r="I683" s="13"/>
      <c r="J683" s="28"/>
      <c r="K683" s="13"/>
      <c r="L683" s="28"/>
      <c r="M683" s="13"/>
      <c r="N683" s="28"/>
      <c r="O683" s="13"/>
      <c r="P683" s="28"/>
      <c r="Q683" s="20"/>
      <c r="R683" s="28"/>
      <c r="S683" s="20"/>
      <c r="T683" s="28"/>
      <c r="U683" s="13"/>
      <c r="V683" s="28"/>
      <c r="W683" s="13"/>
      <c r="X683" s="28"/>
      <c r="Y683" s="13"/>
      <c r="Z683" s="28"/>
      <c r="AA683" s="13"/>
      <c r="AB683" s="28"/>
      <c r="AC683" s="13"/>
      <c r="AD683" s="28"/>
      <c r="AE683" s="13"/>
      <c r="AF683" s="28"/>
      <c r="AG683" s="13"/>
      <c r="AH683" s="28"/>
      <c r="AI683" s="13"/>
      <c r="AJ683" s="28"/>
      <c r="AK683" s="13"/>
      <c r="AL683" s="28"/>
      <c r="AM683" s="13"/>
      <c r="AN683" s="28"/>
      <c r="AO683" s="13"/>
      <c r="AP683" s="28"/>
      <c r="AQ683" s="13"/>
      <c r="AR683" s="28"/>
      <c r="AS683" s="19">
        <f>SUM(H683,J683,L683,N683,P683,R683,T683,V683,X683,Z683,AB683,AD683,AF683,AH683,AJ683,AL683,AN683)</f>
        <v>0</v>
      </c>
      <c r="AT683" s="29" t="str">
        <f>IF(C683="","",DATE(YEAR(C683),MONTH(C683),1))</f>
        <v/>
      </c>
      <c r="AU683" s="28" t="str">
        <f>IF(AT683="","",TEXT(AT683,"mmmm yyyy"))</f>
        <v/>
      </c>
      <c r="AV683" s="29" t="str">
        <f>IF(C683="","",C683-WEEKDAY(C683,2)+1)</f>
        <v/>
      </c>
      <c r="AW683" s="29" t="str">
        <f>IF(AV683="","",AV683+6)</f>
        <v/>
      </c>
      <c r="AX683" s="28" t="str">
        <f>IF(AV683="","",TEXT(AV683,"dd/mm/yyyy")&amp;" - "&amp;TEXT(AW683,"dd/mm/yyyy"))</f>
        <v/>
      </c>
      <c r="AY683" s="28" t="str">
        <f>IF(B683="","",COUNTIFS($B$5:B683,B683,$AT$5:AT683,AT683))</f>
        <v/>
      </c>
      <c r="AZ683" s="28" t="str">
        <f>IF(B683="","",COUNTIFS($B$5:B683,B683,$AV$5:AV683,AV683))</f>
        <v/>
      </c>
      <c r="BA683" s="28" t="str">
        <f>IF(B683="","",TEXT(AY683,"00")&amp;"|"&amp;B683&amp;"|"&amp;TEXT(AT683,"yyyymmdd"))</f>
        <v/>
      </c>
      <c r="BB683" s="28" t="str">
        <f>IF(B683="","",TEXT(AZ683,"00")&amp;"|"&amp;B683&amp;"|"&amp;TEXT(AV683,"yyyymmdd"))</f>
        <v/>
      </c>
      <c r="BC683" s="28">
        <f>IF(OR(AQ683="YES",AQ683="Yes",AQ683="Y",AQ683=1),1,0)</f>
        <v>0</v>
      </c>
    </row>
    <row r="684" spans="1:55" ht="15" customHeight="1">
      <c r="A684" s="27"/>
      <c r="B684" s="28"/>
      <c r="C684" s="29"/>
      <c r="D684" s="30"/>
      <c r="E684" s="30"/>
      <c r="F684" s="28"/>
      <c r="G684" s="28"/>
      <c r="H684" s="28"/>
      <c r="I684" s="13"/>
      <c r="J684" s="28"/>
      <c r="K684" s="13"/>
      <c r="L684" s="28"/>
      <c r="M684" s="13"/>
      <c r="N684" s="28"/>
      <c r="O684" s="13"/>
      <c r="P684" s="28"/>
      <c r="Q684" s="20"/>
      <c r="R684" s="28"/>
      <c r="S684" s="20"/>
      <c r="T684" s="28"/>
      <c r="U684" s="13"/>
      <c r="V684" s="28"/>
      <c r="W684" s="13"/>
      <c r="X684" s="28"/>
      <c r="Y684" s="13"/>
      <c r="Z684" s="28"/>
      <c r="AA684" s="13"/>
      <c r="AB684" s="28"/>
      <c r="AC684" s="13"/>
      <c r="AD684" s="28"/>
      <c r="AE684" s="13"/>
      <c r="AF684" s="28"/>
      <c r="AG684" s="13"/>
      <c r="AH684" s="28"/>
      <c r="AI684" s="13"/>
      <c r="AJ684" s="28"/>
      <c r="AK684" s="13"/>
      <c r="AL684" s="28"/>
      <c r="AM684" s="13"/>
      <c r="AN684" s="28"/>
      <c r="AO684" s="13"/>
      <c r="AP684" s="28"/>
      <c r="AQ684" s="13"/>
      <c r="AR684" s="28"/>
      <c r="AS684" s="19">
        <f>SUM(H684,J684,L684,N684,P684,R684,T684,V684,X684,Z684,AB684,AD684,AF684,AH684,AJ684,AL684,AN684)</f>
        <v>0</v>
      </c>
      <c r="AT684" s="29" t="str">
        <f>IF(C684="","",DATE(YEAR(C684),MONTH(C684),1))</f>
        <v/>
      </c>
      <c r="AU684" s="28" t="str">
        <f>IF(AT684="","",TEXT(AT684,"mmmm yyyy"))</f>
        <v/>
      </c>
      <c r="AV684" s="29" t="str">
        <f>IF(C684="","",C684-WEEKDAY(C684,2)+1)</f>
        <v/>
      </c>
      <c r="AW684" s="29" t="str">
        <f>IF(AV684="","",AV684+6)</f>
        <v/>
      </c>
      <c r="AX684" s="28" t="str">
        <f>IF(AV684="","",TEXT(AV684,"dd/mm/yyyy")&amp;" - "&amp;TEXT(AW684,"dd/mm/yyyy"))</f>
        <v/>
      </c>
      <c r="AY684" s="28" t="str">
        <f>IF(B684="","",COUNTIFS($B$5:B684,B684,$AT$5:AT684,AT684))</f>
        <v/>
      </c>
      <c r="AZ684" s="28" t="str">
        <f>IF(B684="","",COUNTIFS($B$5:B684,B684,$AV$5:AV684,AV684))</f>
        <v/>
      </c>
      <c r="BA684" s="28" t="str">
        <f>IF(B684="","",TEXT(AY684,"00")&amp;"|"&amp;B684&amp;"|"&amp;TEXT(AT684,"yyyymmdd"))</f>
        <v/>
      </c>
      <c r="BB684" s="28" t="str">
        <f>IF(B684="","",TEXT(AZ684,"00")&amp;"|"&amp;B684&amp;"|"&amp;TEXT(AV684,"yyyymmdd"))</f>
        <v/>
      </c>
      <c r="BC684" s="28">
        <f>IF(OR(AQ684="YES",AQ684="Yes",AQ684="Y",AQ684=1),1,0)</f>
        <v>0</v>
      </c>
    </row>
    <row r="685" spans="1:55" ht="15" customHeight="1">
      <c r="A685" s="27"/>
      <c r="B685" s="28"/>
      <c r="C685" s="29"/>
      <c r="D685" s="30"/>
      <c r="E685" s="30"/>
      <c r="F685" s="28"/>
      <c r="G685" s="28"/>
      <c r="H685" s="28"/>
      <c r="I685" s="13"/>
      <c r="J685" s="28"/>
      <c r="K685" s="13"/>
      <c r="L685" s="28"/>
      <c r="M685" s="13"/>
      <c r="N685" s="28"/>
      <c r="O685" s="13"/>
      <c r="P685" s="28"/>
      <c r="Q685" s="20"/>
      <c r="R685" s="28"/>
      <c r="S685" s="20"/>
      <c r="T685" s="28"/>
      <c r="U685" s="13"/>
      <c r="V685" s="28"/>
      <c r="W685" s="13"/>
      <c r="X685" s="28"/>
      <c r="Y685" s="13"/>
      <c r="Z685" s="28"/>
      <c r="AA685" s="13"/>
      <c r="AB685" s="28"/>
      <c r="AC685" s="13"/>
      <c r="AD685" s="28"/>
      <c r="AE685" s="13"/>
      <c r="AF685" s="28"/>
      <c r="AG685" s="13"/>
      <c r="AH685" s="28"/>
      <c r="AI685" s="13"/>
      <c r="AJ685" s="28"/>
      <c r="AK685" s="13"/>
      <c r="AL685" s="28"/>
      <c r="AM685" s="13"/>
      <c r="AN685" s="28"/>
      <c r="AO685" s="13"/>
      <c r="AP685" s="28"/>
      <c r="AQ685" s="13"/>
      <c r="AR685" s="28"/>
      <c r="AS685" s="19">
        <f>SUM(H685,J685,L685,N685,P685,R685,T685,V685,X685,Z685,AB685,AD685,AF685,AH685,AJ685,AL685,AN685)</f>
        <v>0</v>
      </c>
      <c r="AT685" s="29" t="str">
        <f>IF(C685="","",DATE(YEAR(C685),MONTH(C685),1))</f>
        <v/>
      </c>
      <c r="AU685" s="28" t="str">
        <f>IF(AT685="","",TEXT(AT685,"mmmm yyyy"))</f>
        <v/>
      </c>
      <c r="AV685" s="29" t="str">
        <f>IF(C685="","",C685-WEEKDAY(C685,2)+1)</f>
        <v/>
      </c>
      <c r="AW685" s="29" t="str">
        <f>IF(AV685="","",AV685+6)</f>
        <v/>
      </c>
      <c r="AX685" s="28" t="str">
        <f>IF(AV685="","",TEXT(AV685,"dd/mm/yyyy")&amp;" - "&amp;TEXT(AW685,"dd/mm/yyyy"))</f>
        <v/>
      </c>
      <c r="AY685" s="28" t="str">
        <f>IF(B685="","",COUNTIFS($B$5:B685,B685,$AT$5:AT685,AT685))</f>
        <v/>
      </c>
      <c r="AZ685" s="28" t="str">
        <f>IF(B685="","",COUNTIFS($B$5:B685,B685,$AV$5:AV685,AV685))</f>
        <v/>
      </c>
      <c r="BA685" s="28" t="str">
        <f>IF(B685="","",TEXT(AY685,"00")&amp;"|"&amp;B685&amp;"|"&amp;TEXT(AT685,"yyyymmdd"))</f>
        <v/>
      </c>
      <c r="BB685" s="28" t="str">
        <f>IF(B685="","",TEXT(AZ685,"00")&amp;"|"&amp;B685&amp;"|"&amp;TEXT(AV685,"yyyymmdd"))</f>
        <v/>
      </c>
      <c r="BC685" s="28">
        <f>IF(OR(AQ685="YES",AQ685="Yes",AQ685="Y",AQ685=1),1,0)</f>
        <v>0</v>
      </c>
    </row>
    <row r="686" spans="1:55" ht="15" customHeight="1">
      <c r="A686" s="27"/>
      <c r="B686" s="28"/>
      <c r="C686" s="29"/>
      <c r="D686" s="30"/>
      <c r="E686" s="30"/>
      <c r="F686" s="28"/>
      <c r="G686" s="28"/>
      <c r="H686" s="28"/>
      <c r="I686" s="13"/>
      <c r="J686" s="28"/>
      <c r="K686" s="13"/>
      <c r="L686" s="28"/>
      <c r="M686" s="13"/>
      <c r="N686" s="28"/>
      <c r="O686" s="13"/>
      <c r="P686" s="28"/>
      <c r="Q686" s="20"/>
      <c r="R686" s="28"/>
      <c r="S686" s="20"/>
      <c r="T686" s="28"/>
      <c r="U686" s="13"/>
      <c r="V686" s="28"/>
      <c r="W686" s="13"/>
      <c r="X686" s="28"/>
      <c r="Y686" s="13"/>
      <c r="Z686" s="28"/>
      <c r="AA686" s="13"/>
      <c r="AB686" s="28"/>
      <c r="AC686" s="13"/>
      <c r="AD686" s="28"/>
      <c r="AE686" s="13"/>
      <c r="AF686" s="28"/>
      <c r="AG686" s="13"/>
      <c r="AH686" s="28"/>
      <c r="AI686" s="13"/>
      <c r="AJ686" s="28"/>
      <c r="AK686" s="13"/>
      <c r="AL686" s="28"/>
      <c r="AM686" s="13"/>
      <c r="AN686" s="28"/>
      <c r="AO686" s="13"/>
      <c r="AP686" s="28"/>
      <c r="AQ686" s="13"/>
      <c r="AR686" s="28"/>
      <c r="AS686" s="19">
        <f>SUM(H686,J686,L686,N686,P686,R686,T686,V686,X686,Z686,AB686,AD686,AF686,AH686,AJ686,AL686,AN686)</f>
        <v>0</v>
      </c>
      <c r="AT686" s="29" t="str">
        <f>IF(C686="","",DATE(YEAR(C686),MONTH(C686),1))</f>
        <v/>
      </c>
      <c r="AU686" s="28" t="str">
        <f>IF(AT686="","",TEXT(AT686,"mmmm yyyy"))</f>
        <v/>
      </c>
      <c r="AV686" s="29" t="str">
        <f>IF(C686="","",C686-WEEKDAY(C686,2)+1)</f>
        <v/>
      </c>
      <c r="AW686" s="29" t="str">
        <f>IF(AV686="","",AV686+6)</f>
        <v/>
      </c>
      <c r="AX686" s="28" t="str">
        <f>IF(AV686="","",TEXT(AV686,"dd/mm/yyyy")&amp;" - "&amp;TEXT(AW686,"dd/mm/yyyy"))</f>
        <v/>
      </c>
      <c r="AY686" s="28" t="str">
        <f>IF(B686="","",COUNTIFS($B$5:B686,B686,$AT$5:AT686,AT686))</f>
        <v/>
      </c>
      <c r="AZ686" s="28" t="str">
        <f>IF(B686="","",COUNTIFS($B$5:B686,B686,$AV$5:AV686,AV686))</f>
        <v/>
      </c>
      <c r="BA686" s="28" t="str">
        <f>IF(B686="","",TEXT(AY686,"00")&amp;"|"&amp;B686&amp;"|"&amp;TEXT(AT686,"yyyymmdd"))</f>
        <v/>
      </c>
      <c r="BB686" s="28" t="str">
        <f>IF(B686="","",TEXT(AZ686,"00")&amp;"|"&amp;B686&amp;"|"&amp;TEXT(AV686,"yyyymmdd"))</f>
        <v/>
      </c>
      <c r="BC686" s="28">
        <f>IF(OR(AQ686="YES",AQ686="Yes",AQ686="Y",AQ686=1),1,0)</f>
        <v>0</v>
      </c>
    </row>
    <row r="687" spans="1:55" ht="15" customHeight="1">
      <c r="A687" s="27"/>
      <c r="B687" s="28"/>
      <c r="C687" s="29"/>
      <c r="D687" s="30"/>
      <c r="E687" s="30"/>
      <c r="F687" s="28"/>
      <c r="G687" s="28"/>
      <c r="H687" s="28"/>
      <c r="I687" s="13"/>
      <c r="J687" s="28"/>
      <c r="K687" s="13"/>
      <c r="L687" s="28"/>
      <c r="M687" s="13"/>
      <c r="N687" s="28"/>
      <c r="O687" s="13"/>
      <c r="P687" s="28"/>
      <c r="Q687" s="20"/>
      <c r="R687" s="28"/>
      <c r="S687" s="20"/>
      <c r="T687" s="28"/>
      <c r="U687" s="13"/>
      <c r="V687" s="28"/>
      <c r="W687" s="13"/>
      <c r="X687" s="28"/>
      <c r="Y687" s="13"/>
      <c r="Z687" s="28"/>
      <c r="AA687" s="13"/>
      <c r="AB687" s="28"/>
      <c r="AC687" s="13"/>
      <c r="AD687" s="28"/>
      <c r="AE687" s="13"/>
      <c r="AF687" s="28"/>
      <c r="AG687" s="13"/>
      <c r="AH687" s="28"/>
      <c r="AI687" s="13"/>
      <c r="AJ687" s="28"/>
      <c r="AK687" s="13"/>
      <c r="AL687" s="28"/>
      <c r="AM687" s="13"/>
      <c r="AN687" s="28"/>
      <c r="AO687" s="13"/>
      <c r="AP687" s="28"/>
      <c r="AQ687" s="13"/>
      <c r="AR687" s="28"/>
      <c r="AS687" s="19">
        <f>SUM(H687,J687,L687,N687,P687,R687,T687,V687,X687,Z687,AB687,AD687,AF687,AH687,AJ687,AL687,AN687)</f>
        <v>0</v>
      </c>
      <c r="AT687" s="29" t="str">
        <f>IF(C687="","",DATE(YEAR(C687),MONTH(C687),1))</f>
        <v/>
      </c>
      <c r="AU687" s="28" t="str">
        <f>IF(AT687="","",TEXT(AT687,"mmmm yyyy"))</f>
        <v/>
      </c>
      <c r="AV687" s="29" t="str">
        <f>IF(C687="","",C687-WEEKDAY(C687,2)+1)</f>
        <v/>
      </c>
      <c r="AW687" s="29" t="str">
        <f>IF(AV687="","",AV687+6)</f>
        <v/>
      </c>
      <c r="AX687" s="28" t="str">
        <f>IF(AV687="","",TEXT(AV687,"dd/mm/yyyy")&amp;" - "&amp;TEXT(AW687,"dd/mm/yyyy"))</f>
        <v/>
      </c>
      <c r="AY687" s="28" t="str">
        <f>IF(B687="","",COUNTIFS($B$5:B687,B687,$AT$5:AT687,AT687))</f>
        <v/>
      </c>
      <c r="AZ687" s="28" t="str">
        <f>IF(B687="","",COUNTIFS($B$5:B687,B687,$AV$5:AV687,AV687))</f>
        <v/>
      </c>
      <c r="BA687" s="28" t="str">
        <f>IF(B687="","",TEXT(AY687,"00")&amp;"|"&amp;B687&amp;"|"&amp;TEXT(AT687,"yyyymmdd"))</f>
        <v/>
      </c>
      <c r="BB687" s="28" t="str">
        <f>IF(B687="","",TEXT(AZ687,"00")&amp;"|"&amp;B687&amp;"|"&amp;TEXT(AV687,"yyyymmdd"))</f>
        <v/>
      </c>
      <c r="BC687" s="28">
        <f>IF(OR(AQ687="YES",AQ687="Yes",AQ687="Y",AQ687=1),1,0)</f>
        <v>0</v>
      </c>
    </row>
    <row r="688" spans="1:55" ht="15" customHeight="1">
      <c r="A688" s="27"/>
      <c r="B688" s="28"/>
      <c r="C688" s="29"/>
      <c r="D688" s="30"/>
      <c r="E688" s="30"/>
      <c r="F688" s="28"/>
      <c r="G688" s="28"/>
      <c r="H688" s="28"/>
      <c r="I688" s="13"/>
      <c r="J688" s="28"/>
      <c r="K688" s="13"/>
      <c r="L688" s="28"/>
      <c r="M688" s="13"/>
      <c r="N688" s="28"/>
      <c r="O688" s="13"/>
      <c r="P688" s="28"/>
      <c r="Q688" s="20"/>
      <c r="R688" s="28"/>
      <c r="S688" s="20"/>
      <c r="T688" s="28"/>
      <c r="U688" s="13"/>
      <c r="V688" s="28"/>
      <c r="W688" s="13"/>
      <c r="X688" s="28"/>
      <c r="Y688" s="13"/>
      <c r="Z688" s="28"/>
      <c r="AA688" s="13"/>
      <c r="AB688" s="28"/>
      <c r="AC688" s="13"/>
      <c r="AD688" s="28"/>
      <c r="AE688" s="13"/>
      <c r="AF688" s="28"/>
      <c r="AG688" s="13"/>
      <c r="AH688" s="28"/>
      <c r="AI688" s="13"/>
      <c r="AJ688" s="28"/>
      <c r="AK688" s="13"/>
      <c r="AL688" s="28"/>
      <c r="AM688" s="13"/>
      <c r="AN688" s="28"/>
      <c r="AO688" s="13"/>
      <c r="AP688" s="28"/>
      <c r="AQ688" s="13"/>
      <c r="AR688" s="28"/>
      <c r="AS688" s="19">
        <f>SUM(H688,J688,L688,N688,P688,R688,T688,V688,X688,Z688,AB688,AD688,AF688,AH688,AJ688,AL688,AN688)</f>
        <v>0</v>
      </c>
      <c r="AT688" s="29" t="str">
        <f>IF(C688="","",DATE(YEAR(C688),MONTH(C688),1))</f>
        <v/>
      </c>
      <c r="AU688" s="28" t="str">
        <f>IF(AT688="","",TEXT(AT688,"mmmm yyyy"))</f>
        <v/>
      </c>
      <c r="AV688" s="29" t="str">
        <f>IF(C688="","",C688-WEEKDAY(C688,2)+1)</f>
        <v/>
      </c>
      <c r="AW688" s="29" t="str">
        <f>IF(AV688="","",AV688+6)</f>
        <v/>
      </c>
      <c r="AX688" s="28" t="str">
        <f>IF(AV688="","",TEXT(AV688,"dd/mm/yyyy")&amp;" - "&amp;TEXT(AW688,"dd/mm/yyyy"))</f>
        <v/>
      </c>
      <c r="AY688" s="28" t="str">
        <f>IF(B688="","",COUNTIFS($B$5:B688,B688,$AT$5:AT688,AT688))</f>
        <v/>
      </c>
      <c r="AZ688" s="28" t="str">
        <f>IF(B688="","",COUNTIFS($B$5:B688,B688,$AV$5:AV688,AV688))</f>
        <v/>
      </c>
      <c r="BA688" s="28" t="str">
        <f>IF(B688="","",TEXT(AY688,"00")&amp;"|"&amp;B688&amp;"|"&amp;TEXT(AT688,"yyyymmdd"))</f>
        <v/>
      </c>
      <c r="BB688" s="28" t="str">
        <f>IF(B688="","",TEXT(AZ688,"00")&amp;"|"&amp;B688&amp;"|"&amp;TEXT(AV688,"yyyymmdd"))</f>
        <v/>
      </c>
      <c r="BC688" s="28">
        <f>IF(OR(AQ688="YES",AQ688="Yes",AQ688="Y",AQ688=1),1,0)</f>
        <v>0</v>
      </c>
    </row>
    <row r="689" spans="1:55" ht="15" customHeight="1">
      <c r="A689" s="27"/>
      <c r="B689" s="28"/>
      <c r="C689" s="29"/>
      <c r="D689" s="30"/>
      <c r="E689" s="30"/>
      <c r="F689" s="28"/>
      <c r="G689" s="28"/>
      <c r="H689" s="28"/>
      <c r="I689" s="13"/>
      <c r="J689" s="28"/>
      <c r="K689" s="13"/>
      <c r="L689" s="28"/>
      <c r="M689" s="13"/>
      <c r="N689" s="28"/>
      <c r="O689" s="13"/>
      <c r="P689" s="28"/>
      <c r="Q689" s="20"/>
      <c r="R689" s="28"/>
      <c r="S689" s="20"/>
      <c r="T689" s="28"/>
      <c r="U689" s="13"/>
      <c r="V689" s="28"/>
      <c r="W689" s="13"/>
      <c r="X689" s="28"/>
      <c r="Y689" s="13"/>
      <c r="Z689" s="28"/>
      <c r="AA689" s="13"/>
      <c r="AB689" s="28"/>
      <c r="AC689" s="13"/>
      <c r="AD689" s="28"/>
      <c r="AE689" s="13"/>
      <c r="AF689" s="28"/>
      <c r="AG689" s="13"/>
      <c r="AH689" s="28"/>
      <c r="AI689" s="13"/>
      <c r="AJ689" s="28"/>
      <c r="AK689" s="13"/>
      <c r="AL689" s="28"/>
      <c r="AM689" s="13"/>
      <c r="AN689" s="28"/>
      <c r="AO689" s="13"/>
      <c r="AP689" s="28"/>
      <c r="AQ689" s="13"/>
      <c r="AR689" s="28"/>
      <c r="AS689" s="19">
        <f>SUM(H689,J689,L689,N689,P689,R689,T689,V689,X689,Z689,AB689,AD689,AF689,AH689,AJ689,AL689,AN689)</f>
        <v>0</v>
      </c>
      <c r="AT689" s="29" t="str">
        <f>IF(C689="","",DATE(YEAR(C689),MONTH(C689),1))</f>
        <v/>
      </c>
      <c r="AU689" s="28" t="str">
        <f>IF(AT689="","",TEXT(AT689,"mmmm yyyy"))</f>
        <v/>
      </c>
      <c r="AV689" s="29" t="str">
        <f>IF(C689="","",C689-WEEKDAY(C689,2)+1)</f>
        <v/>
      </c>
      <c r="AW689" s="29" t="str">
        <f>IF(AV689="","",AV689+6)</f>
        <v/>
      </c>
      <c r="AX689" s="28" t="str">
        <f>IF(AV689="","",TEXT(AV689,"dd/mm/yyyy")&amp;" - "&amp;TEXT(AW689,"dd/mm/yyyy"))</f>
        <v/>
      </c>
      <c r="AY689" s="28" t="str">
        <f>IF(B689="","",COUNTIFS($B$5:B689,B689,$AT$5:AT689,AT689))</f>
        <v/>
      </c>
      <c r="AZ689" s="28" t="str">
        <f>IF(B689="","",COUNTIFS($B$5:B689,B689,$AV$5:AV689,AV689))</f>
        <v/>
      </c>
      <c r="BA689" s="28" t="str">
        <f>IF(B689="","",TEXT(AY689,"00")&amp;"|"&amp;B689&amp;"|"&amp;TEXT(AT689,"yyyymmdd"))</f>
        <v/>
      </c>
      <c r="BB689" s="28" t="str">
        <f>IF(B689="","",TEXT(AZ689,"00")&amp;"|"&amp;B689&amp;"|"&amp;TEXT(AV689,"yyyymmdd"))</f>
        <v/>
      </c>
      <c r="BC689" s="28">
        <f>IF(OR(AQ689="YES",AQ689="Yes",AQ689="Y",AQ689=1),1,0)</f>
        <v>0</v>
      </c>
    </row>
    <row r="690" spans="1:55" ht="15" customHeight="1">
      <c r="A690" s="27"/>
      <c r="B690" s="28"/>
      <c r="C690" s="29"/>
      <c r="D690" s="30"/>
      <c r="E690" s="30"/>
      <c r="F690" s="28"/>
      <c r="G690" s="28"/>
      <c r="H690" s="28"/>
      <c r="I690" s="13"/>
      <c r="J690" s="28"/>
      <c r="K690" s="13"/>
      <c r="L690" s="28"/>
      <c r="M690" s="13"/>
      <c r="N690" s="28"/>
      <c r="O690" s="13"/>
      <c r="P690" s="28"/>
      <c r="Q690" s="20"/>
      <c r="R690" s="28"/>
      <c r="S690" s="20"/>
      <c r="T690" s="28"/>
      <c r="U690" s="13"/>
      <c r="V690" s="28"/>
      <c r="W690" s="13"/>
      <c r="X690" s="28"/>
      <c r="Y690" s="13"/>
      <c r="Z690" s="28"/>
      <c r="AA690" s="13"/>
      <c r="AB690" s="28"/>
      <c r="AC690" s="13"/>
      <c r="AD690" s="28"/>
      <c r="AE690" s="13"/>
      <c r="AF690" s="28"/>
      <c r="AG690" s="13"/>
      <c r="AH690" s="28"/>
      <c r="AI690" s="13"/>
      <c r="AJ690" s="28"/>
      <c r="AK690" s="13"/>
      <c r="AL690" s="28"/>
      <c r="AM690" s="13"/>
      <c r="AN690" s="28"/>
      <c r="AO690" s="13"/>
      <c r="AP690" s="28"/>
      <c r="AQ690" s="13"/>
      <c r="AR690" s="28"/>
      <c r="AS690" s="19">
        <f>SUM(H690,J690,L690,N690,P690,R690,T690,V690,X690,Z690,AB690,AD690,AF690,AH690,AJ690,AL690,AN690)</f>
        <v>0</v>
      </c>
      <c r="AT690" s="29" t="str">
        <f>IF(C690="","",DATE(YEAR(C690),MONTH(C690),1))</f>
        <v/>
      </c>
      <c r="AU690" s="28" t="str">
        <f>IF(AT690="","",TEXT(AT690,"mmmm yyyy"))</f>
        <v/>
      </c>
      <c r="AV690" s="29" t="str">
        <f>IF(C690="","",C690-WEEKDAY(C690,2)+1)</f>
        <v/>
      </c>
      <c r="AW690" s="29" t="str">
        <f>IF(AV690="","",AV690+6)</f>
        <v/>
      </c>
      <c r="AX690" s="28" t="str">
        <f>IF(AV690="","",TEXT(AV690,"dd/mm/yyyy")&amp;" - "&amp;TEXT(AW690,"dd/mm/yyyy"))</f>
        <v/>
      </c>
      <c r="AY690" s="28" t="str">
        <f>IF(B690="","",COUNTIFS($B$5:B690,B690,$AT$5:AT690,AT690))</f>
        <v/>
      </c>
      <c r="AZ690" s="28" t="str">
        <f>IF(B690="","",COUNTIFS($B$5:B690,B690,$AV$5:AV690,AV690))</f>
        <v/>
      </c>
      <c r="BA690" s="28" t="str">
        <f>IF(B690="","",TEXT(AY690,"00")&amp;"|"&amp;B690&amp;"|"&amp;TEXT(AT690,"yyyymmdd"))</f>
        <v/>
      </c>
      <c r="BB690" s="28" t="str">
        <f>IF(B690="","",TEXT(AZ690,"00")&amp;"|"&amp;B690&amp;"|"&amp;TEXT(AV690,"yyyymmdd"))</f>
        <v/>
      </c>
      <c r="BC690" s="28">
        <f>IF(OR(AQ690="YES",AQ690="Yes",AQ690="Y",AQ690=1),1,0)</f>
        <v>0</v>
      </c>
    </row>
    <row r="691" spans="1:55" ht="15" customHeight="1">
      <c r="A691" s="27"/>
      <c r="B691" s="28"/>
      <c r="C691" s="29"/>
      <c r="D691" s="30"/>
      <c r="E691" s="30"/>
      <c r="F691" s="28"/>
      <c r="G691" s="28"/>
      <c r="H691" s="28"/>
      <c r="I691" s="13"/>
      <c r="J691" s="28"/>
      <c r="K691" s="13"/>
      <c r="L691" s="28"/>
      <c r="M691" s="13"/>
      <c r="N691" s="28"/>
      <c r="O691" s="13"/>
      <c r="P691" s="28"/>
      <c r="Q691" s="20"/>
      <c r="R691" s="28"/>
      <c r="S691" s="20"/>
      <c r="T691" s="28"/>
      <c r="U691" s="13"/>
      <c r="V691" s="28"/>
      <c r="W691" s="13"/>
      <c r="X691" s="28"/>
      <c r="Y691" s="13"/>
      <c r="Z691" s="28"/>
      <c r="AA691" s="13"/>
      <c r="AB691" s="28"/>
      <c r="AC691" s="13"/>
      <c r="AD691" s="28"/>
      <c r="AE691" s="13"/>
      <c r="AF691" s="28"/>
      <c r="AG691" s="13"/>
      <c r="AH691" s="28"/>
      <c r="AI691" s="13"/>
      <c r="AJ691" s="28"/>
      <c r="AK691" s="13"/>
      <c r="AL691" s="28"/>
      <c r="AM691" s="13"/>
      <c r="AN691" s="28"/>
      <c r="AO691" s="13"/>
      <c r="AP691" s="28"/>
      <c r="AQ691" s="13"/>
      <c r="AR691" s="28"/>
      <c r="AS691" s="19">
        <f>SUM(H691,J691,L691,N691,P691,R691,T691,V691,X691,Z691,AB691,AD691,AF691,AH691,AJ691,AL691,AN691)</f>
        <v>0</v>
      </c>
      <c r="AT691" s="29" t="str">
        <f>IF(C691="","",DATE(YEAR(C691),MONTH(C691),1))</f>
        <v/>
      </c>
      <c r="AU691" s="28" t="str">
        <f>IF(AT691="","",TEXT(AT691,"mmmm yyyy"))</f>
        <v/>
      </c>
      <c r="AV691" s="29" t="str">
        <f>IF(C691="","",C691-WEEKDAY(C691,2)+1)</f>
        <v/>
      </c>
      <c r="AW691" s="29" t="str">
        <f>IF(AV691="","",AV691+6)</f>
        <v/>
      </c>
      <c r="AX691" s="28" t="str">
        <f>IF(AV691="","",TEXT(AV691,"dd/mm/yyyy")&amp;" - "&amp;TEXT(AW691,"dd/mm/yyyy"))</f>
        <v/>
      </c>
      <c r="AY691" s="28" t="str">
        <f>IF(B691="","",COUNTIFS($B$5:B691,B691,$AT$5:AT691,AT691))</f>
        <v/>
      </c>
      <c r="AZ691" s="28" t="str">
        <f>IF(B691="","",COUNTIFS($B$5:B691,B691,$AV$5:AV691,AV691))</f>
        <v/>
      </c>
      <c r="BA691" s="28" t="str">
        <f>IF(B691="","",TEXT(AY691,"00")&amp;"|"&amp;B691&amp;"|"&amp;TEXT(AT691,"yyyymmdd"))</f>
        <v/>
      </c>
      <c r="BB691" s="28" t="str">
        <f>IF(B691="","",TEXT(AZ691,"00")&amp;"|"&amp;B691&amp;"|"&amp;TEXT(AV691,"yyyymmdd"))</f>
        <v/>
      </c>
      <c r="BC691" s="28">
        <f>IF(OR(AQ691="YES",AQ691="Yes",AQ691="Y",AQ691=1),1,0)</f>
        <v>0</v>
      </c>
    </row>
    <row r="692" spans="1:55" ht="15" customHeight="1">
      <c r="A692" s="27"/>
      <c r="B692" s="28"/>
      <c r="C692" s="29"/>
      <c r="D692" s="30"/>
      <c r="E692" s="30"/>
      <c r="F692" s="28"/>
      <c r="G692" s="28"/>
      <c r="H692" s="28"/>
      <c r="I692" s="13"/>
      <c r="J692" s="28"/>
      <c r="K692" s="13"/>
      <c r="L692" s="28"/>
      <c r="M692" s="13"/>
      <c r="N692" s="28"/>
      <c r="O692" s="13"/>
      <c r="P692" s="28"/>
      <c r="Q692" s="20"/>
      <c r="R692" s="28"/>
      <c r="S692" s="20"/>
      <c r="T692" s="28"/>
      <c r="U692" s="13"/>
      <c r="V692" s="28"/>
      <c r="W692" s="13"/>
      <c r="X692" s="28"/>
      <c r="Y692" s="13"/>
      <c r="Z692" s="28"/>
      <c r="AA692" s="13"/>
      <c r="AB692" s="28"/>
      <c r="AC692" s="13"/>
      <c r="AD692" s="28"/>
      <c r="AE692" s="13"/>
      <c r="AF692" s="28"/>
      <c r="AG692" s="13"/>
      <c r="AH692" s="28"/>
      <c r="AI692" s="13"/>
      <c r="AJ692" s="28"/>
      <c r="AK692" s="13"/>
      <c r="AL692" s="28"/>
      <c r="AM692" s="13"/>
      <c r="AN692" s="28"/>
      <c r="AO692" s="13"/>
      <c r="AP692" s="28"/>
      <c r="AQ692" s="13"/>
      <c r="AR692" s="28"/>
      <c r="AS692" s="19">
        <f>SUM(H692,J692,L692,N692,P692,R692,T692,V692,X692,Z692,AB692,AD692,AF692,AH692,AJ692,AL692,AN692)</f>
        <v>0</v>
      </c>
      <c r="AT692" s="29" t="str">
        <f>IF(C692="","",DATE(YEAR(C692),MONTH(C692),1))</f>
        <v/>
      </c>
      <c r="AU692" s="28" t="str">
        <f>IF(AT692="","",TEXT(AT692,"mmmm yyyy"))</f>
        <v/>
      </c>
      <c r="AV692" s="29" t="str">
        <f>IF(C692="","",C692-WEEKDAY(C692,2)+1)</f>
        <v/>
      </c>
      <c r="AW692" s="29" t="str">
        <f>IF(AV692="","",AV692+6)</f>
        <v/>
      </c>
      <c r="AX692" s="28" t="str">
        <f>IF(AV692="","",TEXT(AV692,"dd/mm/yyyy")&amp;" - "&amp;TEXT(AW692,"dd/mm/yyyy"))</f>
        <v/>
      </c>
      <c r="AY692" s="28" t="str">
        <f>IF(B692="","",COUNTIFS($B$5:B692,B692,$AT$5:AT692,AT692))</f>
        <v/>
      </c>
      <c r="AZ692" s="28" t="str">
        <f>IF(B692="","",COUNTIFS($B$5:B692,B692,$AV$5:AV692,AV692))</f>
        <v/>
      </c>
      <c r="BA692" s="28" t="str">
        <f>IF(B692="","",TEXT(AY692,"00")&amp;"|"&amp;B692&amp;"|"&amp;TEXT(AT692,"yyyymmdd"))</f>
        <v/>
      </c>
      <c r="BB692" s="28" t="str">
        <f>IF(B692="","",TEXT(AZ692,"00")&amp;"|"&amp;B692&amp;"|"&amp;TEXT(AV692,"yyyymmdd"))</f>
        <v/>
      </c>
      <c r="BC692" s="28">
        <f>IF(OR(AQ692="YES",AQ692="Yes",AQ692="Y",AQ692=1),1,0)</f>
        <v>0</v>
      </c>
    </row>
    <row r="693" spans="1:55" ht="15" customHeight="1">
      <c r="A693" s="27"/>
      <c r="B693" s="28"/>
      <c r="C693" s="29"/>
      <c r="D693" s="30"/>
      <c r="E693" s="30"/>
      <c r="F693" s="28"/>
      <c r="G693" s="28"/>
      <c r="H693" s="28"/>
      <c r="I693" s="13"/>
      <c r="J693" s="28"/>
      <c r="K693" s="13"/>
      <c r="L693" s="28"/>
      <c r="M693" s="13"/>
      <c r="N693" s="28"/>
      <c r="O693" s="13"/>
      <c r="P693" s="28"/>
      <c r="Q693" s="20"/>
      <c r="R693" s="28"/>
      <c r="S693" s="20"/>
      <c r="T693" s="28"/>
      <c r="U693" s="13"/>
      <c r="V693" s="28"/>
      <c r="W693" s="13"/>
      <c r="X693" s="28"/>
      <c r="Y693" s="13"/>
      <c r="Z693" s="28"/>
      <c r="AA693" s="13"/>
      <c r="AB693" s="28"/>
      <c r="AC693" s="13"/>
      <c r="AD693" s="28"/>
      <c r="AE693" s="13"/>
      <c r="AF693" s="28"/>
      <c r="AG693" s="13"/>
      <c r="AH693" s="28"/>
      <c r="AI693" s="13"/>
      <c r="AJ693" s="28"/>
      <c r="AK693" s="13"/>
      <c r="AL693" s="28"/>
      <c r="AM693" s="13"/>
      <c r="AN693" s="28"/>
      <c r="AO693" s="13"/>
      <c r="AP693" s="28"/>
      <c r="AQ693" s="13"/>
      <c r="AR693" s="28"/>
      <c r="AS693" s="19">
        <f>SUM(H693,J693,L693,N693,P693,R693,T693,V693,X693,Z693,AB693,AD693,AF693,AH693,AJ693,AL693,AN693)</f>
        <v>0</v>
      </c>
      <c r="AT693" s="29" t="str">
        <f>IF(C693="","",DATE(YEAR(C693),MONTH(C693),1))</f>
        <v/>
      </c>
      <c r="AU693" s="28" t="str">
        <f>IF(AT693="","",TEXT(AT693,"mmmm yyyy"))</f>
        <v/>
      </c>
      <c r="AV693" s="29" t="str">
        <f>IF(C693="","",C693-WEEKDAY(C693,2)+1)</f>
        <v/>
      </c>
      <c r="AW693" s="29" t="str">
        <f>IF(AV693="","",AV693+6)</f>
        <v/>
      </c>
      <c r="AX693" s="28" t="str">
        <f>IF(AV693="","",TEXT(AV693,"dd/mm/yyyy")&amp;" - "&amp;TEXT(AW693,"dd/mm/yyyy"))</f>
        <v/>
      </c>
      <c r="AY693" s="28" t="str">
        <f>IF(B693="","",COUNTIFS($B$5:B693,B693,$AT$5:AT693,AT693))</f>
        <v/>
      </c>
      <c r="AZ693" s="28" t="str">
        <f>IF(B693="","",COUNTIFS($B$5:B693,B693,$AV$5:AV693,AV693))</f>
        <v/>
      </c>
      <c r="BA693" s="28" t="str">
        <f>IF(B693="","",TEXT(AY693,"00")&amp;"|"&amp;B693&amp;"|"&amp;TEXT(AT693,"yyyymmdd"))</f>
        <v/>
      </c>
      <c r="BB693" s="28" t="str">
        <f>IF(B693="","",TEXT(AZ693,"00")&amp;"|"&amp;B693&amp;"|"&amp;TEXT(AV693,"yyyymmdd"))</f>
        <v/>
      </c>
      <c r="BC693" s="28">
        <f>IF(OR(AQ693="YES",AQ693="Yes",AQ693="Y",AQ693=1),1,0)</f>
        <v>0</v>
      </c>
    </row>
    <row r="694" spans="1:55" ht="15" customHeight="1">
      <c r="A694" s="27"/>
      <c r="B694" s="28"/>
      <c r="C694" s="29"/>
      <c r="D694" s="30"/>
      <c r="E694" s="30"/>
      <c r="F694" s="28"/>
      <c r="G694" s="28"/>
      <c r="H694" s="28"/>
      <c r="I694" s="13"/>
      <c r="J694" s="28"/>
      <c r="K694" s="13"/>
      <c r="L694" s="28"/>
      <c r="M694" s="13"/>
      <c r="N694" s="28"/>
      <c r="O694" s="13"/>
      <c r="P694" s="28"/>
      <c r="Q694" s="20"/>
      <c r="R694" s="28"/>
      <c r="S694" s="20"/>
      <c r="T694" s="28"/>
      <c r="U694" s="13"/>
      <c r="V694" s="28"/>
      <c r="W694" s="13"/>
      <c r="X694" s="28"/>
      <c r="Y694" s="13"/>
      <c r="Z694" s="28"/>
      <c r="AA694" s="13"/>
      <c r="AB694" s="28"/>
      <c r="AC694" s="13"/>
      <c r="AD694" s="28"/>
      <c r="AE694" s="13"/>
      <c r="AF694" s="28"/>
      <c r="AG694" s="13"/>
      <c r="AH694" s="28"/>
      <c r="AI694" s="13"/>
      <c r="AJ694" s="28"/>
      <c r="AK694" s="13"/>
      <c r="AL694" s="28"/>
      <c r="AM694" s="13"/>
      <c r="AN694" s="28"/>
      <c r="AO694" s="13"/>
      <c r="AP694" s="28"/>
      <c r="AQ694" s="13"/>
      <c r="AR694" s="28"/>
      <c r="AS694" s="19">
        <f>SUM(H694,J694,L694,N694,P694,R694,T694,V694,X694,Z694,AB694,AD694,AF694,AH694,AJ694,AL694,AN694)</f>
        <v>0</v>
      </c>
      <c r="AT694" s="29" t="str">
        <f>IF(C694="","",DATE(YEAR(C694),MONTH(C694),1))</f>
        <v/>
      </c>
      <c r="AU694" s="28" t="str">
        <f>IF(AT694="","",TEXT(AT694,"mmmm yyyy"))</f>
        <v/>
      </c>
      <c r="AV694" s="29" t="str">
        <f>IF(C694="","",C694-WEEKDAY(C694,2)+1)</f>
        <v/>
      </c>
      <c r="AW694" s="29" t="str">
        <f>IF(AV694="","",AV694+6)</f>
        <v/>
      </c>
      <c r="AX694" s="28" t="str">
        <f>IF(AV694="","",TEXT(AV694,"dd/mm/yyyy")&amp;" - "&amp;TEXT(AW694,"dd/mm/yyyy"))</f>
        <v/>
      </c>
      <c r="AY694" s="28" t="str">
        <f>IF(B694="","",COUNTIFS($B$5:B694,B694,$AT$5:AT694,AT694))</f>
        <v/>
      </c>
      <c r="AZ694" s="28" t="str">
        <f>IF(B694="","",COUNTIFS($B$5:B694,B694,$AV$5:AV694,AV694))</f>
        <v/>
      </c>
      <c r="BA694" s="28" t="str">
        <f>IF(B694="","",TEXT(AY694,"00")&amp;"|"&amp;B694&amp;"|"&amp;TEXT(AT694,"yyyymmdd"))</f>
        <v/>
      </c>
      <c r="BB694" s="28" t="str">
        <f>IF(B694="","",TEXT(AZ694,"00")&amp;"|"&amp;B694&amp;"|"&amp;TEXT(AV694,"yyyymmdd"))</f>
        <v/>
      </c>
      <c r="BC694" s="28">
        <f>IF(OR(AQ694="YES",AQ694="Yes",AQ694="Y",AQ694=1),1,0)</f>
        <v>0</v>
      </c>
    </row>
    <row r="695" spans="1:55" ht="15" customHeight="1">
      <c r="A695" s="27"/>
      <c r="B695" s="28"/>
      <c r="C695" s="29"/>
      <c r="D695" s="30"/>
      <c r="E695" s="30"/>
      <c r="F695" s="28"/>
      <c r="G695" s="28"/>
      <c r="H695" s="28"/>
      <c r="I695" s="13"/>
      <c r="J695" s="28"/>
      <c r="K695" s="13"/>
      <c r="L695" s="28"/>
      <c r="M695" s="13"/>
      <c r="N695" s="28"/>
      <c r="O695" s="13"/>
      <c r="P695" s="28"/>
      <c r="Q695" s="20"/>
      <c r="R695" s="28"/>
      <c r="S695" s="20"/>
      <c r="T695" s="28"/>
      <c r="U695" s="13"/>
      <c r="V695" s="28"/>
      <c r="W695" s="13"/>
      <c r="X695" s="28"/>
      <c r="Y695" s="13"/>
      <c r="Z695" s="28"/>
      <c r="AA695" s="13"/>
      <c r="AB695" s="28"/>
      <c r="AC695" s="13"/>
      <c r="AD695" s="28"/>
      <c r="AE695" s="13"/>
      <c r="AF695" s="28"/>
      <c r="AG695" s="13"/>
      <c r="AH695" s="28"/>
      <c r="AI695" s="13"/>
      <c r="AJ695" s="28"/>
      <c r="AK695" s="13"/>
      <c r="AL695" s="28"/>
      <c r="AM695" s="13"/>
      <c r="AN695" s="28"/>
      <c r="AO695" s="13"/>
      <c r="AP695" s="28"/>
      <c r="AQ695" s="13"/>
      <c r="AR695" s="28"/>
      <c r="AS695" s="19">
        <f>SUM(H695,J695,L695,N695,P695,R695,T695,V695,X695,Z695,AB695,AD695,AF695,AH695,AJ695,AL695,AN695)</f>
        <v>0</v>
      </c>
      <c r="AT695" s="29" t="str">
        <f>IF(C695="","",DATE(YEAR(C695),MONTH(C695),1))</f>
        <v/>
      </c>
      <c r="AU695" s="28" t="str">
        <f>IF(AT695="","",TEXT(AT695,"mmmm yyyy"))</f>
        <v/>
      </c>
      <c r="AV695" s="29" t="str">
        <f>IF(C695="","",C695-WEEKDAY(C695,2)+1)</f>
        <v/>
      </c>
      <c r="AW695" s="29" t="str">
        <f>IF(AV695="","",AV695+6)</f>
        <v/>
      </c>
      <c r="AX695" s="28" t="str">
        <f>IF(AV695="","",TEXT(AV695,"dd/mm/yyyy")&amp;" - "&amp;TEXT(AW695,"dd/mm/yyyy"))</f>
        <v/>
      </c>
      <c r="AY695" s="28" t="str">
        <f>IF(B695="","",COUNTIFS($B$5:B695,B695,$AT$5:AT695,AT695))</f>
        <v/>
      </c>
      <c r="AZ695" s="28" t="str">
        <f>IF(B695="","",COUNTIFS($B$5:B695,B695,$AV$5:AV695,AV695))</f>
        <v/>
      </c>
      <c r="BA695" s="28" t="str">
        <f>IF(B695="","",TEXT(AY695,"00")&amp;"|"&amp;B695&amp;"|"&amp;TEXT(AT695,"yyyymmdd"))</f>
        <v/>
      </c>
      <c r="BB695" s="28" t="str">
        <f>IF(B695="","",TEXT(AZ695,"00")&amp;"|"&amp;B695&amp;"|"&amp;TEXT(AV695,"yyyymmdd"))</f>
        <v/>
      </c>
      <c r="BC695" s="28">
        <f>IF(OR(AQ695="YES",AQ695="Yes",AQ695="Y",AQ695=1),1,0)</f>
        <v>0</v>
      </c>
    </row>
    <row r="696" spans="1:55" ht="15" customHeight="1">
      <c r="A696" s="27"/>
      <c r="B696" s="28"/>
      <c r="C696" s="29"/>
      <c r="D696" s="30"/>
      <c r="E696" s="30"/>
      <c r="F696" s="28"/>
      <c r="G696" s="28"/>
      <c r="H696" s="28"/>
      <c r="I696" s="13"/>
      <c r="J696" s="28"/>
      <c r="K696" s="13"/>
      <c r="L696" s="28"/>
      <c r="M696" s="13"/>
      <c r="N696" s="28"/>
      <c r="O696" s="13"/>
      <c r="P696" s="28"/>
      <c r="Q696" s="20"/>
      <c r="R696" s="28"/>
      <c r="S696" s="20"/>
      <c r="T696" s="28"/>
      <c r="U696" s="13"/>
      <c r="V696" s="28"/>
      <c r="W696" s="13"/>
      <c r="X696" s="28"/>
      <c r="Y696" s="13"/>
      <c r="Z696" s="28"/>
      <c r="AA696" s="13"/>
      <c r="AB696" s="28"/>
      <c r="AC696" s="13"/>
      <c r="AD696" s="28"/>
      <c r="AE696" s="13"/>
      <c r="AF696" s="28"/>
      <c r="AG696" s="13"/>
      <c r="AH696" s="28"/>
      <c r="AI696" s="13"/>
      <c r="AJ696" s="28"/>
      <c r="AK696" s="13"/>
      <c r="AL696" s="28"/>
      <c r="AM696" s="13"/>
      <c r="AN696" s="28"/>
      <c r="AO696" s="13"/>
      <c r="AP696" s="28"/>
      <c r="AQ696" s="13"/>
      <c r="AR696" s="28"/>
      <c r="AS696" s="19">
        <f>SUM(H696,J696,L696,N696,P696,R696,T696,V696,X696,Z696,AB696,AD696,AF696,AH696,AJ696,AL696,AN696)</f>
        <v>0</v>
      </c>
      <c r="AT696" s="29" t="str">
        <f>IF(C696="","",DATE(YEAR(C696),MONTH(C696),1))</f>
        <v/>
      </c>
      <c r="AU696" s="28" t="str">
        <f>IF(AT696="","",TEXT(AT696,"mmmm yyyy"))</f>
        <v/>
      </c>
      <c r="AV696" s="29" t="str">
        <f>IF(C696="","",C696-WEEKDAY(C696,2)+1)</f>
        <v/>
      </c>
      <c r="AW696" s="29" t="str">
        <f>IF(AV696="","",AV696+6)</f>
        <v/>
      </c>
      <c r="AX696" s="28" t="str">
        <f>IF(AV696="","",TEXT(AV696,"dd/mm/yyyy")&amp;" - "&amp;TEXT(AW696,"dd/mm/yyyy"))</f>
        <v/>
      </c>
      <c r="AY696" s="28" t="str">
        <f>IF(B696="","",COUNTIFS($B$5:B696,B696,$AT$5:AT696,AT696))</f>
        <v/>
      </c>
      <c r="AZ696" s="28" t="str">
        <f>IF(B696="","",COUNTIFS($B$5:B696,B696,$AV$5:AV696,AV696))</f>
        <v/>
      </c>
      <c r="BA696" s="28" t="str">
        <f>IF(B696="","",TEXT(AY696,"00")&amp;"|"&amp;B696&amp;"|"&amp;TEXT(AT696,"yyyymmdd"))</f>
        <v/>
      </c>
      <c r="BB696" s="28" t="str">
        <f>IF(B696="","",TEXT(AZ696,"00")&amp;"|"&amp;B696&amp;"|"&amp;TEXT(AV696,"yyyymmdd"))</f>
        <v/>
      </c>
      <c r="BC696" s="28">
        <f>IF(OR(AQ696="YES",AQ696="Yes",AQ696="Y",AQ696=1),1,0)</f>
        <v>0</v>
      </c>
    </row>
    <row r="697" spans="1:55" ht="15" customHeight="1">
      <c r="A697" s="27"/>
      <c r="B697" s="28"/>
      <c r="C697" s="29"/>
      <c r="D697" s="30"/>
      <c r="E697" s="30"/>
      <c r="F697" s="28"/>
      <c r="G697" s="28"/>
      <c r="H697" s="28"/>
      <c r="I697" s="13"/>
      <c r="J697" s="28"/>
      <c r="K697" s="13"/>
      <c r="L697" s="28"/>
      <c r="M697" s="13"/>
      <c r="N697" s="28"/>
      <c r="O697" s="13"/>
      <c r="P697" s="28"/>
      <c r="Q697" s="20"/>
      <c r="R697" s="28"/>
      <c r="S697" s="20"/>
      <c r="T697" s="28"/>
      <c r="U697" s="13"/>
      <c r="V697" s="28"/>
      <c r="W697" s="13"/>
      <c r="X697" s="28"/>
      <c r="Y697" s="13"/>
      <c r="Z697" s="28"/>
      <c r="AA697" s="13"/>
      <c r="AB697" s="28"/>
      <c r="AC697" s="13"/>
      <c r="AD697" s="28"/>
      <c r="AE697" s="13"/>
      <c r="AF697" s="28"/>
      <c r="AG697" s="13"/>
      <c r="AH697" s="28"/>
      <c r="AI697" s="13"/>
      <c r="AJ697" s="28"/>
      <c r="AK697" s="13"/>
      <c r="AL697" s="28"/>
      <c r="AM697" s="13"/>
      <c r="AN697" s="28"/>
      <c r="AO697" s="13"/>
      <c r="AP697" s="28"/>
      <c r="AQ697" s="13"/>
      <c r="AR697" s="28"/>
      <c r="AS697" s="19">
        <f>SUM(H697,J697,L697,N697,P697,R697,T697,V697,X697,Z697,AB697,AD697,AF697,AH697,AJ697,AL697,AN697)</f>
        <v>0</v>
      </c>
      <c r="AT697" s="29" t="str">
        <f>IF(C697="","",DATE(YEAR(C697),MONTH(C697),1))</f>
        <v/>
      </c>
      <c r="AU697" s="28" t="str">
        <f>IF(AT697="","",TEXT(AT697,"mmmm yyyy"))</f>
        <v/>
      </c>
      <c r="AV697" s="29" t="str">
        <f>IF(C697="","",C697-WEEKDAY(C697,2)+1)</f>
        <v/>
      </c>
      <c r="AW697" s="29" t="str">
        <f>IF(AV697="","",AV697+6)</f>
        <v/>
      </c>
      <c r="AX697" s="28" t="str">
        <f>IF(AV697="","",TEXT(AV697,"dd/mm/yyyy")&amp;" - "&amp;TEXT(AW697,"dd/mm/yyyy"))</f>
        <v/>
      </c>
      <c r="AY697" s="28" t="str">
        <f>IF(B697="","",COUNTIFS($B$5:B697,B697,$AT$5:AT697,AT697))</f>
        <v/>
      </c>
      <c r="AZ697" s="28" t="str">
        <f>IF(B697="","",COUNTIFS($B$5:B697,B697,$AV$5:AV697,AV697))</f>
        <v/>
      </c>
      <c r="BA697" s="28" t="str">
        <f>IF(B697="","",TEXT(AY697,"00")&amp;"|"&amp;B697&amp;"|"&amp;TEXT(AT697,"yyyymmdd"))</f>
        <v/>
      </c>
      <c r="BB697" s="28" t="str">
        <f>IF(B697="","",TEXT(AZ697,"00")&amp;"|"&amp;B697&amp;"|"&amp;TEXT(AV697,"yyyymmdd"))</f>
        <v/>
      </c>
      <c r="BC697" s="28">
        <f>IF(OR(AQ697="YES",AQ697="Yes",AQ697="Y",AQ697=1),1,0)</f>
        <v>0</v>
      </c>
    </row>
    <row r="698" spans="1:55" ht="15" customHeight="1">
      <c r="A698" s="27"/>
      <c r="B698" s="28"/>
      <c r="C698" s="29"/>
      <c r="D698" s="30"/>
      <c r="E698" s="30"/>
      <c r="F698" s="28"/>
      <c r="G698" s="28"/>
      <c r="H698" s="28"/>
      <c r="I698" s="13"/>
      <c r="J698" s="28"/>
      <c r="K698" s="13"/>
      <c r="L698" s="28"/>
      <c r="M698" s="13"/>
      <c r="N698" s="28"/>
      <c r="O698" s="13"/>
      <c r="P698" s="28"/>
      <c r="Q698" s="20"/>
      <c r="R698" s="28"/>
      <c r="S698" s="20"/>
      <c r="T698" s="28"/>
      <c r="U698" s="13"/>
      <c r="V698" s="28"/>
      <c r="W698" s="13"/>
      <c r="X698" s="28"/>
      <c r="Y698" s="13"/>
      <c r="Z698" s="28"/>
      <c r="AA698" s="13"/>
      <c r="AB698" s="28"/>
      <c r="AC698" s="13"/>
      <c r="AD698" s="28"/>
      <c r="AE698" s="13"/>
      <c r="AF698" s="28"/>
      <c r="AG698" s="13"/>
      <c r="AH698" s="28"/>
      <c r="AI698" s="13"/>
      <c r="AJ698" s="28"/>
      <c r="AK698" s="13"/>
      <c r="AL698" s="28"/>
      <c r="AM698" s="13"/>
      <c r="AN698" s="28"/>
      <c r="AO698" s="13"/>
      <c r="AP698" s="28"/>
      <c r="AQ698" s="13"/>
      <c r="AR698" s="28"/>
      <c r="AS698" s="19">
        <f>SUM(H698,J698,L698,N698,P698,R698,T698,V698,X698,Z698,AB698,AD698,AF698,AH698,AJ698,AL698,AN698)</f>
        <v>0</v>
      </c>
      <c r="AT698" s="29" t="str">
        <f>IF(C698="","",DATE(YEAR(C698),MONTH(C698),1))</f>
        <v/>
      </c>
      <c r="AU698" s="28" t="str">
        <f>IF(AT698="","",TEXT(AT698,"mmmm yyyy"))</f>
        <v/>
      </c>
      <c r="AV698" s="29" t="str">
        <f>IF(C698="","",C698-WEEKDAY(C698,2)+1)</f>
        <v/>
      </c>
      <c r="AW698" s="29" t="str">
        <f>IF(AV698="","",AV698+6)</f>
        <v/>
      </c>
      <c r="AX698" s="28" t="str">
        <f>IF(AV698="","",TEXT(AV698,"dd/mm/yyyy")&amp;" - "&amp;TEXT(AW698,"dd/mm/yyyy"))</f>
        <v/>
      </c>
      <c r="AY698" s="28" t="str">
        <f>IF(B698="","",COUNTIFS($B$5:B698,B698,$AT$5:AT698,AT698))</f>
        <v/>
      </c>
      <c r="AZ698" s="28" t="str">
        <f>IF(B698="","",COUNTIFS($B$5:B698,B698,$AV$5:AV698,AV698))</f>
        <v/>
      </c>
      <c r="BA698" s="28" t="str">
        <f>IF(B698="","",TEXT(AY698,"00")&amp;"|"&amp;B698&amp;"|"&amp;TEXT(AT698,"yyyymmdd"))</f>
        <v/>
      </c>
      <c r="BB698" s="28" t="str">
        <f>IF(B698="","",TEXT(AZ698,"00")&amp;"|"&amp;B698&amp;"|"&amp;TEXT(AV698,"yyyymmdd"))</f>
        <v/>
      </c>
      <c r="BC698" s="28">
        <f>IF(OR(AQ698="YES",AQ698="Yes",AQ698="Y",AQ698=1),1,0)</f>
        <v>0</v>
      </c>
    </row>
    <row r="699" spans="1:55" ht="15" customHeight="1">
      <c r="A699" s="27"/>
      <c r="B699" s="28"/>
      <c r="C699" s="29"/>
      <c r="D699" s="30"/>
      <c r="E699" s="30"/>
      <c r="F699" s="28"/>
      <c r="G699" s="28"/>
      <c r="H699" s="28"/>
      <c r="I699" s="13"/>
      <c r="J699" s="28"/>
      <c r="K699" s="13"/>
      <c r="L699" s="28"/>
      <c r="M699" s="13"/>
      <c r="N699" s="28"/>
      <c r="O699" s="13"/>
      <c r="P699" s="28"/>
      <c r="Q699" s="20"/>
      <c r="R699" s="28"/>
      <c r="S699" s="20"/>
      <c r="T699" s="28"/>
      <c r="U699" s="13"/>
      <c r="V699" s="28"/>
      <c r="W699" s="13"/>
      <c r="X699" s="28"/>
      <c r="Y699" s="13"/>
      <c r="Z699" s="28"/>
      <c r="AA699" s="13"/>
      <c r="AB699" s="28"/>
      <c r="AC699" s="13"/>
      <c r="AD699" s="28"/>
      <c r="AE699" s="13"/>
      <c r="AF699" s="28"/>
      <c r="AG699" s="13"/>
      <c r="AH699" s="28"/>
      <c r="AI699" s="13"/>
      <c r="AJ699" s="28"/>
      <c r="AK699" s="13"/>
      <c r="AL699" s="28"/>
      <c r="AM699" s="13"/>
      <c r="AN699" s="28"/>
      <c r="AO699" s="13"/>
      <c r="AP699" s="28"/>
      <c r="AQ699" s="13"/>
      <c r="AR699" s="28"/>
      <c r="AS699" s="19">
        <f>SUM(H699,J699,L699,N699,P699,R699,T699,V699,X699,Z699,AB699,AD699,AF699,AH699,AJ699,AL699,AN699)</f>
        <v>0</v>
      </c>
      <c r="AT699" s="29" t="str">
        <f>IF(C699="","",DATE(YEAR(C699),MONTH(C699),1))</f>
        <v/>
      </c>
      <c r="AU699" s="28" t="str">
        <f>IF(AT699="","",TEXT(AT699,"mmmm yyyy"))</f>
        <v/>
      </c>
      <c r="AV699" s="29" t="str">
        <f>IF(C699="","",C699-WEEKDAY(C699,2)+1)</f>
        <v/>
      </c>
      <c r="AW699" s="29" t="str">
        <f>IF(AV699="","",AV699+6)</f>
        <v/>
      </c>
      <c r="AX699" s="28" t="str">
        <f>IF(AV699="","",TEXT(AV699,"dd/mm/yyyy")&amp;" - "&amp;TEXT(AW699,"dd/mm/yyyy"))</f>
        <v/>
      </c>
      <c r="AY699" s="28" t="str">
        <f>IF(B699="","",COUNTIFS($B$5:B699,B699,$AT$5:AT699,AT699))</f>
        <v/>
      </c>
      <c r="AZ699" s="28" t="str">
        <f>IF(B699="","",COUNTIFS($B$5:B699,B699,$AV$5:AV699,AV699))</f>
        <v/>
      </c>
      <c r="BA699" s="28" t="str">
        <f>IF(B699="","",TEXT(AY699,"00")&amp;"|"&amp;B699&amp;"|"&amp;TEXT(AT699,"yyyymmdd"))</f>
        <v/>
      </c>
      <c r="BB699" s="28" t="str">
        <f>IF(B699="","",TEXT(AZ699,"00")&amp;"|"&amp;B699&amp;"|"&amp;TEXT(AV699,"yyyymmdd"))</f>
        <v/>
      </c>
      <c r="BC699" s="28">
        <f>IF(OR(AQ699="YES",AQ699="Yes",AQ699="Y",AQ699=1),1,0)</f>
        <v>0</v>
      </c>
    </row>
    <row r="700" spans="1:55" ht="15" customHeight="1">
      <c r="A700" s="27"/>
      <c r="B700" s="28"/>
      <c r="C700" s="29"/>
      <c r="D700" s="30"/>
      <c r="E700" s="30"/>
      <c r="F700" s="28"/>
      <c r="G700" s="28"/>
      <c r="H700" s="28"/>
      <c r="I700" s="13"/>
      <c r="J700" s="28"/>
      <c r="K700" s="13"/>
      <c r="L700" s="28"/>
      <c r="M700" s="13"/>
      <c r="N700" s="28"/>
      <c r="O700" s="13"/>
      <c r="P700" s="28"/>
      <c r="Q700" s="20"/>
      <c r="R700" s="28"/>
      <c r="S700" s="20"/>
      <c r="T700" s="28"/>
      <c r="U700" s="13"/>
      <c r="V700" s="28"/>
      <c r="W700" s="13"/>
      <c r="X700" s="28"/>
      <c r="Y700" s="13"/>
      <c r="Z700" s="28"/>
      <c r="AA700" s="13"/>
      <c r="AB700" s="28"/>
      <c r="AC700" s="13"/>
      <c r="AD700" s="28"/>
      <c r="AE700" s="13"/>
      <c r="AF700" s="28"/>
      <c r="AG700" s="13"/>
      <c r="AH700" s="28"/>
      <c r="AI700" s="13"/>
      <c r="AJ700" s="28"/>
      <c r="AK700" s="13"/>
      <c r="AL700" s="28"/>
      <c r="AM700" s="13"/>
      <c r="AN700" s="28"/>
      <c r="AO700" s="13"/>
      <c r="AP700" s="28"/>
      <c r="AQ700" s="13"/>
      <c r="AR700" s="28"/>
      <c r="AS700" s="19">
        <f>SUM(H700,J700,L700,N700,P700,R700,T700,V700,X700,Z700,AB700,AD700,AF700,AH700,AJ700,AL700,AN700)</f>
        <v>0</v>
      </c>
      <c r="AT700" s="29" t="str">
        <f>IF(C700="","",DATE(YEAR(C700),MONTH(C700),1))</f>
        <v/>
      </c>
      <c r="AU700" s="28" t="str">
        <f>IF(AT700="","",TEXT(AT700,"mmmm yyyy"))</f>
        <v/>
      </c>
      <c r="AV700" s="29" t="str">
        <f>IF(C700="","",C700-WEEKDAY(C700,2)+1)</f>
        <v/>
      </c>
      <c r="AW700" s="29" t="str">
        <f>IF(AV700="","",AV700+6)</f>
        <v/>
      </c>
      <c r="AX700" s="28" t="str">
        <f>IF(AV700="","",TEXT(AV700,"dd/mm/yyyy")&amp;" - "&amp;TEXT(AW700,"dd/mm/yyyy"))</f>
        <v/>
      </c>
      <c r="AY700" s="28" t="str">
        <f>IF(B700="","",COUNTIFS($B$5:B700,B700,$AT$5:AT700,AT700))</f>
        <v/>
      </c>
      <c r="AZ700" s="28" t="str">
        <f>IF(B700="","",COUNTIFS($B$5:B700,B700,$AV$5:AV700,AV700))</f>
        <v/>
      </c>
      <c r="BA700" s="28" t="str">
        <f>IF(B700="","",TEXT(AY700,"00")&amp;"|"&amp;B700&amp;"|"&amp;TEXT(AT700,"yyyymmdd"))</f>
        <v/>
      </c>
      <c r="BB700" s="28" t="str">
        <f>IF(B700="","",TEXT(AZ700,"00")&amp;"|"&amp;B700&amp;"|"&amp;TEXT(AV700,"yyyymmdd"))</f>
        <v/>
      </c>
      <c r="BC700" s="28">
        <f>IF(OR(AQ700="YES",AQ700="Yes",AQ700="Y",AQ700=1),1,0)</f>
        <v>0</v>
      </c>
    </row>
    <row r="701" spans="1:55" ht="15" customHeight="1">
      <c r="A701" s="27"/>
      <c r="B701" s="28"/>
      <c r="C701" s="29"/>
      <c r="D701" s="30"/>
      <c r="E701" s="30"/>
      <c r="F701" s="28"/>
      <c r="G701" s="28"/>
      <c r="H701" s="28"/>
      <c r="I701" s="13"/>
      <c r="J701" s="28"/>
      <c r="K701" s="13"/>
      <c r="L701" s="28"/>
      <c r="M701" s="13"/>
      <c r="N701" s="28"/>
      <c r="O701" s="13"/>
      <c r="P701" s="28"/>
      <c r="Q701" s="20"/>
      <c r="R701" s="28"/>
      <c r="S701" s="20"/>
      <c r="T701" s="28"/>
      <c r="U701" s="13"/>
      <c r="V701" s="28"/>
      <c r="W701" s="13"/>
      <c r="X701" s="28"/>
      <c r="Y701" s="13"/>
      <c r="Z701" s="28"/>
      <c r="AA701" s="13"/>
      <c r="AB701" s="28"/>
      <c r="AC701" s="13"/>
      <c r="AD701" s="28"/>
      <c r="AE701" s="13"/>
      <c r="AF701" s="28"/>
      <c r="AG701" s="13"/>
      <c r="AH701" s="28"/>
      <c r="AI701" s="13"/>
      <c r="AJ701" s="28"/>
      <c r="AK701" s="13"/>
      <c r="AL701" s="28"/>
      <c r="AM701" s="13"/>
      <c r="AN701" s="28"/>
      <c r="AO701" s="13"/>
      <c r="AP701" s="28"/>
      <c r="AQ701" s="13"/>
      <c r="AR701" s="28"/>
      <c r="AS701" s="19">
        <f>SUM(H701,J701,L701,N701,P701,R701,T701,V701,X701,Z701,AB701,AD701,AF701,AH701,AJ701,AL701,AN701)</f>
        <v>0</v>
      </c>
      <c r="AT701" s="29" t="str">
        <f>IF(C701="","",DATE(YEAR(C701),MONTH(C701),1))</f>
        <v/>
      </c>
      <c r="AU701" s="28" t="str">
        <f>IF(AT701="","",TEXT(AT701,"mmmm yyyy"))</f>
        <v/>
      </c>
      <c r="AV701" s="29" t="str">
        <f>IF(C701="","",C701-WEEKDAY(C701,2)+1)</f>
        <v/>
      </c>
      <c r="AW701" s="29" t="str">
        <f>IF(AV701="","",AV701+6)</f>
        <v/>
      </c>
      <c r="AX701" s="28" t="str">
        <f>IF(AV701="","",TEXT(AV701,"dd/mm/yyyy")&amp;" - "&amp;TEXT(AW701,"dd/mm/yyyy"))</f>
        <v/>
      </c>
      <c r="AY701" s="28" t="str">
        <f>IF(B701="","",COUNTIFS($B$5:B701,B701,$AT$5:AT701,AT701))</f>
        <v/>
      </c>
      <c r="AZ701" s="28" t="str">
        <f>IF(B701="","",COUNTIFS($B$5:B701,B701,$AV$5:AV701,AV701))</f>
        <v/>
      </c>
      <c r="BA701" s="28" t="str">
        <f>IF(B701="","",TEXT(AY701,"00")&amp;"|"&amp;B701&amp;"|"&amp;TEXT(AT701,"yyyymmdd"))</f>
        <v/>
      </c>
      <c r="BB701" s="28" t="str">
        <f>IF(B701="","",TEXT(AZ701,"00")&amp;"|"&amp;B701&amp;"|"&amp;TEXT(AV701,"yyyymmdd"))</f>
        <v/>
      </c>
      <c r="BC701" s="28">
        <f>IF(OR(AQ701="YES",AQ701="Yes",AQ701="Y",AQ701=1),1,0)</f>
        <v>0</v>
      </c>
    </row>
    <row r="702" spans="1:55" ht="15" customHeight="1">
      <c r="A702" s="27"/>
      <c r="B702" s="28"/>
      <c r="C702" s="29"/>
      <c r="D702" s="30"/>
      <c r="E702" s="30"/>
      <c r="F702" s="28"/>
      <c r="G702" s="28"/>
      <c r="H702" s="28"/>
      <c r="I702" s="13"/>
      <c r="J702" s="28"/>
      <c r="K702" s="13"/>
      <c r="L702" s="28"/>
      <c r="M702" s="13"/>
      <c r="N702" s="28"/>
      <c r="O702" s="13"/>
      <c r="P702" s="28"/>
      <c r="Q702" s="20"/>
      <c r="R702" s="28"/>
      <c r="S702" s="20"/>
      <c r="T702" s="28"/>
      <c r="U702" s="13"/>
      <c r="V702" s="28"/>
      <c r="W702" s="13"/>
      <c r="X702" s="28"/>
      <c r="Y702" s="13"/>
      <c r="Z702" s="28"/>
      <c r="AA702" s="13"/>
      <c r="AB702" s="28"/>
      <c r="AC702" s="13"/>
      <c r="AD702" s="28"/>
      <c r="AE702" s="13"/>
      <c r="AF702" s="28"/>
      <c r="AG702" s="13"/>
      <c r="AH702" s="28"/>
      <c r="AI702" s="13"/>
      <c r="AJ702" s="28"/>
      <c r="AK702" s="13"/>
      <c r="AL702" s="28"/>
      <c r="AM702" s="13"/>
      <c r="AN702" s="28"/>
      <c r="AO702" s="13"/>
      <c r="AP702" s="28"/>
      <c r="AQ702" s="13"/>
      <c r="AR702" s="28"/>
      <c r="AS702" s="19">
        <f>SUM(H702,J702,L702,N702,P702,R702,T702,V702,X702,Z702,AB702,AD702,AF702,AH702,AJ702,AL702,AN702)</f>
        <v>0</v>
      </c>
      <c r="AT702" s="29" t="str">
        <f>IF(C702="","",DATE(YEAR(C702),MONTH(C702),1))</f>
        <v/>
      </c>
      <c r="AU702" s="28" t="str">
        <f>IF(AT702="","",TEXT(AT702,"mmmm yyyy"))</f>
        <v/>
      </c>
      <c r="AV702" s="29" t="str">
        <f>IF(C702="","",C702-WEEKDAY(C702,2)+1)</f>
        <v/>
      </c>
      <c r="AW702" s="29" t="str">
        <f>IF(AV702="","",AV702+6)</f>
        <v/>
      </c>
      <c r="AX702" s="28" t="str">
        <f>IF(AV702="","",TEXT(AV702,"dd/mm/yyyy")&amp;" - "&amp;TEXT(AW702,"dd/mm/yyyy"))</f>
        <v/>
      </c>
      <c r="AY702" s="28" t="str">
        <f>IF(B702="","",COUNTIFS($B$5:B702,B702,$AT$5:AT702,AT702))</f>
        <v/>
      </c>
      <c r="AZ702" s="28" t="str">
        <f>IF(B702="","",COUNTIFS($B$5:B702,B702,$AV$5:AV702,AV702))</f>
        <v/>
      </c>
      <c r="BA702" s="28" t="str">
        <f>IF(B702="","",TEXT(AY702,"00")&amp;"|"&amp;B702&amp;"|"&amp;TEXT(AT702,"yyyymmdd"))</f>
        <v/>
      </c>
      <c r="BB702" s="28" t="str">
        <f>IF(B702="","",TEXT(AZ702,"00")&amp;"|"&amp;B702&amp;"|"&amp;TEXT(AV702,"yyyymmdd"))</f>
        <v/>
      </c>
      <c r="BC702" s="28">
        <f>IF(OR(AQ702="YES",AQ702="Yes",AQ702="Y",AQ702=1),1,0)</f>
        <v>0</v>
      </c>
    </row>
    <row r="703" spans="1:55" ht="15" customHeight="1">
      <c r="A703" s="27"/>
      <c r="B703" s="28"/>
      <c r="C703" s="29"/>
      <c r="D703" s="30"/>
      <c r="E703" s="30"/>
      <c r="F703" s="28"/>
      <c r="G703" s="28"/>
      <c r="H703" s="28"/>
      <c r="I703" s="13"/>
      <c r="J703" s="28"/>
      <c r="K703" s="13"/>
      <c r="L703" s="28"/>
      <c r="M703" s="13"/>
      <c r="N703" s="28"/>
      <c r="O703" s="13"/>
      <c r="P703" s="28"/>
      <c r="Q703" s="20"/>
      <c r="R703" s="28"/>
      <c r="S703" s="20"/>
      <c r="T703" s="28"/>
      <c r="U703" s="13"/>
      <c r="V703" s="28"/>
      <c r="W703" s="13"/>
      <c r="X703" s="28"/>
      <c r="Y703" s="13"/>
      <c r="Z703" s="28"/>
      <c r="AA703" s="13"/>
      <c r="AB703" s="28"/>
      <c r="AC703" s="13"/>
      <c r="AD703" s="28"/>
      <c r="AE703" s="13"/>
      <c r="AF703" s="28"/>
      <c r="AG703" s="13"/>
      <c r="AH703" s="28"/>
      <c r="AI703" s="13"/>
      <c r="AJ703" s="28"/>
      <c r="AK703" s="13"/>
      <c r="AL703" s="28"/>
      <c r="AM703" s="13"/>
      <c r="AN703" s="28"/>
      <c r="AO703" s="13"/>
      <c r="AP703" s="28"/>
      <c r="AQ703" s="13"/>
      <c r="AR703" s="28"/>
      <c r="AS703" s="19">
        <f>SUM(H703,J703,L703,N703,P703,R703,T703,V703,X703,Z703,AB703,AD703,AF703,AH703,AJ703,AL703,AN703)</f>
        <v>0</v>
      </c>
      <c r="AT703" s="29" t="str">
        <f>IF(C703="","",DATE(YEAR(C703),MONTH(C703),1))</f>
        <v/>
      </c>
      <c r="AU703" s="28" t="str">
        <f>IF(AT703="","",TEXT(AT703,"mmmm yyyy"))</f>
        <v/>
      </c>
      <c r="AV703" s="29" t="str">
        <f>IF(C703="","",C703-WEEKDAY(C703,2)+1)</f>
        <v/>
      </c>
      <c r="AW703" s="29" t="str">
        <f>IF(AV703="","",AV703+6)</f>
        <v/>
      </c>
      <c r="AX703" s="28" t="str">
        <f>IF(AV703="","",TEXT(AV703,"dd/mm/yyyy")&amp;" - "&amp;TEXT(AW703,"dd/mm/yyyy"))</f>
        <v/>
      </c>
      <c r="AY703" s="28" t="str">
        <f>IF(B703="","",COUNTIFS($B$5:B703,B703,$AT$5:AT703,AT703))</f>
        <v/>
      </c>
      <c r="AZ703" s="28" t="str">
        <f>IF(B703="","",COUNTIFS($B$5:B703,B703,$AV$5:AV703,AV703))</f>
        <v/>
      </c>
      <c r="BA703" s="28" t="str">
        <f>IF(B703="","",TEXT(AY703,"00")&amp;"|"&amp;B703&amp;"|"&amp;TEXT(AT703,"yyyymmdd"))</f>
        <v/>
      </c>
      <c r="BB703" s="28" t="str">
        <f>IF(B703="","",TEXT(AZ703,"00")&amp;"|"&amp;B703&amp;"|"&amp;TEXT(AV703,"yyyymmdd"))</f>
        <v/>
      </c>
      <c r="BC703" s="28">
        <f>IF(OR(AQ703="YES",AQ703="Yes",AQ703="Y",AQ703=1),1,0)</f>
        <v>0</v>
      </c>
    </row>
    <row r="704" spans="1:55" ht="15" customHeight="1">
      <c r="A704" s="27"/>
      <c r="B704" s="28"/>
      <c r="C704" s="29"/>
      <c r="D704" s="30"/>
      <c r="E704" s="30"/>
      <c r="F704" s="28"/>
      <c r="G704" s="28"/>
      <c r="H704" s="28"/>
      <c r="I704" s="13"/>
      <c r="J704" s="28"/>
      <c r="K704" s="13"/>
      <c r="L704" s="28"/>
      <c r="M704" s="13"/>
      <c r="N704" s="28"/>
      <c r="O704" s="13"/>
      <c r="P704" s="28"/>
      <c r="Q704" s="20"/>
      <c r="R704" s="28"/>
      <c r="S704" s="20"/>
      <c r="T704" s="28"/>
      <c r="U704" s="13"/>
      <c r="V704" s="28"/>
      <c r="W704" s="13"/>
      <c r="X704" s="28"/>
      <c r="Y704" s="13"/>
      <c r="Z704" s="28"/>
      <c r="AA704" s="13"/>
      <c r="AB704" s="28"/>
      <c r="AC704" s="13"/>
      <c r="AD704" s="28"/>
      <c r="AE704" s="13"/>
      <c r="AF704" s="28"/>
      <c r="AG704" s="13"/>
      <c r="AH704" s="28"/>
      <c r="AI704" s="13"/>
      <c r="AJ704" s="28"/>
      <c r="AK704" s="13"/>
      <c r="AL704" s="28"/>
      <c r="AM704" s="13"/>
      <c r="AN704" s="28"/>
      <c r="AO704" s="13"/>
      <c r="AP704" s="28"/>
      <c r="AQ704" s="13"/>
      <c r="AR704" s="28"/>
      <c r="AS704" s="19">
        <f>SUM(H704,J704,L704,N704,P704,R704,T704,V704,X704,Z704,AB704,AD704,AF704,AH704,AJ704,AL704,AN704)</f>
        <v>0</v>
      </c>
      <c r="AT704" s="29" t="str">
        <f>IF(C704="","",DATE(YEAR(C704),MONTH(C704),1))</f>
        <v/>
      </c>
      <c r="AU704" s="28" t="str">
        <f>IF(AT704="","",TEXT(AT704,"mmmm yyyy"))</f>
        <v/>
      </c>
      <c r="AV704" s="29" t="str">
        <f>IF(C704="","",C704-WEEKDAY(C704,2)+1)</f>
        <v/>
      </c>
      <c r="AW704" s="29" t="str">
        <f>IF(AV704="","",AV704+6)</f>
        <v/>
      </c>
      <c r="AX704" s="28" t="str">
        <f>IF(AV704="","",TEXT(AV704,"dd/mm/yyyy")&amp;" - "&amp;TEXT(AW704,"dd/mm/yyyy"))</f>
        <v/>
      </c>
      <c r="AY704" s="28" t="str">
        <f>IF(B704="","",COUNTIFS($B$5:B704,B704,$AT$5:AT704,AT704))</f>
        <v/>
      </c>
      <c r="AZ704" s="28" t="str">
        <f>IF(B704="","",COUNTIFS($B$5:B704,B704,$AV$5:AV704,AV704))</f>
        <v/>
      </c>
      <c r="BA704" s="28" t="str">
        <f>IF(B704="","",TEXT(AY704,"00")&amp;"|"&amp;B704&amp;"|"&amp;TEXT(AT704,"yyyymmdd"))</f>
        <v/>
      </c>
      <c r="BB704" s="28" t="str">
        <f>IF(B704="","",TEXT(AZ704,"00")&amp;"|"&amp;B704&amp;"|"&amp;TEXT(AV704,"yyyymmdd"))</f>
        <v/>
      </c>
      <c r="BC704" s="28">
        <f>IF(OR(AQ704="YES",AQ704="Yes",AQ704="Y",AQ704=1),1,0)</f>
        <v>0</v>
      </c>
    </row>
    <row r="705" spans="1:55" ht="15" customHeight="1">
      <c r="A705" s="27"/>
      <c r="B705" s="28"/>
      <c r="C705" s="29"/>
      <c r="D705" s="30"/>
      <c r="E705" s="30"/>
      <c r="F705" s="28"/>
      <c r="G705" s="28"/>
      <c r="H705" s="28"/>
      <c r="I705" s="13"/>
      <c r="J705" s="28"/>
      <c r="K705" s="13"/>
      <c r="L705" s="28"/>
      <c r="M705" s="13"/>
      <c r="N705" s="28"/>
      <c r="O705" s="13"/>
      <c r="P705" s="28"/>
      <c r="Q705" s="20"/>
      <c r="R705" s="28"/>
      <c r="S705" s="20"/>
      <c r="T705" s="28"/>
      <c r="U705" s="13"/>
      <c r="V705" s="28"/>
      <c r="W705" s="13"/>
      <c r="X705" s="28"/>
      <c r="Y705" s="13"/>
      <c r="Z705" s="28"/>
      <c r="AA705" s="13"/>
      <c r="AB705" s="28"/>
      <c r="AC705" s="13"/>
      <c r="AD705" s="28"/>
      <c r="AE705" s="13"/>
      <c r="AF705" s="28"/>
      <c r="AG705" s="13"/>
      <c r="AH705" s="28"/>
      <c r="AI705" s="13"/>
      <c r="AJ705" s="28"/>
      <c r="AK705" s="13"/>
      <c r="AL705" s="28"/>
      <c r="AM705" s="13"/>
      <c r="AN705" s="28"/>
      <c r="AO705" s="13"/>
      <c r="AP705" s="28"/>
      <c r="AQ705" s="13"/>
      <c r="AR705" s="28"/>
      <c r="AS705" s="19">
        <f>SUM(H705,J705,L705,N705,P705,R705,T705,V705,X705,Z705,AB705,AD705,AF705,AH705,AJ705,AL705,AN705)</f>
        <v>0</v>
      </c>
      <c r="AT705" s="29" t="str">
        <f>IF(C705="","",DATE(YEAR(C705),MONTH(C705),1))</f>
        <v/>
      </c>
      <c r="AU705" s="28" t="str">
        <f>IF(AT705="","",TEXT(AT705,"mmmm yyyy"))</f>
        <v/>
      </c>
      <c r="AV705" s="29" t="str">
        <f>IF(C705="","",C705-WEEKDAY(C705,2)+1)</f>
        <v/>
      </c>
      <c r="AW705" s="29" t="str">
        <f>IF(AV705="","",AV705+6)</f>
        <v/>
      </c>
      <c r="AX705" s="28" t="str">
        <f>IF(AV705="","",TEXT(AV705,"dd/mm/yyyy")&amp;" - "&amp;TEXT(AW705,"dd/mm/yyyy"))</f>
        <v/>
      </c>
      <c r="AY705" s="28" t="str">
        <f>IF(B705="","",COUNTIFS($B$5:B705,B705,$AT$5:AT705,AT705))</f>
        <v/>
      </c>
      <c r="AZ705" s="28" t="str">
        <f>IF(B705="","",COUNTIFS($B$5:B705,B705,$AV$5:AV705,AV705))</f>
        <v/>
      </c>
      <c r="BA705" s="28" t="str">
        <f>IF(B705="","",TEXT(AY705,"00")&amp;"|"&amp;B705&amp;"|"&amp;TEXT(AT705,"yyyymmdd"))</f>
        <v/>
      </c>
      <c r="BB705" s="28" t="str">
        <f>IF(B705="","",TEXT(AZ705,"00")&amp;"|"&amp;B705&amp;"|"&amp;TEXT(AV705,"yyyymmdd"))</f>
        <v/>
      </c>
      <c r="BC705" s="28">
        <f>IF(OR(AQ705="YES",AQ705="Yes",AQ705="Y",AQ705=1),1,0)</f>
        <v>0</v>
      </c>
    </row>
    <row r="706" spans="1:55" ht="15" customHeight="1">
      <c r="A706" s="27"/>
      <c r="B706" s="28"/>
      <c r="C706" s="29"/>
      <c r="D706" s="30"/>
      <c r="E706" s="30"/>
      <c r="F706" s="28"/>
      <c r="G706" s="28"/>
      <c r="H706" s="28"/>
      <c r="I706" s="13"/>
      <c r="J706" s="28"/>
      <c r="K706" s="13"/>
      <c r="L706" s="28"/>
      <c r="M706" s="13"/>
      <c r="N706" s="28"/>
      <c r="O706" s="13"/>
      <c r="P706" s="28"/>
      <c r="Q706" s="20"/>
      <c r="R706" s="28"/>
      <c r="S706" s="20"/>
      <c r="T706" s="28"/>
      <c r="U706" s="13"/>
      <c r="V706" s="28"/>
      <c r="W706" s="13"/>
      <c r="X706" s="28"/>
      <c r="Y706" s="13"/>
      <c r="Z706" s="28"/>
      <c r="AA706" s="13"/>
      <c r="AB706" s="28"/>
      <c r="AC706" s="13"/>
      <c r="AD706" s="28"/>
      <c r="AE706" s="13"/>
      <c r="AF706" s="28"/>
      <c r="AG706" s="13"/>
      <c r="AH706" s="28"/>
      <c r="AI706" s="13"/>
      <c r="AJ706" s="28"/>
      <c r="AK706" s="13"/>
      <c r="AL706" s="28"/>
      <c r="AM706" s="13"/>
      <c r="AN706" s="28"/>
      <c r="AO706" s="13"/>
      <c r="AP706" s="28"/>
      <c r="AQ706" s="13"/>
      <c r="AR706" s="28"/>
      <c r="AS706" s="19">
        <f>SUM(H706,J706,L706,N706,P706,R706,T706,V706,X706,Z706,AB706,AD706,AF706,AH706,AJ706,AL706,AN706)</f>
        <v>0</v>
      </c>
      <c r="AT706" s="29" t="str">
        <f>IF(C706="","",DATE(YEAR(C706),MONTH(C706),1))</f>
        <v/>
      </c>
      <c r="AU706" s="28" t="str">
        <f>IF(AT706="","",TEXT(AT706,"mmmm yyyy"))</f>
        <v/>
      </c>
      <c r="AV706" s="29" t="str">
        <f>IF(C706="","",C706-WEEKDAY(C706,2)+1)</f>
        <v/>
      </c>
      <c r="AW706" s="29" t="str">
        <f>IF(AV706="","",AV706+6)</f>
        <v/>
      </c>
      <c r="AX706" s="28" t="str">
        <f>IF(AV706="","",TEXT(AV706,"dd/mm/yyyy")&amp;" - "&amp;TEXT(AW706,"dd/mm/yyyy"))</f>
        <v/>
      </c>
      <c r="AY706" s="28" t="str">
        <f>IF(B706="","",COUNTIFS($B$5:B706,B706,$AT$5:AT706,AT706))</f>
        <v/>
      </c>
      <c r="AZ706" s="28" t="str">
        <f>IF(B706="","",COUNTIFS($B$5:B706,B706,$AV$5:AV706,AV706))</f>
        <v/>
      </c>
      <c r="BA706" s="28" t="str">
        <f>IF(B706="","",TEXT(AY706,"00")&amp;"|"&amp;B706&amp;"|"&amp;TEXT(AT706,"yyyymmdd"))</f>
        <v/>
      </c>
      <c r="BB706" s="28" t="str">
        <f>IF(B706="","",TEXT(AZ706,"00")&amp;"|"&amp;B706&amp;"|"&amp;TEXT(AV706,"yyyymmdd"))</f>
        <v/>
      </c>
      <c r="BC706" s="28">
        <f>IF(OR(AQ706="YES",AQ706="Yes",AQ706="Y",AQ706=1),1,0)</f>
        <v>0</v>
      </c>
    </row>
    <row r="707" spans="1:55" ht="15" customHeight="1">
      <c r="A707" s="27"/>
      <c r="B707" s="28"/>
      <c r="C707" s="29"/>
      <c r="D707" s="30"/>
      <c r="E707" s="30"/>
      <c r="F707" s="28"/>
      <c r="G707" s="28"/>
      <c r="H707" s="28"/>
      <c r="I707" s="13"/>
      <c r="J707" s="28"/>
      <c r="K707" s="13"/>
      <c r="L707" s="28"/>
      <c r="M707" s="13"/>
      <c r="N707" s="28"/>
      <c r="O707" s="13"/>
      <c r="P707" s="28"/>
      <c r="Q707" s="20"/>
      <c r="R707" s="28"/>
      <c r="S707" s="20"/>
      <c r="T707" s="28"/>
      <c r="U707" s="13"/>
      <c r="V707" s="28"/>
      <c r="W707" s="13"/>
      <c r="X707" s="28"/>
      <c r="Y707" s="13"/>
      <c r="Z707" s="28"/>
      <c r="AA707" s="13"/>
      <c r="AB707" s="28"/>
      <c r="AC707" s="13"/>
      <c r="AD707" s="28"/>
      <c r="AE707" s="13"/>
      <c r="AF707" s="28"/>
      <c r="AG707" s="13"/>
      <c r="AH707" s="28"/>
      <c r="AI707" s="13"/>
      <c r="AJ707" s="28"/>
      <c r="AK707" s="13"/>
      <c r="AL707" s="28"/>
      <c r="AM707" s="13"/>
      <c r="AN707" s="28"/>
      <c r="AO707" s="13"/>
      <c r="AP707" s="28"/>
      <c r="AQ707" s="13"/>
      <c r="AR707" s="28"/>
      <c r="AS707" s="19">
        <f>SUM(H707,J707,L707,N707,P707,R707,T707,V707,X707,Z707,AB707,AD707,AF707,AH707,AJ707,AL707,AN707)</f>
        <v>0</v>
      </c>
      <c r="AT707" s="29" t="str">
        <f>IF(C707="","",DATE(YEAR(C707),MONTH(C707),1))</f>
        <v/>
      </c>
      <c r="AU707" s="28" t="str">
        <f>IF(AT707="","",TEXT(AT707,"mmmm yyyy"))</f>
        <v/>
      </c>
      <c r="AV707" s="29" t="str">
        <f>IF(C707="","",C707-WEEKDAY(C707,2)+1)</f>
        <v/>
      </c>
      <c r="AW707" s="29" t="str">
        <f>IF(AV707="","",AV707+6)</f>
        <v/>
      </c>
      <c r="AX707" s="28" t="str">
        <f>IF(AV707="","",TEXT(AV707,"dd/mm/yyyy")&amp;" - "&amp;TEXT(AW707,"dd/mm/yyyy"))</f>
        <v/>
      </c>
      <c r="AY707" s="28" t="str">
        <f>IF(B707="","",COUNTIFS($B$5:B707,B707,$AT$5:AT707,AT707))</f>
        <v/>
      </c>
      <c r="AZ707" s="28" t="str">
        <f>IF(B707="","",COUNTIFS($B$5:B707,B707,$AV$5:AV707,AV707))</f>
        <v/>
      </c>
      <c r="BA707" s="28" t="str">
        <f>IF(B707="","",TEXT(AY707,"00")&amp;"|"&amp;B707&amp;"|"&amp;TEXT(AT707,"yyyymmdd"))</f>
        <v/>
      </c>
      <c r="BB707" s="28" t="str">
        <f>IF(B707="","",TEXT(AZ707,"00")&amp;"|"&amp;B707&amp;"|"&amp;TEXT(AV707,"yyyymmdd"))</f>
        <v/>
      </c>
      <c r="BC707" s="28">
        <f>IF(OR(AQ707="YES",AQ707="Yes",AQ707="Y",AQ707=1),1,0)</f>
        <v>0</v>
      </c>
    </row>
    <row r="708" spans="1:55" ht="15" customHeight="1">
      <c r="A708" s="27"/>
      <c r="B708" s="28"/>
      <c r="C708" s="29"/>
      <c r="D708" s="30"/>
      <c r="E708" s="30"/>
      <c r="F708" s="28"/>
      <c r="G708" s="28"/>
      <c r="H708" s="28"/>
      <c r="I708" s="13"/>
      <c r="J708" s="28"/>
      <c r="K708" s="13"/>
      <c r="L708" s="28"/>
      <c r="M708" s="13"/>
      <c r="N708" s="28"/>
      <c r="O708" s="13"/>
      <c r="P708" s="28"/>
      <c r="Q708" s="20"/>
      <c r="R708" s="28"/>
      <c r="S708" s="20"/>
      <c r="T708" s="28"/>
      <c r="U708" s="13"/>
      <c r="V708" s="28"/>
      <c r="W708" s="13"/>
      <c r="X708" s="28"/>
      <c r="Y708" s="13"/>
      <c r="Z708" s="28"/>
      <c r="AA708" s="13"/>
      <c r="AB708" s="28"/>
      <c r="AC708" s="13"/>
      <c r="AD708" s="28"/>
      <c r="AE708" s="13"/>
      <c r="AF708" s="28"/>
      <c r="AG708" s="13"/>
      <c r="AH708" s="28"/>
      <c r="AI708" s="13"/>
      <c r="AJ708" s="28"/>
      <c r="AK708" s="13"/>
      <c r="AL708" s="28"/>
      <c r="AM708" s="13"/>
      <c r="AN708" s="28"/>
      <c r="AO708" s="13"/>
      <c r="AP708" s="28"/>
      <c r="AQ708" s="13"/>
      <c r="AR708" s="28"/>
      <c r="AS708" s="19">
        <f>SUM(H708,J708,L708,N708,P708,R708,T708,V708,X708,Z708,AB708,AD708,AF708,AH708,AJ708,AL708,AN708)</f>
        <v>0</v>
      </c>
      <c r="AT708" s="29" t="str">
        <f>IF(C708="","",DATE(YEAR(C708),MONTH(C708),1))</f>
        <v/>
      </c>
      <c r="AU708" s="28" t="str">
        <f>IF(AT708="","",TEXT(AT708,"mmmm yyyy"))</f>
        <v/>
      </c>
      <c r="AV708" s="29" t="str">
        <f>IF(C708="","",C708-WEEKDAY(C708,2)+1)</f>
        <v/>
      </c>
      <c r="AW708" s="29" t="str">
        <f>IF(AV708="","",AV708+6)</f>
        <v/>
      </c>
      <c r="AX708" s="28" t="str">
        <f>IF(AV708="","",TEXT(AV708,"dd/mm/yyyy")&amp;" - "&amp;TEXT(AW708,"dd/mm/yyyy"))</f>
        <v/>
      </c>
      <c r="AY708" s="28" t="str">
        <f>IF(B708="","",COUNTIFS($B$5:B708,B708,$AT$5:AT708,AT708))</f>
        <v/>
      </c>
      <c r="AZ708" s="28" t="str">
        <f>IF(B708="","",COUNTIFS($B$5:B708,B708,$AV$5:AV708,AV708))</f>
        <v/>
      </c>
      <c r="BA708" s="28" t="str">
        <f>IF(B708="","",TEXT(AY708,"00")&amp;"|"&amp;B708&amp;"|"&amp;TEXT(AT708,"yyyymmdd"))</f>
        <v/>
      </c>
      <c r="BB708" s="28" t="str">
        <f>IF(B708="","",TEXT(AZ708,"00")&amp;"|"&amp;B708&amp;"|"&amp;TEXT(AV708,"yyyymmdd"))</f>
        <v/>
      </c>
      <c r="BC708" s="28">
        <f>IF(OR(AQ708="YES",AQ708="Yes",AQ708="Y",AQ708=1),1,0)</f>
        <v>0</v>
      </c>
    </row>
    <row r="709" spans="1:55" ht="15" customHeight="1">
      <c r="A709" s="27"/>
      <c r="B709" s="28"/>
      <c r="C709" s="29"/>
      <c r="D709" s="30"/>
      <c r="E709" s="30"/>
      <c r="F709" s="28"/>
      <c r="G709" s="28"/>
      <c r="H709" s="28"/>
      <c r="I709" s="13"/>
      <c r="J709" s="28"/>
      <c r="K709" s="13"/>
      <c r="L709" s="28"/>
      <c r="M709" s="13"/>
      <c r="N709" s="28"/>
      <c r="O709" s="13"/>
      <c r="P709" s="28"/>
      <c r="Q709" s="20"/>
      <c r="R709" s="28"/>
      <c r="S709" s="20"/>
      <c r="T709" s="28"/>
      <c r="U709" s="13"/>
      <c r="V709" s="28"/>
      <c r="W709" s="13"/>
      <c r="X709" s="28"/>
      <c r="Y709" s="13"/>
      <c r="Z709" s="28"/>
      <c r="AA709" s="13"/>
      <c r="AB709" s="28"/>
      <c r="AC709" s="13"/>
      <c r="AD709" s="28"/>
      <c r="AE709" s="13"/>
      <c r="AF709" s="28"/>
      <c r="AG709" s="13"/>
      <c r="AH709" s="28"/>
      <c r="AI709" s="13"/>
      <c r="AJ709" s="28"/>
      <c r="AK709" s="13"/>
      <c r="AL709" s="28"/>
      <c r="AM709" s="13"/>
      <c r="AN709" s="28"/>
      <c r="AO709" s="13"/>
      <c r="AP709" s="28"/>
      <c r="AQ709" s="13"/>
      <c r="AR709" s="28"/>
      <c r="AS709" s="19">
        <f>SUM(H709,J709,L709,N709,P709,R709,T709,V709,X709,Z709,AB709,AD709,AF709,AH709,AJ709,AL709,AN709)</f>
        <v>0</v>
      </c>
      <c r="AT709" s="29" t="str">
        <f>IF(C709="","",DATE(YEAR(C709),MONTH(C709),1))</f>
        <v/>
      </c>
      <c r="AU709" s="28" t="str">
        <f>IF(AT709="","",TEXT(AT709,"mmmm yyyy"))</f>
        <v/>
      </c>
      <c r="AV709" s="29" t="str">
        <f>IF(C709="","",C709-WEEKDAY(C709,2)+1)</f>
        <v/>
      </c>
      <c r="AW709" s="29" t="str">
        <f>IF(AV709="","",AV709+6)</f>
        <v/>
      </c>
      <c r="AX709" s="28" t="str">
        <f>IF(AV709="","",TEXT(AV709,"dd/mm/yyyy")&amp;" - "&amp;TEXT(AW709,"dd/mm/yyyy"))</f>
        <v/>
      </c>
      <c r="AY709" s="28" t="str">
        <f>IF(B709="","",COUNTIFS($B$5:B709,B709,$AT$5:AT709,AT709))</f>
        <v/>
      </c>
      <c r="AZ709" s="28" t="str">
        <f>IF(B709="","",COUNTIFS($B$5:B709,B709,$AV$5:AV709,AV709))</f>
        <v/>
      </c>
      <c r="BA709" s="28" t="str">
        <f>IF(B709="","",TEXT(AY709,"00")&amp;"|"&amp;B709&amp;"|"&amp;TEXT(AT709,"yyyymmdd"))</f>
        <v/>
      </c>
      <c r="BB709" s="28" t="str">
        <f>IF(B709="","",TEXT(AZ709,"00")&amp;"|"&amp;B709&amp;"|"&amp;TEXT(AV709,"yyyymmdd"))</f>
        <v/>
      </c>
      <c r="BC709" s="28">
        <f>IF(OR(AQ709="YES",AQ709="Yes",AQ709="Y",AQ709=1),1,0)</f>
        <v>0</v>
      </c>
    </row>
    <row r="710" spans="1:55" ht="15" customHeight="1">
      <c r="A710" s="27"/>
      <c r="B710" s="28"/>
      <c r="C710" s="29"/>
      <c r="D710" s="30"/>
      <c r="E710" s="30"/>
      <c r="F710" s="28"/>
      <c r="G710" s="28"/>
      <c r="H710" s="28"/>
      <c r="I710" s="13"/>
      <c r="J710" s="28"/>
      <c r="K710" s="13"/>
      <c r="L710" s="28"/>
      <c r="M710" s="13"/>
      <c r="N710" s="28"/>
      <c r="O710" s="13"/>
      <c r="P710" s="28"/>
      <c r="Q710" s="20"/>
      <c r="R710" s="28"/>
      <c r="S710" s="20"/>
      <c r="T710" s="28"/>
      <c r="U710" s="13"/>
      <c r="V710" s="28"/>
      <c r="W710" s="13"/>
      <c r="X710" s="28"/>
      <c r="Y710" s="13"/>
      <c r="Z710" s="28"/>
      <c r="AA710" s="13"/>
      <c r="AB710" s="28"/>
      <c r="AC710" s="13"/>
      <c r="AD710" s="28"/>
      <c r="AE710" s="13"/>
      <c r="AF710" s="28"/>
      <c r="AG710" s="13"/>
      <c r="AH710" s="28"/>
      <c r="AI710" s="13"/>
      <c r="AJ710" s="28"/>
      <c r="AK710" s="13"/>
      <c r="AL710" s="28"/>
      <c r="AM710" s="13"/>
      <c r="AN710" s="28"/>
      <c r="AO710" s="13"/>
      <c r="AP710" s="28"/>
      <c r="AQ710" s="13"/>
      <c r="AR710" s="28"/>
      <c r="AS710" s="19">
        <f>SUM(H710,J710,L710,N710,P710,R710,T710,V710,X710,Z710,AB710,AD710,AF710,AH710,AJ710,AL710,AN710)</f>
        <v>0</v>
      </c>
      <c r="AT710" s="29" t="str">
        <f>IF(C710="","",DATE(YEAR(C710),MONTH(C710),1))</f>
        <v/>
      </c>
      <c r="AU710" s="28" t="str">
        <f>IF(AT710="","",TEXT(AT710,"mmmm yyyy"))</f>
        <v/>
      </c>
      <c r="AV710" s="29" t="str">
        <f>IF(C710="","",C710-WEEKDAY(C710,2)+1)</f>
        <v/>
      </c>
      <c r="AW710" s="29" t="str">
        <f>IF(AV710="","",AV710+6)</f>
        <v/>
      </c>
      <c r="AX710" s="28" t="str">
        <f>IF(AV710="","",TEXT(AV710,"dd/mm/yyyy")&amp;" - "&amp;TEXT(AW710,"dd/mm/yyyy"))</f>
        <v/>
      </c>
      <c r="AY710" s="28" t="str">
        <f>IF(B710="","",COUNTIFS($B$5:B710,B710,$AT$5:AT710,AT710))</f>
        <v/>
      </c>
      <c r="AZ710" s="28" t="str">
        <f>IF(B710="","",COUNTIFS($B$5:B710,B710,$AV$5:AV710,AV710))</f>
        <v/>
      </c>
      <c r="BA710" s="28" t="str">
        <f>IF(B710="","",TEXT(AY710,"00")&amp;"|"&amp;B710&amp;"|"&amp;TEXT(AT710,"yyyymmdd"))</f>
        <v/>
      </c>
      <c r="BB710" s="28" t="str">
        <f>IF(B710="","",TEXT(AZ710,"00")&amp;"|"&amp;B710&amp;"|"&amp;TEXT(AV710,"yyyymmdd"))</f>
        <v/>
      </c>
      <c r="BC710" s="28">
        <f>IF(OR(AQ710="YES",AQ710="Yes",AQ710="Y",AQ710=1),1,0)</f>
        <v>0</v>
      </c>
    </row>
    <row r="711" spans="1:55" ht="15" customHeight="1">
      <c r="A711" s="27"/>
      <c r="B711" s="28"/>
      <c r="C711" s="29"/>
      <c r="D711" s="30"/>
      <c r="E711" s="30"/>
      <c r="F711" s="28"/>
      <c r="G711" s="28"/>
      <c r="H711" s="28"/>
      <c r="I711" s="13"/>
      <c r="J711" s="28"/>
      <c r="K711" s="13"/>
      <c r="L711" s="28"/>
      <c r="M711" s="13"/>
      <c r="N711" s="28"/>
      <c r="O711" s="13"/>
      <c r="P711" s="28"/>
      <c r="Q711" s="20"/>
      <c r="R711" s="28"/>
      <c r="S711" s="20"/>
      <c r="T711" s="28"/>
      <c r="U711" s="13"/>
      <c r="V711" s="28"/>
      <c r="W711" s="13"/>
      <c r="X711" s="28"/>
      <c r="Y711" s="13"/>
      <c r="Z711" s="28"/>
      <c r="AA711" s="13"/>
      <c r="AB711" s="28"/>
      <c r="AC711" s="13"/>
      <c r="AD711" s="28"/>
      <c r="AE711" s="13"/>
      <c r="AF711" s="28"/>
      <c r="AG711" s="13"/>
      <c r="AH711" s="28"/>
      <c r="AI711" s="13"/>
      <c r="AJ711" s="28"/>
      <c r="AK711" s="13"/>
      <c r="AL711" s="28"/>
      <c r="AM711" s="13"/>
      <c r="AN711" s="28"/>
      <c r="AO711" s="13"/>
      <c r="AP711" s="28"/>
      <c r="AQ711" s="13"/>
      <c r="AR711" s="28"/>
      <c r="AS711" s="19">
        <f>SUM(H711,J711,L711,N711,P711,R711,T711,V711,X711,Z711,AB711,AD711,AF711,AH711,AJ711,AL711,AN711)</f>
        <v>0</v>
      </c>
      <c r="AT711" s="29" t="str">
        <f>IF(C711="","",DATE(YEAR(C711),MONTH(C711),1))</f>
        <v/>
      </c>
      <c r="AU711" s="28" t="str">
        <f>IF(AT711="","",TEXT(AT711,"mmmm yyyy"))</f>
        <v/>
      </c>
      <c r="AV711" s="29" t="str">
        <f>IF(C711="","",C711-WEEKDAY(C711,2)+1)</f>
        <v/>
      </c>
      <c r="AW711" s="29" t="str">
        <f>IF(AV711="","",AV711+6)</f>
        <v/>
      </c>
      <c r="AX711" s="28" t="str">
        <f>IF(AV711="","",TEXT(AV711,"dd/mm/yyyy")&amp;" - "&amp;TEXT(AW711,"dd/mm/yyyy"))</f>
        <v/>
      </c>
      <c r="AY711" s="28" t="str">
        <f>IF(B711="","",COUNTIFS($B$5:B711,B711,$AT$5:AT711,AT711))</f>
        <v/>
      </c>
      <c r="AZ711" s="28" t="str">
        <f>IF(B711="","",COUNTIFS($B$5:B711,B711,$AV$5:AV711,AV711))</f>
        <v/>
      </c>
      <c r="BA711" s="28" t="str">
        <f>IF(B711="","",TEXT(AY711,"00")&amp;"|"&amp;B711&amp;"|"&amp;TEXT(AT711,"yyyymmdd"))</f>
        <v/>
      </c>
      <c r="BB711" s="28" t="str">
        <f>IF(B711="","",TEXT(AZ711,"00")&amp;"|"&amp;B711&amp;"|"&amp;TEXT(AV711,"yyyymmdd"))</f>
        <v/>
      </c>
      <c r="BC711" s="28">
        <f>IF(OR(AQ711="YES",AQ711="Yes",AQ711="Y",AQ711=1),1,0)</f>
        <v>0</v>
      </c>
    </row>
    <row r="712" spans="1:55" ht="15" customHeight="1">
      <c r="A712" s="27"/>
      <c r="B712" s="28"/>
      <c r="C712" s="29"/>
      <c r="D712" s="30"/>
      <c r="E712" s="30"/>
      <c r="F712" s="28"/>
      <c r="G712" s="28"/>
      <c r="H712" s="28"/>
      <c r="I712" s="13"/>
      <c r="J712" s="28"/>
      <c r="K712" s="13"/>
      <c r="L712" s="28"/>
      <c r="M712" s="13"/>
      <c r="N712" s="28"/>
      <c r="O712" s="13"/>
      <c r="P712" s="28"/>
      <c r="Q712" s="20"/>
      <c r="R712" s="28"/>
      <c r="S712" s="20"/>
      <c r="T712" s="28"/>
      <c r="U712" s="13"/>
      <c r="V712" s="28"/>
      <c r="W712" s="13"/>
      <c r="X712" s="28"/>
      <c r="Y712" s="13"/>
      <c r="Z712" s="28"/>
      <c r="AA712" s="13"/>
      <c r="AB712" s="28"/>
      <c r="AC712" s="13"/>
      <c r="AD712" s="28"/>
      <c r="AE712" s="13"/>
      <c r="AF712" s="28"/>
      <c r="AG712" s="13"/>
      <c r="AH712" s="28"/>
      <c r="AI712" s="13"/>
      <c r="AJ712" s="28"/>
      <c r="AK712" s="13"/>
      <c r="AL712" s="28"/>
      <c r="AM712" s="13"/>
      <c r="AN712" s="28"/>
      <c r="AO712" s="13"/>
      <c r="AP712" s="28"/>
      <c r="AQ712" s="13"/>
      <c r="AR712" s="28"/>
      <c r="AS712" s="19">
        <f>SUM(H712,J712,L712,N712,P712,R712,T712,V712,X712,Z712,AB712,AD712,AF712,AH712,AJ712,AL712,AN712)</f>
        <v>0</v>
      </c>
      <c r="AT712" s="29" t="str">
        <f>IF(C712="","",DATE(YEAR(C712),MONTH(C712),1))</f>
        <v/>
      </c>
      <c r="AU712" s="28" t="str">
        <f>IF(AT712="","",TEXT(AT712,"mmmm yyyy"))</f>
        <v/>
      </c>
      <c r="AV712" s="29" t="str">
        <f>IF(C712="","",C712-WEEKDAY(C712,2)+1)</f>
        <v/>
      </c>
      <c r="AW712" s="29" t="str">
        <f>IF(AV712="","",AV712+6)</f>
        <v/>
      </c>
      <c r="AX712" s="28" t="str">
        <f>IF(AV712="","",TEXT(AV712,"dd/mm/yyyy")&amp;" - "&amp;TEXT(AW712,"dd/mm/yyyy"))</f>
        <v/>
      </c>
      <c r="AY712" s="28" t="str">
        <f>IF(B712="","",COUNTIFS($B$5:B712,B712,$AT$5:AT712,AT712))</f>
        <v/>
      </c>
      <c r="AZ712" s="28" t="str">
        <f>IF(B712="","",COUNTIFS($B$5:B712,B712,$AV$5:AV712,AV712))</f>
        <v/>
      </c>
      <c r="BA712" s="28" t="str">
        <f>IF(B712="","",TEXT(AY712,"00")&amp;"|"&amp;B712&amp;"|"&amp;TEXT(AT712,"yyyymmdd"))</f>
        <v/>
      </c>
      <c r="BB712" s="28" t="str">
        <f>IF(B712="","",TEXT(AZ712,"00")&amp;"|"&amp;B712&amp;"|"&amp;TEXT(AV712,"yyyymmdd"))</f>
        <v/>
      </c>
      <c r="BC712" s="28">
        <f>IF(OR(AQ712="YES",AQ712="Yes",AQ712="Y",AQ712=1),1,0)</f>
        <v>0</v>
      </c>
    </row>
    <row r="713" spans="1:55" ht="15" customHeight="1">
      <c r="A713" s="27"/>
      <c r="B713" s="28"/>
      <c r="C713" s="29"/>
      <c r="D713" s="30"/>
      <c r="E713" s="30"/>
      <c r="F713" s="28"/>
      <c r="G713" s="28"/>
      <c r="H713" s="28"/>
      <c r="I713" s="13"/>
      <c r="J713" s="28"/>
      <c r="K713" s="13"/>
      <c r="L713" s="28"/>
      <c r="M713" s="13"/>
      <c r="N713" s="28"/>
      <c r="O713" s="13"/>
      <c r="P713" s="28"/>
      <c r="Q713" s="20"/>
      <c r="R713" s="28"/>
      <c r="S713" s="20"/>
      <c r="T713" s="28"/>
      <c r="U713" s="13"/>
      <c r="V713" s="28"/>
      <c r="W713" s="13"/>
      <c r="X713" s="28"/>
      <c r="Y713" s="13"/>
      <c r="Z713" s="28"/>
      <c r="AA713" s="13"/>
      <c r="AB713" s="28"/>
      <c r="AC713" s="13"/>
      <c r="AD713" s="28"/>
      <c r="AE713" s="13"/>
      <c r="AF713" s="28"/>
      <c r="AG713" s="13"/>
      <c r="AH713" s="28"/>
      <c r="AI713" s="13"/>
      <c r="AJ713" s="28"/>
      <c r="AK713" s="13"/>
      <c r="AL713" s="28"/>
      <c r="AM713" s="13"/>
      <c r="AN713" s="28"/>
      <c r="AO713" s="13"/>
      <c r="AP713" s="28"/>
      <c r="AQ713" s="13"/>
      <c r="AR713" s="28"/>
      <c r="AS713" s="19">
        <f>SUM(H713,J713,L713,N713,P713,R713,T713,V713,X713,Z713,AB713,AD713,AF713,AH713,AJ713,AL713,AN713)</f>
        <v>0</v>
      </c>
      <c r="AT713" s="29" t="str">
        <f>IF(C713="","",DATE(YEAR(C713),MONTH(C713),1))</f>
        <v/>
      </c>
      <c r="AU713" s="28" t="str">
        <f>IF(AT713="","",TEXT(AT713,"mmmm yyyy"))</f>
        <v/>
      </c>
      <c r="AV713" s="29" t="str">
        <f>IF(C713="","",C713-WEEKDAY(C713,2)+1)</f>
        <v/>
      </c>
      <c r="AW713" s="29" t="str">
        <f>IF(AV713="","",AV713+6)</f>
        <v/>
      </c>
      <c r="AX713" s="28" t="str">
        <f>IF(AV713="","",TEXT(AV713,"dd/mm/yyyy")&amp;" - "&amp;TEXT(AW713,"dd/mm/yyyy"))</f>
        <v/>
      </c>
      <c r="AY713" s="28" t="str">
        <f>IF(B713="","",COUNTIFS($B$5:B713,B713,$AT$5:AT713,AT713))</f>
        <v/>
      </c>
      <c r="AZ713" s="28" t="str">
        <f>IF(B713="","",COUNTIFS($B$5:B713,B713,$AV$5:AV713,AV713))</f>
        <v/>
      </c>
      <c r="BA713" s="28" t="str">
        <f>IF(B713="","",TEXT(AY713,"00")&amp;"|"&amp;B713&amp;"|"&amp;TEXT(AT713,"yyyymmdd"))</f>
        <v/>
      </c>
      <c r="BB713" s="28" t="str">
        <f>IF(B713="","",TEXT(AZ713,"00")&amp;"|"&amp;B713&amp;"|"&amp;TEXT(AV713,"yyyymmdd"))</f>
        <v/>
      </c>
      <c r="BC713" s="28">
        <f>IF(OR(AQ713="YES",AQ713="Yes",AQ713="Y",AQ713=1),1,0)</f>
        <v>0</v>
      </c>
    </row>
    <row r="714" spans="1:55" ht="15" customHeight="1">
      <c r="A714" s="27"/>
      <c r="B714" s="28"/>
      <c r="C714" s="29"/>
      <c r="D714" s="30"/>
      <c r="E714" s="30"/>
      <c r="F714" s="28"/>
      <c r="G714" s="28"/>
      <c r="H714" s="28"/>
      <c r="I714" s="13"/>
      <c r="J714" s="28"/>
      <c r="K714" s="13"/>
      <c r="L714" s="28"/>
      <c r="M714" s="13"/>
      <c r="N714" s="28"/>
      <c r="O714" s="13"/>
      <c r="P714" s="28"/>
      <c r="Q714" s="20"/>
      <c r="R714" s="28"/>
      <c r="S714" s="20"/>
      <c r="T714" s="28"/>
      <c r="U714" s="13"/>
      <c r="V714" s="28"/>
      <c r="W714" s="13"/>
      <c r="X714" s="28"/>
      <c r="Y714" s="13"/>
      <c r="Z714" s="28"/>
      <c r="AA714" s="13"/>
      <c r="AB714" s="28"/>
      <c r="AC714" s="13"/>
      <c r="AD714" s="28"/>
      <c r="AE714" s="13"/>
      <c r="AF714" s="28"/>
      <c r="AG714" s="13"/>
      <c r="AH714" s="28"/>
      <c r="AI714" s="13"/>
      <c r="AJ714" s="28"/>
      <c r="AK714" s="13"/>
      <c r="AL714" s="28"/>
      <c r="AM714" s="13"/>
      <c r="AN714" s="28"/>
      <c r="AO714" s="13"/>
      <c r="AP714" s="28"/>
      <c r="AQ714" s="13"/>
      <c r="AR714" s="28"/>
      <c r="AS714" s="19">
        <f>SUM(H714,J714,L714,N714,P714,R714,T714,V714,X714,Z714,AB714,AD714,AF714,AH714,AJ714,AL714,AN714)</f>
        <v>0</v>
      </c>
      <c r="AT714" s="29" t="str">
        <f>IF(C714="","",DATE(YEAR(C714),MONTH(C714),1))</f>
        <v/>
      </c>
      <c r="AU714" s="28" t="str">
        <f>IF(AT714="","",TEXT(AT714,"mmmm yyyy"))</f>
        <v/>
      </c>
      <c r="AV714" s="29" t="str">
        <f>IF(C714="","",C714-WEEKDAY(C714,2)+1)</f>
        <v/>
      </c>
      <c r="AW714" s="29" t="str">
        <f>IF(AV714="","",AV714+6)</f>
        <v/>
      </c>
      <c r="AX714" s="28" t="str">
        <f>IF(AV714="","",TEXT(AV714,"dd/mm/yyyy")&amp;" - "&amp;TEXT(AW714,"dd/mm/yyyy"))</f>
        <v/>
      </c>
      <c r="AY714" s="28" t="str">
        <f>IF(B714="","",COUNTIFS($B$5:B714,B714,$AT$5:AT714,AT714))</f>
        <v/>
      </c>
      <c r="AZ714" s="28" t="str">
        <f>IF(B714="","",COUNTIFS($B$5:B714,B714,$AV$5:AV714,AV714))</f>
        <v/>
      </c>
      <c r="BA714" s="28" t="str">
        <f>IF(B714="","",TEXT(AY714,"00")&amp;"|"&amp;B714&amp;"|"&amp;TEXT(AT714,"yyyymmdd"))</f>
        <v/>
      </c>
      <c r="BB714" s="28" t="str">
        <f>IF(B714="","",TEXT(AZ714,"00")&amp;"|"&amp;B714&amp;"|"&amp;TEXT(AV714,"yyyymmdd"))</f>
        <v/>
      </c>
      <c r="BC714" s="28">
        <f>IF(OR(AQ714="YES",AQ714="Yes",AQ714="Y",AQ714=1),1,0)</f>
        <v>0</v>
      </c>
    </row>
    <row r="715" spans="1:55" ht="15" customHeight="1">
      <c r="A715" s="27"/>
      <c r="B715" s="28"/>
      <c r="C715" s="29"/>
      <c r="D715" s="30"/>
      <c r="E715" s="30"/>
      <c r="F715" s="28"/>
      <c r="G715" s="28"/>
      <c r="H715" s="28"/>
      <c r="I715" s="13"/>
      <c r="J715" s="28"/>
      <c r="K715" s="13"/>
      <c r="L715" s="28"/>
      <c r="M715" s="13"/>
      <c r="N715" s="28"/>
      <c r="O715" s="13"/>
      <c r="P715" s="28"/>
      <c r="Q715" s="20"/>
      <c r="R715" s="28"/>
      <c r="S715" s="20"/>
      <c r="T715" s="28"/>
      <c r="U715" s="13"/>
      <c r="V715" s="28"/>
      <c r="W715" s="13"/>
      <c r="X715" s="28"/>
      <c r="Y715" s="13"/>
      <c r="Z715" s="28"/>
      <c r="AA715" s="13"/>
      <c r="AB715" s="28"/>
      <c r="AC715" s="13"/>
      <c r="AD715" s="28"/>
      <c r="AE715" s="13"/>
      <c r="AF715" s="28"/>
      <c r="AG715" s="13"/>
      <c r="AH715" s="28"/>
      <c r="AI715" s="13"/>
      <c r="AJ715" s="28"/>
      <c r="AK715" s="13"/>
      <c r="AL715" s="28"/>
      <c r="AM715" s="13"/>
      <c r="AN715" s="28"/>
      <c r="AO715" s="13"/>
      <c r="AP715" s="28"/>
      <c r="AQ715" s="13"/>
      <c r="AR715" s="28"/>
      <c r="AS715" s="19">
        <f>SUM(H715,J715,L715,N715,P715,R715,T715,V715,X715,Z715,AB715,AD715,AF715,AH715,AJ715,AL715,AN715)</f>
        <v>0</v>
      </c>
      <c r="AT715" s="29" t="str">
        <f>IF(C715="","",DATE(YEAR(C715),MONTH(C715),1))</f>
        <v/>
      </c>
      <c r="AU715" s="28" t="str">
        <f>IF(AT715="","",TEXT(AT715,"mmmm yyyy"))</f>
        <v/>
      </c>
      <c r="AV715" s="29" t="str">
        <f>IF(C715="","",C715-WEEKDAY(C715,2)+1)</f>
        <v/>
      </c>
      <c r="AW715" s="29" t="str">
        <f>IF(AV715="","",AV715+6)</f>
        <v/>
      </c>
      <c r="AX715" s="28" t="str">
        <f>IF(AV715="","",TEXT(AV715,"dd/mm/yyyy")&amp;" - "&amp;TEXT(AW715,"dd/mm/yyyy"))</f>
        <v/>
      </c>
      <c r="AY715" s="28" t="str">
        <f>IF(B715="","",COUNTIFS($B$5:B715,B715,$AT$5:AT715,AT715))</f>
        <v/>
      </c>
      <c r="AZ715" s="28" t="str">
        <f>IF(B715="","",COUNTIFS($B$5:B715,B715,$AV$5:AV715,AV715))</f>
        <v/>
      </c>
      <c r="BA715" s="28" t="str">
        <f>IF(B715="","",TEXT(AY715,"00")&amp;"|"&amp;B715&amp;"|"&amp;TEXT(AT715,"yyyymmdd"))</f>
        <v/>
      </c>
      <c r="BB715" s="28" t="str">
        <f>IF(B715="","",TEXT(AZ715,"00")&amp;"|"&amp;B715&amp;"|"&amp;TEXT(AV715,"yyyymmdd"))</f>
        <v/>
      </c>
      <c r="BC715" s="28">
        <f>IF(OR(AQ715="YES",AQ715="Yes",AQ715="Y",AQ715=1),1,0)</f>
        <v>0</v>
      </c>
    </row>
    <row r="716" spans="1:55" ht="15" customHeight="1">
      <c r="A716" s="27"/>
      <c r="B716" s="28"/>
      <c r="C716" s="29"/>
      <c r="D716" s="30"/>
      <c r="E716" s="30"/>
      <c r="F716" s="28"/>
      <c r="G716" s="28"/>
      <c r="H716" s="28"/>
      <c r="I716" s="13"/>
      <c r="J716" s="28"/>
      <c r="K716" s="13"/>
      <c r="L716" s="28"/>
      <c r="M716" s="13"/>
      <c r="N716" s="28"/>
      <c r="O716" s="13"/>
      <c r="P716" s="28"/>
      <c r="Q716" s="20"/>
      <c r="R716" s="28"/>
      <c r="S716" s="20"/>
      <c r="T716" s="28"/>
      <c r="U716" s="13"/>
      <c r="V716" s="28"/>
      <c r="W716" s="13"/>
      <c r="X716" s="28"/>
      <c r="Y716" s="13"/>
      <c r="Z716" s="28"/>
      <c r="AA716" s="13"/>
      <c r="AB716" s="28"/>
      <c r="AC716" s="13"/>
      <c r="AD716" s="28"/>
      <c r="AE716" s="13"/>
      <c r="AF716" s="28"/>
      <c r="AG716" s="13"/>
      <c r="AH716" s="28"/>
      <c r="AI716" s="13"/>
      <c r="AJ716" s="28"/>
      <c r="AK716" s="13"/>
      <c r="AL716" s="28"/>
      <c r="AM716" s="13"/>
      <c r="AN716" s="28"/>
      <c r="AO716" s="13"/>
      <c r="AP716" s="28"/>
      <c r="AQ716" s="13"/>
      <c r="AR716" s="28"/>
      <c r="AS716" s="19">
        <f>SUM(H716,J716,L716,N716,P716,R716,T716,V716,X716,Z716,AB716,AD716,AF716,AH716,AJ716,AL716,AN716)</f>
        <v>0</v>
      </c>
      <c r="AT716" s="29" t="str">
        <f>IF(C716="","",DATE(YEAR(C716),MONTH(C716),1))</f>
        <v/>
      </c>
      <c r="AU716" s="28" t="str">
        <f>IF(AT716="","",TEXT(AT716,"mmmm yyyy"))</f>
        <v/>
      </c>
      <c r="AV716" s="29" t="str">
        <f>IF(C716="","",C716-WEEKDAY(C716,2)+1)</f>
        <v/>
      </c>
      <c r="AW716" s="29" t="str">
        <f>IF(AV716="","",AV716+6)</f>
        <v/>
      </c>
      <c r="AX716" s="28" t="str">
        <f>IF(AV716="","",TEXT(AV716,"dd/mm/yyyy")&amp;" - "&amp;TEXT(AW716,"dd/mm/yyyy"))</f>
        <v/>
      </c>
      <c r="AY716" s="28" t="str">
        <f>IF(B716="","",COUNTIFS($B$5:B716,B716,$AT$5:AT716,AT716))</f>
        <v/>
      </c>
      <c r="AZ716" s="28" t="str">
        <f>IF(B716="","",COUNTIFS($B$5:B716,B716,$AV$5:AV716,AV716))</f>
        <v/>
      </c>
      <c r="BA716" s="28" t="str">
        <f>IF(B716="","",TEXT(AY716,"00")&amp;"|"&amp;B716&amp;"|"&amp;TEXT(AT716,"yyyymmdd"))</f>
        <v/>
      </c>
      <c r="BB716" s="28" t="str">
        <f>IF(B716="","",TEXT(AZ716,"00")&amp;"|"&amp;B716&amp;"|"&amp;TEXT(AV716,"yyyymmdd"))</f>
        <v/>
      </c>
      <c r="BC716" s="28">
        <f>IF(OR(AQ716="YES",AQ716="Yes",AQ716="Y",AQ716=1),1,0)</f>
        <v>0</v>
      </c>
    </row>
    <row r="717" spans="1:55" ht="15" customHeight="1">
      <c r="A717" s="27"/>
      <c r="B717" s="28"/>
      <c r="C717" s="29"/>
      <c r="D717" s="30"/>
      <c r="E717" s="30"/>
      <c r="F717" s="28"/>
      <c r="G717" s="28"/>
      <c r="H717" s="28"/>
      <c r="I717" s="13"/>
      <c r="J717" s="28"/>
      <c r="K717" s="13"/>
      <c r="L717" s="28"/>
      <c r="M717" s="13"/>
      <c r="N717" s="28"/>
      <c r="O717" s="13"/>
      <c r="P717" s="28"/>
      <c r="Q717" s="20"/>
      <c r="R717" s="28"/>
      <c r="S717" s="20"/>
      <c r="T717" s="28"/>
      <c r="U717" s="13"/>
      <c r="V717" s="28"/>
      <c r="W717" s="13"/>
      <c r="X717" s="28"/>
      <c r="Y717" s="13"/>
      <c r="Z717" s="28"/>
      <c r="AA717" s="13"/>
      <c r="AB717" s="28"/>
      <c r="AC717" s="13"/>
      <c r="AD717" s="28"/>
      <c r="AE717" s="13"/>
      <c r="AF717" s="28"/>
      <c r="AG717" s="13"/>
      <c r="AH717" s="28"/>
      <c r="AI717" s="13"/>
      <c r="AJ717" s="28"/>
      <c r="AK717" s="13"/>
      <c r="AL717" s="28"/>
      <c r="AM717" s="13"/>
      <c r="AN717" s="28"/>
      <c r="AO717" s="13"/>
      <c r="AP717" s="28"/>
      <c r="AQ717" s="13"/>
      <c r="AR717" s="28"/>
      <c r="AS717" s="19">
        <f>SUM(H717,J717,L717,N717,P717,R717,T717,V717,X717,Z717,AB717,AD717,AF717,AH717,AJ717,AL717,AN717)</f>
        <v>0</v>
      </c>
      <c r="AT717" s="29" t="str">
        <f>IF(C717="","",DATE(YEAR(C717),MONTH(C717),1))</f>
        <v/>
      </c>
      <c r="AU717" s="28" t="str">
        <f>IF(AT717="","",TEXT(AT717,"mmmm yyyy"))</f>
        <v/>
      </c>
      <c r="AV717" s="29" t="str">
        <f>IF(C717="","",C717-WEEKDAY(C717,2)+1)</f>
        <v/>
      </c>
      <c r="AW717" s="29" t="str">
        <f>IF(AV717="","",AV717+6)</f>
        <v/>
      </c>
      <c r="AX717" s="28" t="str">
        <f>IF(AV717="","",TEXT(AV717,"dd/mm/yyyy")&amp;" - "&amp;TEXT(AW717,"dd/mm/yyyy"))</f>
        <v/>
      </c>
      <c r="AY717" s="28" t="str">
        <f>IF(B717="","",COUNTIFS($B$5:B717,B717,$AT$5:AT717,AT717))</f>
        <v/>
      </c>
      <c r="AZ717" s="28" t="str">
        <f>IF(B717="","",COUNTIFS($B$5:B717,B717,$AV$5:AV717,AV717))</f>
        <v/>
      </c>
      <c r="BA717" s="28" t="str">
        <f>IF(B717="","",TEXT(AY717,"00")&amp;"|"&amp;B717&amp;"|"&amp;TEXT(AT717,"yyyymmdd"))</f>
        <v/>
      </c>
      <c r="BB717" s="28" t="str">
        <f>IF(B717="","",TEXT(AZ717,"00")&amp;"|"&amp;B717&amp;"|"&amp;TEXT(AV717,"yyyymmdd"))</f>
        <v/>
      </c>
      <c r="BC717" s="28">
        <f>IF(OR(AQ717="YES",AQ717="Yes",AQ717="Y",AQ717=1),1,0)</f>
        <v>0</v>
      </c>
    </row>
    <row r="718" spans="1:55" ht="15" customHeight="1">
      <c r="A718" s="27"/>
      <c r="B718" s="28"/>
      <c r="C718" s="29"/>
      <c r="D718" s="30"/>
      <c r="E718" s="30"/>
      <c r="F718" s="28"/>
      <c r="G718" s="28"/>
      <c r="H718" s="28"/>
      <c r="I718" s="13"/>
      <c r="J718" s="28"/>
      <c r="K718" s="13"/>
      <c r="L718" s="28"/>
      <c r="M718" s="13"/>
      <c r="N718" s="28"/>
      <c r="O718" s="13"/>
      <c r="P718" s="28"/>
      <c r="Q718" s="20"/>
      <c r="R718" s="28"/>
      <c r="S718" s="20"/>
      <c r="T718" s="28"/>
      <c r="U718" s="13"/>
      <c r="V718" s="28"/>
      <c r="W718" s="13"/>
      <c r="X718" s="28"/>
      <c r="Y718" s="13"/>
      <c r="Z718" s="28"/>
      <c r="AA718" s="13"/>
      <c r="AB718" s="28"/>
      <c r="AC718" s="13"/>
      <c r="AD718" s="28"/>
      <c r="AE718" s="13"/>
      <c r="AF718" s="28"/>
      <c r="AG718" s="13"/>
      <c r="AH718" s="28"/>
      <c r="AI718" s="13"/>
      <c r="AJ718" s="28"/>
      <c r="AK718" s="13"/>
      <c r="AL718" s="28"/>
      <c r="AM718" s="13"/>
      <c r="AN718" s="28"/>
      <c r="AO718" s="13"/>
      <c r="AP718" s="28"/>
      <c r="AQ718" s="13"/>
      <c r="AR718" s="28"/>
      <c r="AS718" s="19">
        <f>SUM(H718,J718,L718,N718,P718,R718,T718,V718,X718,Z718,AB718,AD718,AF718,AH718,AJ718,AL718,AN718)</f>
        <v>0</v>
      </c>
      <c r="AT718" s="29" t="str">
        <f>IF(C718="","",DATE(YEAR(C718),MONTH(C718),1))</f>
        <v/>
      </c>
      <c r="AU718" s="28" t="str">
        <f>IF(AT718="","",TEXT(AT718,"mmmm yyyy"))</f>
        <v/>
      </c>
      <c r="AV718" s="29" t="str">
        <f>IF(C718="","",C718-WEEKDAY(C718,2)+1)</f>
        <v/>
      </c>
      <c r="AW718" s="29" t="str">
        <f>IF(AV718="","",AV718+6)</f>
        <v/>
      </c>
      <c r="AX718" s="28" t="str">
        <f>IF(AV718="","",TEXT(AV718,"dd/mm/yyyy")&amp;" - "&amp;TEXT(AW718,"dd/mm/yyyy"))</f>
        <v/>
      </c>
      <c r="AY718" s="28" t="str">
        <f>IF(B718="","",COUNTIFS($B$5:B718,B718,$AT$5:AT718,AT718))</f>
        <v/>
      </c>
      <c r="AZ718" s="28" t="str">
        <f>IF(B718="","",COUNTIFS($B$5:B718,B718,$AV$5:AV718,AV718))</f>
        <v/>
      </c>
      <c r="BA718" s="28" t="str">
        <f>IF(B718="","",TEXT(AY718,"00")&amp;"|"&amp;B718&amp;"|"&amp;TEXT(AT718,"yyyymmdd"))</f>
        <v/>
      </c>
      <c r="BB718" s="28" t="str">
        <f>IF(B718="","",TEXT(AZ718,"00")&amp;"|"&amp;B718&amp;"|"&amp;TEXT(AV718,"yyyymmdd"))</f>
        <v/>
      </c>
      <c r="BC718" s="28">
        <f>IF(OR(AQ718="YES",AQ718="Yes",AQ718="Y",AQ718=1),1,0)</f>
        <v>0</v>
      </c>
    </row>
    <row r="719" spans="1:55" ht="15" customHeight="1">
      <c r="A719" s="27"/>
      <c r="B719" s="28"/>
      <c r="C719" s="29"/>
      <c r="D719" s="30"/>
      <c r="E719" s="30"/>
      <c r="F719" s="28"/>
      <c r="G719" s="28"/>
      <c r="H719" s="28"/>
      <c r="I719" s="13"/>
      <c r="J719" s="28"/>
      <c r="K719" s="13"/>
      <c r="L719" s="28"/>
      <c r="M719" s="13"/>
      <c r="N719" s="28"/>
      <c r="O719" s="13"/>
      <c r="P719" s="28"/>
      <c r="Q719" s="20"/>
      <c r="R719" s="28"/>
      <c r="S719" s="20"/>
      <c r="T719" s="28"/>
      <c r="U719" s="13"/>
      <c r="V719" s="28"/>
      <c r="W719" s="13"/>
      <c r="X719" s="28"/>
      <c r="Y719" s="13"/>
      <c r="Z719" s="28"/>
      <c r="AA719" s="13"/>
      <c r="AB719" s="28"/>
      <c r="AC719" s="13"/>
      <c r="AD719" s="28"/>
      <c r="AE719" s="13"/>
      <c r="AF719" s="28"/>
      <c r="AG719" s="13"/>
      <c r="AH719" s="28"/>
      <c r="AI719" s="13"/>
      <c r="AJ719" s="28"/>
      <c r="AK719" s="13"/>
      <c r="AL719" s="28"/>
      <c r="AM719" s="13"/>
      <c r="AN719" s="28"/>
      <c r="AO719" s="13"/>
      <c r="AP719" s="28"/>
      <c r="AQ719" s="13"/>
      <c r="AR719" s="28"/>
      <c r="AS719" s="19">
        <f>SUM(H719,J719,L719,N719,P719,R719,T719,V719,X719,Z719,AB719,AD719,AF719,AH719,AJ719,AL719,AN719)</f>
        <v>0</v>
      </c>
      <c r="AT719" s="29" t="str">
        <f>IF(C719="","",DATE(YEAR(C719),MONTH(C719),1))</f>
        <v/>
      </c>
      <c r="AU719" s="28" t="str">
        <f>IF(AT719="","",TEXT(AT719,"mmmm yyyy"))</f>
        <v/>
      </c>
      <c r="AV719" s="29" t="str">
        <f>IF(C719="","",C719-WEEKDAY(C719,2)+1)</f>
        <v/>
      </c>
      <c r="AW719" s="29" t="str">
        <f>IF(AV719="","",AV719+6)</f>
        <v/>
      </c>
      <c r="AX719" s="28" t="str">
        <f>IF(AV719="","",TEXT(AV719,"dd/mm/yyyy")&amp;" - "&amp;TEXT(AW719,"dd/mm/yyyy"))</f>
        <v/>
      </c>
      <c r="AY719" s="28" t="str">
        <f>IF(B719="","",COUNTIFS($B$5:B719,B719,$AT$5:AT719,AT719))</f>
        <v/>
      </c>
      <c r="AZ719" s="28" t="str">
        <f>IF(B719="","",COUNTIFS($B$5:B719,B719,$AV$5:AV719,AV719))</f>
        <v/>
      </c>
      <c r="BA719" s="28" t="str">
        <f>IF(B719="","",TEXT(AY719,"00")&amp;"|"&amp;B719&amp;"|"&amp;TEXT(AT719,"yyyymmdd"))</f>
        <v/>
      </c>
      <c r="BB719" s="28" t="str">
        <f>IF(B719="","",TEXT(AZ719,"00")&amp;"|"&amp;B719&amp;"|"&amp;TEXT(AV719,"yyyymmdd"))</f>
        <v/>
      </c>
      <c r="BC719" s="28">
        <f>IF(OR(AQ719="YES",AQ719="Yes",AQ719="Y",AQ719=1),1,0)</f>
        <v>0</v>
      </c>
    </row>
    <row r="720" spans="1:55" ht="15" customHeight="1">
      <c r="A720" s="27"/>
      <c r="B720" s="28"/>
      <c r="C720" s="29"/>
      <c r="D720" s="30"/>
      <c r="E720" s="30"/>
      <c r="F720" s="28"/>
      <c r="G720" s="28"/>
      <c r="H720" s="28"/>
      <c r="I720" s="13"/>
      <c r="J720" s="28"/>
      <c r="K720" s="13"/>
      <c r="L720" s="28"/>
      <c r="M720" s="13"/>
      <c r="N720" s="28"/>
      <c r="O720" s="13"/>
      <c r="P720" s="28"/>
      <c r="Q720" s="20"/>
      <c r="R720" s="28"/>
      <c r="S720" s="20"/>
      <c r="T720" s="28"/>
      <c r="U720" s="13"/>
      <c r="V720" s="28"/>
      <c r="W720" s="13"/>
      <c r="X720" s="28"/>
      <c r="Y720" s="13"/>
      <c r="Z720" s="28"/>
      <c r="AA720" s="13"/>
      <c r="AB720" s="28"/>
      <c r="AC720" s="13"/>
      <c r="AD720" s="28"/>
      <c r="AE720" s="13"/>
      <c r="AF720" s="28"/>
      <c r="AG720" s="13"/>
      <c r="AH720" s="28"/>
      <c r="AI720" s="13"/>
      <c r="AJ720" s="28"/>
      <c r="AK720" s="13"/>
      <c r="AL720" s="28"/>
      <c r="AM720" s="13"/>
      <c r="AN720" s="28"/>
      <c r="AO720" s="13"/>
      <c r="AP720" s="28"/>
      <c r="AQ720" s="13"/>
      <c r="AR720" s="28"/>
      <c r="AS720" s="19">
        <f>SUM(H720,J720,L720,N720,P720,R720,T720,V720,X720,Z720,AB720,AD720,AF720,AH720,AJ720,AL720,AN720)</f>
        <v>0</v>
      </c>
      <c r="AT720" s="29" t="str">
        <f>IF(C720="","",DATE(YEAR(C720),MONTH(C720),1))</f>
        <v/>
      </c>
      <c r="AU720" s="28" t="str">
        <f>IF(AT720="","",TEXT(AT720,"mmmm yyyy"))</f>
        <v/>
      </c>
      <c r="AV720" s="29" t="str">
        <f>IF(C720="","",C720-WEEKDAY(C720,2)+1)</f>
        <v/>
      </c>
      <c r="AW720" s="29" t="str">
        <f>IF(AV720="","",AV720+6)</f>
        <v/>
      </c>
      <c r="AX720" s="28" t="str">
        <f>IF(AV720="","",TEXT(AV720,"dd/mm/yyyy")&amp;" - "&amp;TEXT(AW720,"dd/mm/yyyy"))</f>
        <v/>
      </c>
      <c r="AY720" s="28" t="str">
        <f>IF(B720="","",COUNTIFS($B$5:B720,B720,$AT$5:AT720,AT720))</f>
        <v/>
      </c>
      <c r="AZ720" s="28" t="str">
        <f>IF(B720="","",COUNTIFS($B$5:B720,B720,$AV$5:AV720,AV720))</f>
        <v/>
      </c>
      <c r="BA720" s="28" t="str">
        <f>IF(B720="","",TEXT(AY720,"00")&amp;"|"&amp;B720&amp;"|"&amp;TEXT(AT720,"yyyymmdd"))</f>
        <v/>
      </c>
      <c r="BB720" s="28" t="str">
        <f>IF(B720="","",TEXT(AZ720,"00")&amp;"|"&amp;B720&amp;"|"&amp;TEXT(AV720,"yyyymmdd"))</f>
        <v/>
      </c>
      <c r="BC720" s="28">
        <f>IF(OR(AQ720="YES",AQ720="Yes",AQ720="Y",AQ720=1),1,0)</f>
        <v>0</v>
      </c>
    </row>
    <row r="721" spans="1:55" ht="15" customHeight="1">
      <c r="A721" s="27"/>
      <c r="B721" s="28"/>
      <c r="C721" s="29"/>
      <c r="D721" s="30"/>
      <c r="E721" s="30"/>
      <c r="F721" s="28"/>
      <c r="G721" s="28"/>
      <c r="H721" s="28"/>
      <c r="I721" s="13"/>
      <c r="J721" s="28"/>
      <c r="K721" s="13"/>
      <c r="L721" s="28"/>
      <c r="M721" s="13"/>
      <c r="N721" s="28"/>
      <c r="O721" s="13"/>
      <c r="P721" s="28"/>
      <c r="Q721" s="20"/>
      <c r="R721" s="28"/>
      <c r="S721" s="20"/>
      <c r="T721" s="28"/>
      <c r="U721" s="13"/>
      <c r="V721" s="28"/>
      <c r="W721" s="13"/>
      <c r="X721" s="28"/>
      <c r="Y721" s="13"/>
      <c r="Z721" s="28"/>
      <c r="AA721" s="13"/>
      <c r="AB721" s="28"/>
      <c r="AC721" s="13"/>
      <c r="AD721" s="28"/>
      <c r="AE721" s="13"/>
      <c r="AF721" s="28"/>
      <c r="AG721" s="13"/>
      <c r="AH721" s="28"/>
      <c r="AI721" s="13"/>
      <c r="AJ721" s="28"/>
      <c r="AK721" s="13"/>
      <c r="AL721" s="28"/>
      <c r="AM721" s="13"/>
      <c r="AN721" s="28"/>
      <c r="AO721" s="13"/>
      <c r="AP721" s="28"/>
      <c r="AQ721" s="13"/>
      <c r="AR721" s="28"/>
      <c r="AS721" s="19">
        <f>SUM(H721,J721,L721,N721,P721,R721,T721,V721,X721,Z721,AB721,AD721,AF721,AH721,AJ721,AL721,AN721)</f>
        <v>0</v>
      </c>
      <c r="AT721" s="29" t="str">
        <f>IF(C721="","",DATE(YEAR(C721),MONTH(C721),1))</f>
        <v/>
      </c>
      <c r="AU721" s="28" t="str">
        <f>IF(AT721="","",TEXT(AT721,"mmmm yyyy"))</f>
        <v/>
      </c>
      <c r="AV721" s="29" t="str">
        <f>IF(C721="","",C721-WEEKDAY(C721,2)+1)</f>
        <v/>
      </c>
      <c r="AW721" s="29" t="str">
        <f>IF(AV721="","",AV721+6)</f>
        <v/>
      </c>
      <c r="AX721" s="28" t="str">
        <f>IF(AV721="","",TEXT(AV721,"dd/mm/yyyy")&amp;" - "&amp;TEXT(AW721,"dd/mm/yyyy"))</f>
        <v/>
      </c>
      <c r="AY721" s="28" t="str">
        <f>IF(B721="","",COUNTIFS($B$5:B721,B721,$AT$5:AT721,AT721))</f>
        <v/>
      </c>
      <c r="AZ721" s="28" t="str">
        <f>IF(B721="","",COUNTIFS($B$5:B721,B721,$AV$5:AV721,AV721))</f>
        <v/>
      </c>
      <c r="BA721" s="28" t="str">
        <f>IF(B721="","",TEXT(AY721,"00")&amp;"|"&amp;B721&amp;"|"&amp;TEXT(AT721,"yyyymmdd"))</f>
        <v/>
      </c>
      <c r="BB721" s="28" t="str">
        <f>IF(B721="","",TEXT(AZ721,"00")&amp;"|"&amp;B721&amp;"|"&amp;TEXT(AV721,"yyyymmdd"))</f>
        <v/>
      </c>
      <c r="BC721" s="28">
        <f>IF(OR(AQ721="YES",AQ721="Yes",AQ721="Y",AQ721=1),1,0)</f>
        <v>0</v>
      </c>
    </row>
    <row r="722" spans="1:55" ht="15" customHeight="1">
      <c r="A722" s="27"/>
      <c r="B722" s="28"/>
      <c r="C722" s="29"/>
      <c r="D722" s="30"/>
      <c r="E722" s="30"/>
      <c r="F722" s="28"/>
      <c r="G722" s="28"/>
      <c r="H722" s="28"/>
      <c r="I722" s="13"/>
      <c r="J722" s="28"/>
      <c r="K722" s="13"/>
      <c r="L722" s="28"/>
      <c r="M722" s="13"/>
      <c r="N722" s="28"/>
      <c r="O722" s="13"/>
      <c r="P722" s="28"/>
      <c r="Q722" s="20"/>
      <c r="R722" s="28"/>
      <c r="S722" s="20"/>
      <c r="T722" s="28"/>
      <c r="U722" s="13"/>
      <c r="V722" s="28"/>
      <c r="W722" s="13"/>
      <c r="X722" s="28"/>
      <c r="Y722" s="13"/>
      <c r="Z722" s="28"/>
      <c r="AA722" s="13"/>
      <c r="AB722" s="28"/>
      <c r="AC722" s="13"/>
      <c r="AD722" s="28"/>
      <c r="AE722" s="13"/>
      <c r="AF722" s="28"/>
      <c r="AG722" s="13"/>
      <c r="AH722" s="28"/>
      <c r="AI722" s="13"/>
      <c r="AJ722" s="28"/>
      <c r="AK722" s="13"/>
      <c r="AL722" s="28"/>
      <c r="AM722" s="13"/>
      <c r="AN722" s="28"/>
      <c r="AO722" s="13"/>
      <c r="AP722" s="28"/>
      <c r="AQ722" s="13"/>
      <c r="AR722" s="28"/>
      <c r="AS722" s="19">
        <f>SUM(H722,J722,L722,N722,P722,R722,T722,V722,X722,Z722,AB722,AD722,AF722,AH722,AJ722,AL722,AN722)</f>
        <v>0</v>
      </c>
      <c r="AT722" s="29" t="str">
        <f>IF(C722="","",DATE(YEAR(C722),MONTH(C722),1))</f>
        <v/>
      </c>
      <c r="AU722" s="28" t="str">
        <f>IF(AT722="","",TEXT(AT722,"mmmm yyyy"))</f>
        <v/>
      </c>
      <c r="AV722" s="29" t="str">
        <f>IF(C722="","",C722-WEEKDAY(C722,2)+1)</f>
        <v/>
      </c>
      <c r="AW722" s="29" t="str">
        <f>IF(AV722="","",AV722+6)</f>
        <v/>
      </c>
      <c r="AX722" s="28" t="str">
        <f>IF(AV722="","",TEXT(AV722,"dd/mm/yyyy")&amp;" - "&amp;TEXT(AW722,"dd/mm/yyyy"))</f>
        <v/>
      </c>
      <c r="AY722" s="28" t="str">
        <f>IF(B722="","",COUNTIFS($B$5:B722,B722,$AT$5:AT722,AT722))</f>
        <v/>
      </c>
      <c r="AZ722" s="28" t="str">
        <f>IF(B722="","",COUNTIFS($B$5:B722,B722,$AV$5:AV722,AV722))</f>
        <v/>
      </c>
      <c r="BA722" s="28" t="str">
        <f>IF(B722="","",TEXT(AY722,"00")&amp;"|"&amp;B722&amp;"|"&amp;TEXT(AT722,"yyyymmdd"))</f>
        <v/>
      </c>
      <c r="BB722" s="28" t="str">
        <f>IF(B722="","",TEXT(AZ722,"00")&amp;"|"&amp;B722&amp;"|"&amp;TEXT(AV722,"yyyymmdd"))</f>
        <v/>
      </c>
      <c r="BC722" s="28">
        <f>IF(OR(AQ722="YES",AQ722="Yes",AQ722="Y",AQ722=1),1,0)</f>
        <v>0</v>
      </c>
    </row>
    <row r="723" spans="1:55" ht="15" customHeight="1">
      <c r="A723" s="27"/>
      <c r="B723" s="28"/>
      <c r="C723" s="29"/>
      <c r="D723" s="30"/>
      <c r="E723" s="30"/>
      <c r="F723" s="28"/>
      <c r="G723" s="28"/>
      <c r="H723" s="28"/>
      <c r="I723" s="13"/>
      <c r="J723" s="28"/>
      <c r="K723" s="13"/>
      <c r="L723" s="28"/>
      <c r="M723" s="13"/>
      <c r="N723" s="28"/>
      <c r="O723" s="13"/>
      <c r="P723" s="28"/>
      <c r="Q723" s="20"/>
      <c r="R723" s="28"/>
      <c r="S723" s="20"/>
      <c r="T723" s="28"/>
      <c r="U723" s="13"/>
      <c r="V723" s="28"/>
      <c r="W723" s="13"/>
      <c r="X723" s="28"/>
      <c r="Y723" s="13"/>
      <c r="Z723" s="28"/>
      <c r="AA723" s="13"/>
      <c r="AB723" s="28"/>
      <c r="AC723" s="13"/>
      <c r="AD723" s="28"/>
      <c r="AE723" s="13"/>
      <c r="AF723" s="28"/>
      <c r="AG723" s="13"/>
      <c r="AH723" s="28"/>
      <c r="AI723" s="13"/>
      <c r="AJ723" s="28"/>
      <c r="AK723" s="13"/>
      <c r="AL723" s="28"/>
      <c r="AM723" s="13"/>
      <c r="AN723" s="28"/>
      <c r="AO723" s="13"/>
      <c r="AP723" s="28"/>
      <c r="AQ723" s="13"/>
      <c r="AR723" s="28"/>
      <c r="AS723" s="19">
        <f>SUM(H723,J723,L723,N723,P723,R723,T723,V723,X723,Z723,AB723,AD723,AF723,AH723,AJ723,AL723,AN723)</f>
        <v>0</v>
      </c>
      <c r="AT723" s="29" t="str">
        <f>IF(C723="","",DATE(YEAR(C723),MONTH(C723),1))</f>
        <v/>
      </c>
      <c r="AU723" s="28" t="str">
        <f>IF(AT723="","",TEXT(AT723,"mmmm yyyy"))</f>
        <v/>
      </c>
      <c r="AV723" s="29" t="str">
        <f>IF(C723="","",C723-WEEKDAY(C723,2)+1)</f>
        <v/>
      </c>
      <c r="AW723" s="29" t="str">
        <f>IF(AV723="","",AV723+6)</f>
        <v/>
      </c>
      <c r="AX723" s="28" t="str">
        <f>IF(AV723="","",TEXT(AV723,"dd/mm/yyyy")&amp;" - "&amp;TEXT(AW723,"dd/mm/yyyy"))</f>
        <v/>
      </c>
      <c r="AY723" s="28" t="str">
        <f>IF(B723="","",COUNTIFS($B$5:B723,B723,$AT$5:AT723,AT723))</f>
        <v/>
      </c>
      <c r="AZ723" s="28" t="str">
        <f>IF(B723="","",COUNTIFS($B$5:B723,B723,$AV$5:AV723,AV723))</f>
        <v/>
      </c>
      <c r="BA723" s="28" t="str">
        <f>IF(B723="","",TEXT(AY723,"00")&amp;"|"&amp;B723&amp;"|"&amp;TEXT(AT723,"yyyymmdd"))</f>
        <v/>
      </c>
      <c r="BB723" s="28" t="str">
        <f>IF(B723="","",TEXT(AZ723,"00")&amp;"|"&amp;B723&amp;"|"&amp;TEXT(AV723,"yyyymmdd"))</f>
        <v/>
      </c>
      <c r="BC723" s="28">
        <f>IF(OR(AQ723="YES",AQ723="Yes",AQ723="Y",AQ723=1),1,0)</f>
        <v>0</v>
      </c>
    </row>
    <row r="724" spans="1:55" ht="15" customHeight="1">
      <c r="A724" s="27"/>
      <c r="B724" s="28"/>
      <c r="C724" s="29"/>
      <c r="D724" s="30"/>
      <c r="E724" s="30"/>
      <c r="F724" s="28"/>
      <c r="G724" s="28"/>
      <c r="H724" s="28"/>
      <c r="I724" s="13"/>
      <c r="J724" s="28"/>
      <c r="K724" s="13"/>
      <c r="L724" s="28"/>
      <c r="M724" s="13"/>
      <c r="N724" s="28"/>
      <c r="O724" s="13"/>
      <c r="P724" s="28"/>
      <c r="Q724" s="20"/>
      <c r="R724" s="28"/>
      <c r="S724" s="20"/>
      <c r="T724" s="28"/>
      <c r="U724" s="13"/>
      <c r="V724" s="28"/>
      <c r="W724" s="13"/>
      <c r="X724" s="28"/>
      <c r="Y724" s="13"/>
      <c r="Z724" s="28"/>
      <c r="AA724" s="13"/>
      <c r="AB724" s="28"/>
      <c r="AC724" s="13"/>
      <c r="AD724" s="28"/>
      <c r="AE724" s="13"/>
      <c r="AF724" s="28"/>
      <c r="AG724" s="13"/>
      <c r="AH724" s="28"/>
      <c r="AI724" s="13"/>
      <c r="AJ724" s="28"/>
      <c r="AK724" s="13"/>
      <c r="AL724" s="28"/>
      <c r="AM724" s="13"/>
      <c r="AN724" s="28"/>
      <c r="AO724" s="13"/>
      <c r="AP724" s="28"/>
      <c r="AQ724" s="13"/>
      <c r="AR724" s="28"/>
      <c r="AS724" s="19">
        <f>SUM(H724,J724,L724,N724,P724,R724,T724,V724,X724,Z724,AB724,AD724,AF724,AH724,AJ724,AL724,AN724)</f>
        <v>0</v>
      </c>
      <c r="AT724" s="29" t="str">
        <f>IF(C724="","",DATE(YEAR(C724),MONTH(C724),1))</f>
        <v/>
      </c>
      <c r="AU724" s="28" t="str">
        <f>IF(AT724="","",TEXT(AT724,"mmmm yyyy"))</f>
        <v/>
      </c>
      <c r="AV724" s="29" t="str">
        <f>IF(C724="","",C724-WEEKDAY(C724,2)+1)</f>
        <v/>
      </c>
      <c r="AW724" s="29" t="str">
        <f>IF(AV724="","",AV724+6)</f>
        <v/>
      </c>
      <c r="AX724" s="28" t="str">
        <f>IF(AV724="","",TEXT(AV724,"dd/mm/yyyy")&amp;" - "&amp;TEXT(AW724,"dd/mm/yyyy"))</f>
        <v/>
      </c>
      <c r="AY724" s="28" t="str">
        <f>IF(B724="","",COUNTIFS($B$5:B724,B724,$AT$5:AT724,AT724))</f>
        <v/>
      </c>
      <c r="AZ724" s="28" t="str">
        <f>IF(B724="","",COUNTIFS($B$5:B724,B724,$AV$5:AV724,AV724))</f>
        <v/>
      </c>
      <c r="BA724" s="28" t="str">
        <f>IF(B724="","",TEXT(AY724,"00")&amp;"|"&amp;B724&amp;"|"&amp;TEXT(AT724,"yyyymmdd"))</f>
        <v/>
      </c>
      <c r="BB724" s="28" t="str">
        <f>IF(B724="","",TEXT(AZ724,"00")&amp;"|"&amp;B724&amp;"|"&amp;TEXT(AV724,"yyyymmdd"))</f>
        <v/>
      </c>
      <c r="BC724" s="28">
        <f>IF(OR(AQ724="YES",AQ724="Yes",AQ724="Y",AQ724=1),1,0)</f>
        <v>0</v>
      </c>
    </row>
    <row r="725" spans="1:55" ht="15" customHeight="1">
      <c r="A725" s="27"/>
      <c r="B725" s="28"/>
      <c r="C725" s="29"/>
      <c r="D725" s="30"/>
      <c r="E725" s="30"/>
      <c r="F725" s="28"/>
      <c r="G725" s="28"/>
      <c r="H725" s="28"/>
      <c r="I725" s="13"/>
      <c r="J725" s="28"/>
      <c r="K725" s="13"/>
      <c r="L725" s="28"/>
      <c r="M725" s="13"/>
      <c r="N725" s="28"/>
      <c r="O725" s="13"/>
      <c r="P725" s="28"/>
      <c r="Q725" s="20"/>
      <c r="R725" s="28"/>
      <c r="S725" s="20"/>
      <c r="T725" s="28"/>
      <c r="U725" s="13"/>
      <c r="V725" s="28"/>
      <c r="W725" s="13"/>
      <c r="X725" s="28"/>
      <c r="Y725" s="13"/>
      <c r="Z725" s="28"/>
      <c r="AA725" s="13"/>
      <c r="AB725" s="28"/>
      <c r="AC725" s="13"/>
      <c r="AD725" s="28"/>
      <c r="AE725" s="13"/>
      <c r="AF725" s="28"/>
      <c r="AG725" s="13"/>
      <c r="AH725" s="28"/>
      <c r="AI725" s="13"/>
      <c r="AJ725" s="28"/>
      <c r="AK725" s="13"/>
      <c r="AL725" s="28"/>
      <c r="AM725" s="13"/>
      <c r="AN725" s="28"/>
      <c r="AO725" s="13"/>
      <c r="AP725" s="28"/>
      <c r="AQ725" s="13"/>
      <c r="AR725" s="28"/>
      <c r="AS725" s="19">
        <f>SUM(H725,J725,L725,N725,P725,R725,T725,V725,X725,Z725,AB725,AD725,AF725,AH725,AJ725,AL725,AN725)</f>
        <v>0</v>
      </c>
      <c r="AT725" s="29" t="str">
        <f>IF(C725="","",DATE(YEAR(C725),MONTH(C725),1))</f>
        <v/>
      </c>
      <c r="AU725" s="28" t="str">
        <f>IF(AT725="","",TEXT(AT725,"mmmm yyyy"))</f>
        <v/>
      </c>
      <c r="AV725" s="29" t="str">
        <f>IF(C725="","",C725-WEEKDAY(C725,2)+1)</f>
        <v/>
      </c>
      <c r="AW725" s="29" t="str">
        <f>IF(AV725="","",AV725+6)</f>
        <v/>
      </c>
      <c r="AX725" s="28" t="str">
        <f>IF(AV725="","",TEXT(AV725,"dd/mm/yyyy")&amp;" - "&amp;TEXT(AW725,"dd/mm/yyyy"))</f>
        <v/>
      </c>
      <c r="AY725" s="28" t="str">
        <f>IF(B725="","",COUNTIFS($B$5:B725,B725,$AT$5:AT725,AT725))</f>
        <v/>
      </c>
      <c r="AZ725" s="28" t="str">
        <f>IF(B725="","",COUNTIFS($B$5:B725,B725,$AV$5:AV725,AV725))</f>
        <v/>
      </c>
      <c r="BA725" s="28" t="str">
        <f>IF(B725="","",TEXT(AY725,"00")&amp;"|"&amp;B725&amp;"|"&amp;TEXT(AT725,"yyyymmdd"))</f>
        <v/>
      </c>
      <c r="BB725" s="28" t="str">
        <f>IF(B725="","",TEXT(AZ725,"00")&amp;"|"&amp;B725&amp;"|"&amp;TEXT(AV725,"yyyymmdd"))</f>
        <v/>
      </c>
      <c r="BC725" s="28">
        <f>IF(OR(AQ725="YES",AQ725="Yes",AQ725="Y",AQ725=1),1,0)</f>
        <v>0</v>
      </c>
    </row>
    <row r="726" spans="1:55" ht="15" customHeight="1">
      <c r="A726" s="27"/>
      <c r="B726" s="28"/>
      <c r="C726" s="29"/>
      <c r="D726" s="30"/>
      <c r="E726" s="30"/>
      <c r="F726" s="28"/>
      <c r="G726" s="28"/>
      <c r="H726" s="28"/>
      <c r="I726" s="13"/>
      <c r="J726" s="28"/>
      <c r="K726" s="13"/>
      <c r="L726" s="28"/>
      <c r="M726" s="13"/>
      <c r="N726" s="28"/>
      <c r="O726" s="13"/>
      <c r="P726" s="28"/>
      <c r="Q726" s="20"/>
      <c r="R726" s="28"/>
      <c r="S726" s="20"/>
      <c r="T726" s="28"/>
      <c r="U726" s="13"/>
      <c r="V726" s="28"/>
      <c r="W726" s="13"/>
      <c r="X726" s="28"/>
      <c r="Y726" s="13"/>
      <c r="Z726" s="28"/>
      <c r="AA726" s="13"/>
      <c r="AB726" s="28"/>
      <c r="AC726" s="13"/>
      <c r="AD726" s="28"/>
      <c r="AE726" s="13"/>
      <c r="AF726" s="28"/>
      <c r="AG726" s="13"/>
      <c r="AH726" s="28"/>
      <c r="AI726" s="13"/>
      <c r="AJ726" s="28"/>
      <c r="AK726" s="13"/>
      <c r="AL726" s="28"/>
      <c r="AM726" s="13"/>
      <c r="AN726" s="28"/>
      <c r="AO726" s="13"/>
      <c r="AP726" s="28"/>
      <c r="AQ726" s="13"/>
      <c r="AR726" s="28"/>
      <c r="AS726" s="19">
        <f>SUM(H726,J726,L726,N726,P726,R726,T726,V726,X726,Z726,AB726,AD726,AF726,AH726,AJ726,AL726,AN726)</f>
        <v>0</v>
      </c>
      <c r="AT726" s="29" t="str">
        <f>IF(C726="","",DATE(YEAR(C726),MONTH(C726),1))</f>
        <v/>
      </c>
      <c r="AU726" s="28" t="str">
        <f>IF(AT726="","",TEXT(AT726,"mmmm yyyy"))</f>
        <v/>
      </c>
      <c r="AV726" s="29" t="str">
        <f>IF(C726="","",C726-WEEKDAY(C726,2)+1)</f>
        <v/>
      </c>
      <c r="AW726" s="29" t="str">
        <f>IF(AV726="","",AV726+6)</f>
        <v/>
      </c>
      <c r="AX726" s="28" t="str">
        <f>IF(AV726="","",TEXT(AV726,"dd/mm/yyyy")&amp;" - "&amp;TEXT(AW726,"dd/mm/yyyy"))</f>
        <v/>
      </c>
      <c r="AY726" s="28" t="str">
        <f>IF(B726="","",COUNTIFS($B$5:B726,B726,$AT$5:AT726,AT726))</f>
        <v/>
      </c>
      <c r="AZ726" s="28" t="str">
        <f>IF(B726="","",COUNTIFS($B$5:B726,B726,$AV$5:AV726,AV726))</f>
        <v/>
      </c>
      <c r="BA726" s="28" t="str">
        <f>IF(B726="","",TEXT(AY726,"00")&amp;"|"&amp;B726&amp;"|"&amp;TEXT(AT726,"yyyymmdd"))</f>
        <v/>
      </c>
      <c r="BB726" s="28" t="str">
        <f>IF(B726="","",TEXT(AZ726,"00")&amp;"|"&amp;B726&amp;"|"&amp;TEXT(AV726,"yyyymmdd"))</f>
        <v/>
      </c>
      <c r="BC726" s="28">
        <f>IF(OR(AQ726="YES",AQ726="Yes",AQ726="Y",AQ726=1),1,0)</f>
        <v>0</v>
      </c>
    </row>
    <row r="727" spans="1:55" ht="15" customHeight="1">
      <c r="A727" s="27"/>
      <c r="B727" s="28"/>
      <c r="C727" s="29"/>
      <c r="D727" s="30"/>
      <c r="E727" s="30"/>
      <c r="F727" s="28"/>
      <c r="G727" s="28"/>
      <c r="H727" s="28"/>
      <c r="I727" s="13"/>
      <c r="J727" s="28"/>
      <c r="K727" s="13"/>
      <c r="L727" s="28"/>
      <c r="M727" s="13"/>
      <c r="N727" s="28"/>
      <c r="O727" s="13"/>
      <c r="P727" s="28"/>
      <c r="Q727" s="20"/>
      <c r="R727" s="28"/>
      <c r="S727" s="20"/>
      <c r="T727" s="28"/>
      <c r="U727" s="13"/>
      <c r="V727" s="28"/>
      <c r="W727" s="13"/>
      <c r="X727" s="28"/>
      <c r="Y727" s="13"/>
      <c r="Z727" s="28"/>
      <c r="AA727" s="13"/>
      <c r="AB727" s="28"/>
      <c r="AC727" s="13"/>
      <c r="AD727" s="28"/>
      <c r="AE727" s="13"/>
      <c r="AF727" s="28"/>
      <c r="AG727" s="13"/>
      <c r="AH727" s="28"/>
      <c r="AI727" s="13"/>
      <c r="AJ727" s="28"/>
      <c r="AK727" s="13"/>
      <c r="AL727" s="28"/>
      <c r="AM727" s="13"/>
      <c r="AN727" s="28"/>
      <c r="AO727" s="13"/>
      <c r="AP727" s="28"/>
      <c r="AQ727" s="13"/>
      <c r="AR727" s="28"/>
      <c r="AS727" s="19">
        <f>SUM(H727,J727,L727,N727,P727,R727,T727,V727,X727,Z727,AB727,AD727,AF727,AH727,AJ727,AL727,AN727)</f>
        <v>0</v>
      </c>
      <c r="AT727" s="29" t="str">
        <f>IF(C727="","",DATE(YEAR(C727),MONTH(C727),1))</f>
        <v/>
      </c>
      <c r="AU727" s="28" t="str">
        <f>IF(AT727="","",TEXT(AT727,"mmmm yyyy"))</f>
        <v/>
      </c>
      <c r="AV727" s="29" t="str">
        <f>IF(C727="","",C727-WEEKDAY(C727,2)+1)</f>
        <v/>
      </c>
      <c r="AW727" s="29" t="str">
        <f>IF(AV727="","",AV727+6)</f>
        <v/>
      </c>
      <c r="AX727" s="28" t="str">
        <f>IF(AV727="","",TEXT(AV727,"dd/mm/yyyy")&amp;" - "&amp;TEXT(AW727,"dd/mm/yyyy"))</f>
        <v/>
      </c>
      <c r="AY727" s="28" t="str">
        <f>IF(B727="","",COUNTIFS($B$5:B727,B727,$AT$5:AT727,AT727))</f>
        <v/>
      </c>
      <c r="AZ727" s="28" t="str">
        <f>IF(B727="","",COUNTIFS($B$5:B727,B727,$AV$5:AV727,AV727))</f>
        <v/>
      </c>
      <c r="BA727" s="28" t="str">
        <f>IF(B727="","",TEXT(AY727,"00")&amp;"|"&amp;B727&amp;"|"&amp;TEXT(AT727,"yyyymmdd"))</f>
        <v/>
      </c>
      <c r="BB727" s="28" t="str">
        <f>IF(B727="","",TEXT(AZ727,"00")&amp;"|"&amp;B727&amp;"|"&amp;TEXT(AV727,"yyyymmdd"))</f>
        <v/>
      </c>
      <c r="BC727" s="28">
        <f>IF(OR(AQ727="YES",AQ727="Yes",AQ727="Y",AQ727=1),1,0)</f>
        <v>0</v>
      </c>
    </row>
    <row r="728" spans="1:55" ht="15" customHeight="1">
      <c r="A728" s="27"/>
      <c r="B728" s="28"/>
      <c r="C728" s="29"/>
      <c r="D728" s="30"/>
      <c r="E728" s="30"/>
      <c r="F728" s="28"/>
      <c r="G728" s="28"/>
      <c r="H728" s="28"/>
      <c r="I728" s="13"/>
      <c r="J728" s="28"/>
      <c r="K728" s="13"/>
      <c r="L728" s="28"/>
      <c r="M728" s="13"/>
      <c r="N728" s="28"/>
      <c r="O728" s="13"/>
      <c r="P728" s="28"/>
      <c r="Q728" s="20"/>
      <c r="R728" s="28"/>
      <c r="S728" s="20"/>
      <c r="T728" s="28"/>
      <c r="U728" s="13"/>
      <c r="V728" s="28"/>
      <c r="W728" s="13"/>
      <c r="X728" s="28"/>
      <c r="Y728" s="13"/>
      <c r="Z728" s="28"/>
      <c r="AA728" s="13"/>
      <c r="AB728" s="28"/>
      <c r="AC728" s="13"/>
      <c r="AD728" s="28"/>
      <c r="AE728" s="13"/>
      <c r="AF728" s="28"/>
      <c r="AG728" s="13"/>
      <c r="AH728" s="28"/>
      <c r="AI728" s="13"/>
      <c r="AJ728" s="28"/>
      <c r="AK728" s="13"/>
      <c r="AL728" s="28"/>
      <c r="AM728" s="13"/>
      <c r="AN728" s="28"/>
      <c r="AO728" s="13"/>
      <c r="AP728" s="28"/>
      <c r="AQ728" s="13"/>
      <c r="AR728" s="28"/>
      <c r="AS728" s="19">
        <f>SUM(H728,J728,L728,N728,P728,R728,T728,V728,X728,Z728,AB728,AD728,AF728,AH728,AJ728,AL728,AN728)</f>
        <v>0</v>
      </c>
      <c r="AT728" s="29" t="str">
        <f>IF(C728="","",DATE(YEAR(C728),MONTH(C728),1))</f>
        <v/>
      </c>
      <c r="AU728" s="28" t="str">
        <f>IF(AT728="","",TEXT(AT728,"mmmm yyyy"))</f>
        <v/>
      </c>
      <c r="AV728" s="29" t="str">
        <f>IF(C728="","",C728-WEEKDAY(C728,2)+1)</f>
        <v/>
      </c>
      <c r="AW728" s="29" t="str">
        <f>IF(AV728="","",AV728+6)</f>
        <v/>
      </c>
      <c r="AX728" s="28" t="str">
        <f>IF(AV728="","",TEXT(AV728,"dd/mm/yyyy")&amp;" - "&amp;TEXT(AW728,"dd/mm/yyyy"))</f>
        <v/>
      </c>
      <c r="AY728" s="28" t="str">
        <f>IF(B728="","",COUNTIFS($B$5:B728,B728,$AT$5:AT728,AT728))</f>
        <v/>
      </c>
      <c r="AZ728" s="28" t="str">
        <f>IF(B728="","",COUNTIFS($B$5:B728,B728,$AV$5:AV728,AV728))</f>
        <v/>
      </c>
      <c r="BA728" s="28" t="str">
        <f>IF(B728="","",TEXT(AY728,"00")&amp;"|"&amp;B728&amp;"|"&amp;TEXT(AT728,"yyyymmdd"))</f>
        <v/>
      </c>
      <c r="BB728" s="28" t="str">
        <f>IF(B728="","",TEXT(AZ728,"00")&amp;"|"&amp;B728&amp;"|"&amp;TEXT(AV728,"yyyymmdd"))</f>
        <v/>
      </c>
      <c r="BC728" s="28">
        <f>IF(OR(AQ728="YES",AQ728="Yes",AQ728="Y",AQ728=1),1,0)</f>
        <v>0</v>
      </c>
    </row>
    <row r="729" spans="1:55" ht="15" customHeight="1">
      <c r="A729" s="27"/>
      <c r="B729" s="28"/>
      <c r="C729" s="29"/>
      <c r="D729" s="30"/>
      <c r="E729" s="30"/>
      <c r="F729" s="28"/>
      <c r="G729" s="28"/>
      <c r="H729" s="28"/>
      <c r="I729" s="13"/>
      <c r="J729" s="28"/>
      <c r="K729" s="13"/>
      <c r="L729" s="28"/>
      <c r="M729" s="13"/>
      <c r="N729" s="28"/>
      <c r="O729" s="13"/>
      <c r="P729" s="28"/>
      <c r="Q729" s="20"/>
      <c r="R729" s="28"/>
      <c r="S729" s="20"/>
      <c r="T729" s="28"/>
      <c r="U729" s="13"/>
      <c r="V729" s="28"/>
      <c r="W729" s="13"/>
      <c r="X729" s="28"/>
      <c r="Y729" s="13"/>
      <c r="Z729" s="28"/>
      <c r="AA729" s="13"/>
      <c r="AB729" s="28"/>
      <c r="AC729" s="13"/>
      <c r="AD729" s="28"/>
      <c r="AE729" s="13"/>
      <c r="AF729" s="28"/>
      <c r="AG729" s="13"/>
      <c r="AH729" s="28"/>
      <c r="AI729" s="13"/>
      <c r="AJ729" s="28"/>
      <c r="AK729" s="13"/>
      <c r="AL729" s="28"/>
      <c r="AM729" s="13"/>
      <c r="AN729" s="28"/>
      <c r="AO729" s="13"/>
      <c r="AP729" s="28"/>
      <c r="AQ729" s="13"/>
      <c r="AR729" s="28"/>
      <c r="AS729" s="19">
        <f>SUM(H729,J729,L729,N729,P729,R729,T729,V729,X729,Z729,AB729,AD729,AF729,AH729,AJ729,AL729,AN729)</f>
        <v>0</v>
      </c>
      <c r="AT729" s="29" t="str">
        <f>IF(C729="","",DATE(YEAR(C729),MONTH(C729),1))</f>
        <v/>
      </c>
      <c r="AU729" s="28" t="str">
        <f>IF(AT729="","",TEXT(AT729,"mmmm yyyy"))</f>
        <v/>
      </c>
      <c r="AV729" s="29" t="str">
        <f>IF(C729="","",C729-WEEKDAY(C729,2)+1)</f>
        <v/>
      </c>
      <c r="AW729" s="29" t="str">
        <f>IF(AV729="","",AV729+6)</f>
        <v/>
      </c>
      <c r="AX729" s="28" t="str">
        <f>IF(AV729="","",TEXT(AV729,"dd/mm/yyyy")&amp;" - "&amp;TEXT(AW729,"dd/mm/yyyy"))</f>
        <v/>
      </c>
      <c r="AY729" s="28" t="str">
        <f>IF(B729="","",COUNTIFS($B$5:B729,B729,$AT$5:AT729,AT729))</f>
        <v/>
      </c>
      <c r="AZ729" s="28" t="str">
        <f>IF(B729="","",COUNTIFS($B$5:B729,B729,$AV$5:AV729,AV729))</f>
        <v/>
      </c>
      <c r="BA729" s="28" t="str">
        <f>IF(B729="","",TEXT(AY729,"00")&amp;"|"&amp;B729&amp;"|"&amp;TEXT(AT729,"yyyymmdd"))</f>
        <v/>
      </c>
      <c r="BB729" s="28" t="str">
        <f>IF(B729="","",TEXT(AZ729,"00")&amp;"|"&amp;B729&amp;"|"&amp;TEXT(AV729,"yyyymmdd"))</f>
        <v/>
      </c>
      <c r="BC729" s="28">
        <f>IF(OR(AQ729="YES",AQ729="Yes",AQ729="Y",AQ729=1),1,0)</f>
        <v>0</v>
      </c>
    </row>
    <row r="730" spans="1:55" ht="15" customHeight="1">
      <c r="A730" s="27"/>
      <c r="B730" s="28"/>
      <c r="C730" s="29"/>
      <c r="D730" s="30"/>
      <c r="E730" s="30"/>
      <c r="F730" s="28"/>
      <c r="G730" s="28"/>
      <c r="H730" s="28"/>
      <c r="I730" s="13"/>
      <c r="J730" s="28"/>
      <c r="K730" s="13"/>
      <c r="L730" s="28"/>
      <c r="M730" s="13"/>
      <c r="N730" s="28"/>
      <c r="O730" s="13"/>
      <c r="P730" s="28"/>
      <c r="Q730" s="20"/>
      <c r="R730" s="28"/>
      <c r="S730" s="20"/>
      <c r="T730" s="28"/>
      <c r="U730" s="13"/>
      <c r="V730" s="28"/>
      <c r="W730" s="13"/>
      <c r="X730" s="28"/>
      <c r="Y730" s="13"/>
      <c r="Z730" s="28"/>
      <c r="AA730" s="13"/>
      <c r="AB730" s="28"/>
      <c r="AC730" s="13"/>
      <c r="AD730" s="28"/>
      <c r="AE730" s="13"/>
      <c r="AF730" s="28"/>
      <c r="AG730" s="13"/>
      <c r="AH730" s="28"/>
      <c r="AI730" s="13"/>
      <c r="AJ730" s="28"/>
      <c r="AK730" s="13"/>
      <c r="AL730" s="28"/>
      <c r="AM730" s="13"/>
      <c r="AN730" s="28"/>
      <c r="AO730" s="13"/>
      <c r="AP730" s="28"/>
      <c r="AQ730" s="13"/>
      <c r="AR730" s="28"/>
      <c r="AS730" s="19">
        <f>SUM(H730,J730,L730,N730,P730,R730,T730,V730,X730,Z730,AB730,AD730,AF730,AH730,AJ730,AL730,AN730)</f>
        <v>0</v>
      </c>
      <c r="AT730" s="29" t="str">
        <f>IF(C730="","",DATE(YEAR(C730),MONTH(C730),1))</f>
        <v/>
      </c>
      <c r="AU730" s="28" t="str">
        <f>IF(AT730="","",TEXT(AT730,"mmmm yyyy"))</f>
        <v/>
      </c>
      <c r="AV730" s="29" t="str">
        <f>IF(C730="","",C730-WEEKDAY(C730,2)+1)</f>
        <v/>
      </c>
      <c r="AW730" s="29" t="str">
        <f>IF(AV730="","",AV730+6)</f>
        <v/>
      </c>
      <c r="AX730" s="28" t="str">
        <f>IF(AV730="","",TEXT(AV730,"dd/mm/yyyy")&amp;" - "&amp;TEXT(AW730,"dd/mm/yyyy"))</f>
        <v/>
      </c>
      <c r="AY730" s="28" t="str">
        <f>IF(B730="","",COUNTIFS($B$5:B730,B730,$AT$5:AT730,AT730))</f>
        <v/>
      </c>
      <c r="AZ730" s="28" t="str">
        <f>IF(B730="","",COUNTIFS($B$5:B730,B730,$AV$5:AV730,AV730))</f>
        <v/>
      </c>
      <c r="BA730" s="28" t="str">
        <f>IF(B730="","",TEXT(AY730,"00")&amp;"|"&amp;B730&amp;"|"&amp;TEXT(AT730,"yyyymmdd"))</f>
        <v/>
      </c>
      <c r="BB730" s="28" t="str">
        <f>IF(B730="","",TEXT(AZ730,"00")&amp;"|"&amp;B730&amp;"|"&amp;TEXT(AV730,"yyyymmdd"))</f>
        <v/>
      </c>
      <c r="BC730" s="28">
        <f>IF(OR(AQ730="YES",AQ730="Yes",AQ730="Y",AQ730=1),1,0)</f>
        <v>0</v>
      </c>
    </row>
    <row r="731" spans="1:55" ht="15" customHeight="1">
      <c r="A731" s="27"/>
      <c r="B731" s="28"/>
      <c r="C731" s="29"/>
      <c r="D731" s="30"/>
      <c r="E731" s="30"/>
      <c r="F731" s="28"/>
      <c r="G731" s="28"/>
      <c r="H731" s="28"/>
      <c r="I731" s="13"/>
      <c r="J731" s="28"/>
      <c r="K731" s="13"/>
      <c r="L731" s="28"/>
      <c r="M731" s="13"/>
      <c r="N731" s="28"/>
      <c r="O731" s="13"/>
      <c r="P731" s="28"/>
      <c r="Q731" s="20"/>
      <c r="R731" s="28"/>
      <c r="S731" s="20"/>
      <c r="T731" s="28"/>
      <c r="U731" s="13"/>
      <c r="V731" s="28"/>
      <c r="W731" s="13"/>
      <c r="X731" s="28"/>
      <c r="Y731" s="13"/>
      <c r="Z731" s="28"/>
      <c r="AA731" s="13"/>
      <c r="AB731" s="28"/>
      <c r="AC731" s="13"/>
      <c r="AD731" s="28"/>
      <c r="AE731" s="13"/>
      <c r="AF731" s="28"/>
      <c r="AG731" s="13"/>
      <c r="AH731" s="28"/>
      <c r="AI731" s="13"/>
      <c r="AJ731" s="28"/>
      <c r="AK731" s="13"/>
      <c r="AL731" s="28"/>
      <c r="AM731" s="13"/>
      <c r="AN731" s="28"/>
      <c r="AO731" s="13"/>
      <c r="AP731" s="28"/>
      <c r="AQ731" s="13"/>
      <c r="AR731" s="28"/>
      <c r="AS731" s="19">
        <f>SUM(H731,J731,L731,N731,P731,R731,T731,V731,X731,Z731,AB731,AD731,AF731,AH731,AJ731,AL731,AN731)</f>
        <v>0</v>
      </c>
      <c r="AT731" s="29" t="str">
        <f>IF(C731="","",DATE(YEAR(C731),MONTH(C731),1))</f>
        <v/>
      </c>
      <c r="AU731" s="28" t="str">
        <f>IF(AT731="","",TEXT(AT731,"mmmm yyyy"))</f>
        <v/>
      </c>
      <c r="AV731" s="29" t="str">
        <f>IF(C731="","",C731-WEEKDAY(C731,2)+1)</f>
        <v/>
      </c>
      <c r="AW731" s="29" t="str">
        <f>IF(AV731="","",AV731+6)</f>
        <v/>
      </c>
      <c r="AX731" s="28" t="str">
        <f>IF(AV731="","",TEXT(AV731,"dd/mm/yyyy")&amp;" - "&amp;TEXT(AW731,"dd/mm/yyyy"))</f>
        <v/>
      </c>
      <c r="AY731" s="28" t="str">
        <f>IF(B731="","",COUNTIFS($B$5:B731,B731,$AT$5:AT731,AT731))</f>
        <v/>
      </c>
      <c r="AZ731" s="28" t="str">
        <f>IF(B731="","",COUNTIFS($B$5:B731,B731,$AV$5:AV731,AV731))</f>
        <v/>
      </c>
      <c r="BA731" s="28" t="str">
        <f>IF(B731="","",TEXT(AY731,"00")&amp;"|"&amp;B731&amp;"|"&amp;TEXT(AT731,"yyyymmdd"))</f>
        <v/>
      </c>
      <c r="BB731" s="28" t="str">
        <f>IF(B731="","",TEXT(AZ731,"00")&amp;"|"&amp;B731&amp;"|"&amp;TEXT(AV731,"yyyymmdd"))</f>
        <v/>
      </c>
      <c r="BC731" s="28">
        <f>IF(OR(AQ731="YES",AQ731="Yes",AQ731="Y",AQ731=1),1,0)</f>
        <v>0</v>
      </c>
    </row>
    <row r="732" spans="1:55" ht="15" customHeight="1">
      <c r="A732" s="27"/>
      <c r="B732" s="28"/>
      <c r="C732" s="29"/>
      <c r="D732" s="30"/>
      <c r="E732" s="30"/>
      <c r="F732" s="28"/>
      <c r="G732" s="28"/>
      <c r="H732" s="28"/>
      <c r="I732" s="13"/>
      <c r="J732" s="28"/>
      <c r="K732" s="13"/>
      <c r="L732" s="28"/>
      <c r="M732" s="13"/>
      <c r="N732" s="28"/>
      <c r="O732" s="13"/>
      <c r="P732" s="28"/>
      <c r="Q732" s="20"/>
      <c r="R732" s="28"/>
      <c r="S732" s="20"/>
      <c r="T732" s="28"/>
      <c r="U732" s="13"/>
      <c r="V732" s="28"/>
      <c r="W732" s="13"/>
      <c r="X732" s="28"/>
      <c r="Y732" s="13"/>
      <c r="Z732" s="28"/>
      <c r="AA732" s="13"/>
      <c r="AB732" s="28"/>
      <c r="AC732" s="13"/>
      <c r="AD732" s="28"/>
      <c r="AE732" s="13"/>
      <c r="AF732" s="28"/>
      <c r="AG732" s="13"/>
      <c r="AH732" s="28"/>
      <c r="AI732" s="13"/>
      <c r="AJ732" s="28"/>
      <c r="AK732" s="13"/>
      <c r="AL732" s="28"/>
      <c r="AM732" s="13"/>
      <c r="AN732" s="28"/>
      <c r="AO732" s="13"/>
      <c r="AP732" s="28"/>
      <c r="AQ732" s="13"/>
      <c r="AR732" s="28"/>
      <c r="AS732" s="19">
        <f>SUM(H732,J732,L732,N732,P732,R732,T732,V732,X732,Z732,AB732,AD732,AF732,AH732,AJ732,AL732,AN732)</f>
        <v>0</v>
      </c>
      <c r="AT732" s="29" t="str">
        <f>IF(C732="","",DATE(YEAR(C732),MONTH(C732),1))</f>
        <v/>
      </c>
      <c r="AU732" s="28" t="str">
        <f>IF(AT732="","",TEXT(AT732,"mmmm yyyy"))</f>
        <v/>
      </c>
      <c r="AV732" s="29" t="str">
        <f>IF(C732="","",C732-WEEKDAY(C732,2)+1)</f>
        <v/>
      </c>
      <c r="AW732" s="29" t="str">
        <f>IF(AV732="","",AV732+6)</f>
        <v/>
      </c>
      <c r="AX732" s="28" t="str">
        <f>IF(AV732="","",TEXT(AV732,"dd/mm/yyyy")&amp;" - "&amp;TEXT(AW732,"dd/mm/yyyy"))</f>
        <v/>
      </c>
      <c r="AY732" s="28" t="str">
        <f>IF(B732="","",COUNTIFS($B$5:B732,B732,$AT$5:AT732,AT732))</f>
        <v/>
      </c>
      <c r="AZ732" s="28" t="str">
        <f>IF(B732="","",COUNTIFS($B$5:B732,B732,$AV$5:AV732,AV732))</f>
        <v/>
      </c>
      <c r="BA732" s="28" t="str">
        <f>IF(B732="","",TEXT(AY732,"00")&amp;"|"&amp;B732&amp;"|"&amp;TEXT(AT732,"yyyymmdd"))</f>
        <v/>
      </c>
      <c r="BB732" s="28" t="str">
        <f>IF(B732="","",TEXT(AZ732,"00")&amp;"|"&amp;B732&amp;"|"&amp;TEXT(AV732,"yyyymmdd"))</f>
        <v/>
      </c>
      <c r="BC732" s="28">
        <f>IF(OR(AQ732="YES",AQ732="Yes",AQ732="Y",AQ732=1),1,0)</f>
        <v>0</v>
      </c>
    </row>
    <row r="733" spans="1:55" ht="15" customHeight="1">
      <c r="A733" s="27"/>
      <c r="B733" s="28"/>
      <c r="C733" s="29"/>
      <c r="D733" s="30"/>
      <c r="E733" s="30"/>
      <c r="F733" s="28"/>
      <c r="G733" s="28"/>
      <c r="H733" s="28"/>
      <c r="I733" s="13"/>
      <c r="J733" s="28"/>
      <c r="K733" s="13"/>
      <c r="L733" s="28"/>
      <c r="M733" s="13"/>
      <c r="N733" s="28"/>
      <c r="O733" s="13"/>
      <c r="P733" s="28"/>
      <c r="Q733" s="20"/>
      <c r="R733" s="28"/>
      <c r="S733" s="20"/>
      <c r="T733" s="28"/>
      <c r="U733" s="13"/>
      <c r="V733" s="28"/>
      <c r="W733" s="13"/>
      <c r="X733" s="28"/>
      <c r="Y733" s="13"/>
      <c r="Z733" s="28"/>
      <c r="AA733" s="13"/>
      <c r="AB733" s="28"/>
      <c r="AC733" s="13"/>
      <c r="AD733" s="28"/>
      <c r="AE733" s="13"/>
      <c r="AF733" s="28"/>
      <c r="AG733" s="13"/>
      <c r="AH733" s="28"/>
      <c r="AI733" s="13"/>
      <c r="AJ733" s="28"/>
      <c r="AK733" s="13"/>
      <c r="AL733" s="28"/>
      <c r="AM733" s="13"/>
      <c r="AN733" s="28"/>
      <c r="AO733" s="13"/>
      <c r="AP733" s="28"/>
      <c r="AQ733" s="13"/>
      <c r="AR733" s="28"/>
      <c r="AS733" s="19">
        <f>SUM(H733,J733,L733,N733,P733,R733,T733,V733,X733,Z733,AB733,AD733,AF733,AH733,AJ733,AL733,AN733)</f>
        <v>0</v>
      </c>
      <c r="AT733" s="29" t="str">
        <f>IF(C733="","",DATE(YEAR(C733),MONTH(C733),1))</f>
        <v/>
      </c>
      <c r="AU733" s="28" t="str">
        <f>IF(AT733="","",TEXT(AT733,"mmmm yyyy"))</f>
        <v/>
      </c>
      <c r="AV733" s="29" t="str">
        <f>IF(C733="","",C733-WEEKDAY(C733,2)+1)</f>
        <v/>
      </c>
      <c r="AW733" s="29" t="str">
        <f>IF(AV733="","",AV733+6)</f>
        <v/>
      </c>
      <c r="AX733" s="28" t="str">
        <f>IF(AV733="","",TEXT(AV733,"dd/mm/yyyy")&amp;" - "&amp;TEXT(AW733,"dd/mm/yyyy"))</f>
        <v/>
      </c>
      <c r="AY733" s="28" t="str">
        <f>IF(B733="","",COUNTIFS($B$5:B733,B733,$AT$5:AT733,AT733))</f>
        <v/>
      </c>
      <c r="AZ733" s="28" t="str">
        <f>IF(B733="","",COUNTIFS($B$5:B733,B733,$AV$5:AV733,AV733))</f>
        <v/>
      </c>
      <c r="BA733" s="28" t="str">
        <f>IF(B733="","",TEXT(AY733,"00")&amp;"|"&amp;B733&amp;"|"&amp;TEXT(AT733,"yyyymmdd"))</f>
        <v/>
      </c>
      <c r="BB733" s="28" t="str">
        <f>IF(B733="","",TEXT(AZ733,"00")&amp;"|"&amp;B733&amp;"|"&amp;TEXT(AV733,"yyyymmdd"))</f>
        <v/>
      </c>
      <c r="BC733" s="28">
        <f>IF(OR(AQ733="YES",AQ733="Yes",AQ733="Y",AQ733=1),1,0)</f>
        <v>0</v>
      </c>
    </row>
    <row r="734" spans="1:55" ht="15" customHeight="1">
      <c r="A734" s="27"/>
      <c r="B734" s="28"/>
      <c r="C734" s="29"/>
      <c r="D734" s="30"/>
      <c r="E734" s="30"/>
      <c r="F734" s="28"/>
      <c r="G734" s="28"/>
      <c r="H734" s="28"/>
      <c r="I734" s="13"/>
      <c r="J734" s="28"/>
      <c r="K734" s="13"/>
      <c r="L734" s="28"/>
      <c r="M734" s="13"/>
      <c r="N734" s="28"/>
      <c r="O734" s="13"/>
      <c r="P734" s="28"/>
      <c r="Q734" s="20"/>
      <c r="R734" s="28"/>
      <c r="S734" s="20"/>
      <c r="T734" s="28"/>
      <c r="U734" s="13"/>
      <c r="V734" s="28"/>
      <c r="W734" s="13"/>
      <c r="X734" s="28"/>
      <c r="Y734" s="13"/>
      <c r="Z734" s="28"/>
      <c r="AA734" s="13"/>
      <c r="AB734" s="28"/>
      <c r="AC734" s="13"/>
      <c r="AD734" s="28"/>
      <c r="AE734" s="13"/>
      <c r="AF734" s="28"/>
      <c r="AG734" s="13"/>
      <c r="AH734" s="28"/>
      <c r="AI734" s="13"/>
      <c r="AJ734" s="28"/>
      <c r="AK734" s="13"/>
      <c r="AL734" s="28"/>
      <c r="AM734" s="13"/>
      <c r="AN734" s="28"/>
      <c r="AO734" s="13"/>
      <c r="AP734" s="28"/>
      <c r="AQ734" s="13"/>
      <c r="AR734" s="28"/>
      <c r="AS734" s="19">
        <f>SUM(H734,J734,L734,N734,P734,R734,T734,V734,X734,Z734,AB734,AD734,AF734,AH734,AJ734,AL734,AN734)</f>
        <v>0</v>
      </c>
      <c r="AT734" s="29" t="str">
        <f>IF(C734="","",DATE(YEAR(C734),MONTH(C734),1))</f>
        <v/>
      </c>
      <c r="AU734" s="28" t="str">
        <f>IF(AT734="","",TEXT(AT734,"mmmm yyyy"))</f>
        <v/>
      </c>
      <c r="AV734" s="29" t="str">
        <f>IF(C734="","",C734-WEEKDAY(C734,2)+1)</f>
        <v/>
      </c>
      <c r="AW734" s="29" t="str">
        <f>IF(AV734="","",AV734+6)</f>
        <v/>
      </c>
      <c r="AX734" s="28" t="str">
        <f>IF(AV734="","",TEXT(AV734,"dd/mm/yyyy")&amp;" - "&amp;TEXT(AW734,"dd/mm/yyyy"))</f>
        <v/>
      </c>
      <c r="AY734" s="28" t="str">
        <f>IF(B734="","",COUNTIFS($B$5:B734,B734,$AT$5:AT734,AT734))</f>
        <v/>
      </c>
      <c r="AZ734" s="28" t="str">
        <f>IF(B734="","",COUNTIFS($B$5:B734,B734,$AV$5:AV734,AV734))</f>
        <v/>
      </c>
      <c r="BA734" s="28" t="str">
        <f>IF(B734="","",TEXT(AY734,"00")&amp;"|"&amp;B734&amp;"|"&amp;TEXT(AT734,"yyyymmdd"))</f>
        <v/>
      </c>
      <c r="BB734" s="28" t="str">
        <f>IF(B734="","",TEXT(AZ734,"00")&amp;"|"&amp;B734&amp;"|"&amp;TEXT(AV734,"yyyymmdd"))</f>
        <v/>
      </c>
      <c r="BC734" s="28">
        <f>IF(OR(AQ734="YES",AQ734="Yes",AQ734="Y",AQ734=1),1,0)</f>
        <v>0</v>
      </c>
    </row>
    <row r="735" spans="1:55" ht="15" customHeight="1">
      <c r="A735" s="27"/>
      <c r="B735" s="28"/>
      <c r="C735" s="29"/>
      <c r="D735" s="30"/>
      <c r="E735" s="30"/>
      <c r="F735" s="28"/>
      <c r="G735" s="28"/>
      <c r="H735" s="28"/>
      <c r="I735" s="13"/>
      <c r="J735" s="28"/>
      <c r="K735" s="13"/>
      <c r="L735" s="28"/>
      <c r="M735" s="13"/>
      <c r="N735" s="28"/>
      <c r="O735" s="13"/>
      <c r="P735" s="28"/>
      <c r="Q735" s="20"/>
      <c r="R735" s="28"/>
      <c r="S735" s="20"/>
      <c r="T735" s="28"/>
      <c r="U735" s="13"/>
      <c r="V735" s="28"/>
      <c r="W735" s="13"/>
      <c r="X735" s="28"/>
      <c r="Y735" s="13"/>
      <c r="Z735" s="28"/>
      <c r="AA735" s="13"/>
      <c r="AB735" s="28"/>
      <c r="AC735" s="13"/>
      <c r="AD735" s="28"/>
      <c r="AE735" s="13"/>
      <c r="AF735" s="28"/>
      <c r="AG735" s="13"/>
      <c r="AH735" s="28"/>
      <c r="AI735" s="13"/>
      <c r="AJ735" s="28"/>
      <c r="AK735" s="13"/>
      <c r="AL735" s="28"/>
      <c r="AM735" s="13"/>
      <c r="AN735" s="28"/>
      <c r="AO735" s="13"/>
      <c r="AP735" s="28"/>
      <c r="AQ735" s="13"/>
      <c r="AR735" s="28"/>
      <c r="AS735" s="19">
        <f>SUM(H735,J735,L735,N735,P735,R735,T735,V735,X735,Z735,AB735,AD735,AF735,AH735,AJ735,AL735,AN735)</f>
        <v>0</v>
      </c>
      <c r="AT735" s="29" t="str">
        <f>IF(C735="","",DATE(YEAR(C735),MONTH(C735),1))</f>
        <v/>
      </c>
      <c r="AU735" s="28" t="str">
        <f>IF(AT735="","",TEXT(AT735,"mmmm yyyy"))</f>
        <v/>
      </c>
      <c r="AV735" s="29" t="str">
        <f>IF(C735="","",C735-WEEKDAY(C735,2)+1)</f>
        <v/>
      </c>
      <c r="AW735" s="29" t="str">
        <f>IF(AV735="","",AV735+6)</f>
        <v/>
      </c>
      <c r="AX735" s="28" t="str">
        <f>IF(AV735="","",TEXT(AV735,"dd/mm/yyyy")&amp;" - "&amp;TEXT(AW735,"dd/mm/yyyy"))</f>
        <v/>
      </c>
      <c r="AY735" s="28" t="str">
        <f>IF(B735="","",COUNTIFS($B$5:B735,B735,$AT$5:AT735,AT735))</f>
        <v/>
      </c>
      <c r="AZ735" s="28" t="str">
        <f>IF(B735="","",COUNTIFS($B$5:B735,B735,$AV$5:AV735,AV735))</f>
        <v/>
      </c>
      <c r="BA735" s="28" t="str">
        <f>IF(B735="","",TEXT(AY735,"00")&amp;"|"&amp;B735&amp;"|"&amp;TEXT(AT735,"yyyymmdd"))</f>
        <v/>
      </c>
      <c r="BB735" s="28" t="str">
        <f>IF(B735="","",TEXT(AZ735,"00")&amp;"|"&amp;B735&amp;"|"&amp;TEXT(AV735,"yyyymmdd"))</f>
        <v/>
      </c>
      <c r="BC735" s="28">
        <f>IF(OR(AQ735="YES",AQ735="Yes",AQ735="Y",AQ735=1),1,0)</f>
        <v>0</v>
      </c>
    </row>
    <row r="736" spans="1:55" ht="15" customHeight="1">
      <c r="A736" s="27"/>
      <c r="B736" s="28"/>
      <c r="C736" s="29"/>
      <c r="D736" s="30"/>
      <c r="E736" s="30"/>
      <c r="F736" s="28"/>
      <c r="G736" s="28"/>
      <c r="H736" s="28"/>
      <c r="I736" s="13"/>
      <c r="J736" s="28"/>
      <c r="K736" s="13"/>
      <c r="L736" s="28"/>
      <c r="M736" s="13"/>
      <c r="N736" s="28"/>
      <c r="O736" s="13"/>
      <c r="P736" s="28"/>
      <c r="Q736" s="20"/>
      <c r="R736" s="28"/>
      <c r="S736" s="20"/>
      <c r="T736" s="28"/>
      <c r="U736" s="13"/>
      <c r="V736" s="28"/>
      <c r="W736" s="13"/>
      <c r="X736" s="28"/>
      <c r="Y736" s="13"/>
      <c r="Z736" s="28"/>
      <c r="AA736" s="13"/>
      <c r="AB736" s="28"/>
      <c r="AC736" s="13"/>
      <c r="AD736" s="28"/>
      <c r="AE736" s="13"/>
      <c r="AF736" s="28"/>
      <c r="AG736" s="13"/>
      <c r="AH736" s="28"/>
      <c r="AI736" s="13"/>
      <c r="AJ736" s="28"/>
      <c r="AK736" s="13"/>
      <c r="AL736" s="28"/>
      <c r="AM736" s="13"/>
      <c r="AN736" s="28"/>
      <c r="AO736" s="13"/>
      <c r="AP736" s="28"/>
      <c r="AQ736" s="13"/>
      <c r="AR736" s="28"/>
      <c r="AS736" s="19">
        <f>SUM(H736,J736,L736,N736,P736,R736,T736,V736,X736,Z736,AB736,AD736,AF736,AH736,AJ736,AL736,AN736)</f>
        <v>0</v>
      </c>
      <c r="AT736" s="29" t="str">
        <f>IF(C736="","",DATE(YEAR(C736),MONTH(C736),1))</f>
        <v/>
      </c>
      <c r="AU736" s="28" t="str">
        <f>IF(AT736="","",TEXT(AT736,"mmmm yyyy"))</f>
        <v/>
      </c>
      <c r="AV736" s="29" t="str">
        <f>IF(C736="","",C736-WEEKDAY(C736,2)+1)</f>
        <v/>
      </c>
      <c r="AW736" s="29" t="str">
        <f>IF(AV736="","",AV736+6)</f>
        <v/>
      </c>
      <c r="AX736" s="28" t="str">
        <f>IF(AV736="","",TEXT(AV736,"dd/mm/yyyy")&amp;" - "&amp;TEXT(AW736,"dd/mm/yyyy"))</f>
        <v/>
      </c>
      <c r="AY736" s="28" t="str">
        <f>IF(B736="","",COUNTIFS($B$5:B736,B736,$AT$5:AT736,AT736))</f>
        <v/>
      </c>
      <c r="AZ736" s="28" t="str">
        <f>IF(B736="","",COUNTIFS($B$5:B736,B736,$AV$5:AV736,AV736))</f>
        <v/>
      </c>
      <c r="BA736" s="28" t="str">
        <f>IF(B736="","",TEXT(AY736,"00")&amp;"|"&amp;B736&amp;"|"&amp;TEXT(AT736,"yyyymmdd"))</f>
        <v/>
      </c>
      <c r="BB736" s="28" t="str">
        <f>IF(B736="","",TEXT(AZ736,"00")&amp;"|"&amp;B736&amp;"|"&amp;TEXT(AV736,"yyyymmdd"))</f>
        <v/>
      </c>
      <c r="BC736" s="28">
        <f>IF(OR(AQ736="YES",AQ736="Yes",AQ736="Y",AQ736=1),1,0)</f>
        <v>0</v>
      </c>
    </row>
    <row r="737" spans="1:55" ht="15" customHeight="1">
      <c r="A737" s="27"/>
      <c r="B737" s="28"/>
      <c r="C737" s="29"/>
      <c r="D737" s="30"/>
      <c r="E737" s="30"/>
      <c r="F737" s="28"/>
      <c r="G737" s="28"/>
      <c r="H737" s="28"/>
      <c r="I737" s="13"/>
      <c r="J737" s="28"/>
      <c r="K737" s="13"/>
      <c r="L737" s="28"/>
      <c r="M737" s="13"/>
      <c r="N737" s="28"/>
      <c r="O737" s="13"/>
      <c r="P737" s="28"/>
      <c r="Q737" s="20"/>
      <c r="R737" s="28"/>
      <c r="S737" s="20"/>
      <c r="T737" s="28"/>
      <c r="U737" s="13"/>
      <c r="V737" s="28"/>
      <c r="W737" s="13"/>
      <c r="X737" s="28"/>
      <c r="Y737" s="13"/>
      <c r="Z737" s="28"/>
      <c r="AA737" s="13"/>
      <c r="AB737" s="28"/>
      <c r="AC737" s="13"/>
      <c r="AD737" s="28"/>
      <c r="AE737" s="13"/>
      <c r="AF737" s="28"/>
      <c r="AG737" s="13"/>
      <c r="AH737" s="28"/>
      <c r="AI737" s="13"/>
      <c r="AJ737" s="28"/>
      <c r="AK737" s="13"/>
      <c r="AL737" s="28"/>
      <c r="AM737" s="13"/>
      <c r="AN737" s="28"/>
      <c r="AO737" s="13"/>
      <c r="AP737" s="28"/>
      <c r="AQ737" s="13"/>
      <c r="AR737" s="28"/>
      <c r="AS737" s="19">
        <f>SUM(H737,J737,L737,N737,P737,R737,T737,V737,X737,Z737,AB737,AD737,AF737,AH737,AJ737,AL737,AN737)</f>
        <v>0</v>
      </c>
      <c r="AT737" s="29" t="str">
        <f>IF(C737="","",DATE(YEAR(C737),MONTH(C737),1))</f>
        <v/>
      </c>
      <c r="AU737" s="28" t="str">
        <f>IF(AT737="","",TEXT(AT737,"mmmm yyyy"))</f>
        <v/>
      </c>
      <c r="AV737" s="29" t="str">
        <f>IF(C737="","",C737-WEEKDAY(C737,2)+1)</f>
        <v/>
      </c>
      <c r="AW737" s="29" t="str">
        <f>IF(AV737="","",AV737+6)</f>
        <v/>
      </c>
      <c r="AX737" s="28" t="str">
        <f>IF(AV737="","",TEXT(AV737,"dd/mm/yyyy")&amp;" - "&amp;TEXT(AW737,"dd/mm/yyyy"))</f>
        <v/>
      </c>
      <c r="AY737" s="28" t="str">
        <f>IF(B737="","",COUNTIFS($B$5:B737,B737,$AT$5:AT737,AT737))</f>
        <v/>
      </c>
      <c r="AZ737" s="28" t="str">
        <f>IF(B737="","",COUNTIFS($B$5:B737,B737,$AV$5:AV737,AV737))</f>
        <v/>
      </c>
      <c r="BA737" s="28" t="str">
        <f>IF(B737="","",TEXT(AY737,"00")&amp;"|"&amp;B737&amp;"|"&amp;TEXT(AT737,"yyyymmdd"))</f>
        <v/>
      </c>
      <c r="BB737" s="28" t="str">
        <f>IF(B737="","",TEXT(AZ737,"00")&amp;"|"&amp;B737&amp;"|"&amp;TEXT(AV737,"yyyymmdd"))</f>
        <v/>
      </c>
      <c r="BC737" s="28">
        <f>IF(OR(AQ737="YES",AQ737="Yes",AQ737="Y",AQ737=1),1,0)</f>
        <v>0</v>
      </c>
    </row>
    <row r="738" spans="1:55" ht="15" customHeight="1">
      <c r="A738" s="27"/>
      <c r="B738" s="28"/>
      <c r="C738" s="29"/>
      <c r="D738" s="30"/>
      <c r="E738" s="30"/>
      <c r="F738" s="28"/>
      <c r="G738" s="28"/>
      <c r="H738" s="28"/>
      <c r="I738" s="13"/>
      <c r="J738" s="28"/>
      <c r="K738" s="13"/>
      <c r="L738" s="28"/>
      <c r="M738" s="13"/>
      <c r="N738" s="28"/>
      <c r="O738" s="13"/>
      <c r="P738" s="28"/>
      <c r="Q738" s="20"/>
      <c r="R738" s="28"/>
      <c r="S738" s="20"/>
      <c r="T738" s="28"/>
      <c r="U738" s="13"/>
      <c r="V738" s="28"/>
      <c r="W738" s="13"/>
      <c r="X738" s="28"/>
      <c r="Y738" s="13"/>
      <c r="Z738" s="28"/>
      <c r="AA738" s="13"/>
      <c r="AB738" s="28"/>
      <c r="AC738" s="13"/>
      <c r="AD738" s="28"/>
      <c r="AE738" s="13"/>
      <c r="AF738" s="28"/>
      <c r="AG738" s="13"/>
      <c r="AH738" s="28"/>
      <c r="AI738" s="13"/>
      <c r="AJ738" s="28"/>
      <c r="AK738" s="13"/>
      <c r="AL738" s="28"/>
      <c r="AM738" s="13"/>
      <c r="AN738" s="28"/>
      <c r="AO738" s="13"/>
      <c r="AP738" s="28"/>
      <c r="AQ738" s="13"/>
      <c r="AR738" s="28"/>
      <c r="AS738" s="19">
        <f>SUM(H738,J738,L738,N738,P738,R738,T738,V738,X738,Z738,AB738,AD738,AF738,AH738,AJ738,AL738,AN738)</f>
        <v>0</v>
      </c>
      <c r="AT738" s="29" t="str">
        <f>IF(C738="","",DATE(YEAR(C738),MONTH(C738),1))</f>
        <v/>
      </c>
      <c r="AU738" s="28" t="str">
        <f>IF(AT738="","",TEXT(AT738,"mmmm yyyy"))</f>
        <v/>
      </c>
      <c r="AV738" s="29" t="str">
        <f>IF(C738="","",C738-WEEKDAY(C738,2)+1)</f>
        <v/>
      </c>
      <c r="AW738" s="29" t="str">
        <f>IF(AV738="","",AV738+6)</f>
        <v/>
      </c>
      <c r="AX738" s="28" t="str">
        <f>IF(AV738="","",TEXT(AV738,"dd/mm/yyyy")&amp;" - "&amp;TEXT(AW738,"dd/mm/yyyy"))</f>
        <v/>
      </c>
      <c r="AY738" s="28" t="str">
        <f>IF(B738="","",COUNTIFS($B$5:B738,B738,$AT$5:AT738,AT738))</f>
        <v/>
      </c>
      <c r="AZ738" s="28" t="str">
        <f>IF(B738="","",COUNTIFS($B$5:B738,B738,$AV$5:AV738,AV738))</f>
        <v/>
      </c>
      <c r="BA738" s="28" t="str">
        <f>IF(B738="","",TEXT(AY738,"00")&amp;"|"&amp;B738&amp;"|"&amp;TEXT(AT738,"yyyymmdd"))</f>
        <v/>
      </c>
      <c r="BB738" s="28" t="str">
        <f>IF(B738="","",TEXT(AZ738,"00")&amp;"|"&amp;B738&amp;"|"&amp;TEXT(AV738,"yyyymmdd"))</f>
        <v/>
      </c>
      <c r="BC738" s="28">
        <f>IF(OR(AQ738="YES",AQ738="Yes",AQ738="Y",AQ738=1),1,0)</f>
        <v>0</v>
      </c>
    </row>
    <row r="739" spans="1:55" ht="15" customHeight="1">
      <c r="A739" s="27"/>
      <c r="B739" s="28"/>
      <c r="C739" s="29"/>
      <c r="D739" s="30"/>
      <c r="E739" s="30"/>
      <c r="F739" s="28"/>
      <c r="G739" s="28"/>
      <c r="H739" s="28"/>
      <c r="I739" s="13"/>
      <c r="J739" s="28"/>
      <c r="K739" s="13"/>
      <c r="L739" s="28"/>
      <c r="M739" s="13"/>
      <c r="N739" s="28"/>
      <c r="O739" s="13"/>
      <c r="P739" s="28"/>
      <c r="Q739" s="20"/>
      <c r="R739" s="28"/>
      <c r="S739" s="20"/>
      <c r="T739" s="28"/>
      <c r="U739" s="13"/>
      <c r="V739" s="28"/>
      <c r="W739" s="13"/>
      <c r="X739" s="28"/>
      <c r="Y739" s="13"/>
      <c r="Z739" s="28"/>
      <c r="AA739" s="13"/>
      <c r="AB739" s="28"/>
      <c r="AC739" s="13"/>
      <c r="AD739" s="28"/>
      <c r="AE739" s="13"/>
      <c r="AF739" s="28"/>
      <c r="AG739" s="13"/>
      <c r="AH739" s="28"/>
      <c r="AI739" s="13"/>
      <c r="AJ739" s="28"/>
      <c r="AK739" s="13"/>
      <c r="AL739" s="28"/>
      <c r="AM739" s="13"/>
      <c r="AN739" s="28"/>
      <c r="AO739" s="13"/>
      <c r="AP739" s="28"/>
      <c r="AQ739" s="13"/>
      <c r="AR739" s="28"/>
      <c r="AS739" s="19">
        <f>SUM(H739,J739,L739,N739,P739,R739,T739,V739,X739,Z739,AB739,AD739,AF739,AH739,AJ739,AL739,AN739)</f>
        <v>0</v>
      </c>
      <c r="AT739" s="29" t="str">
        <f>IF(C739="","",DATE(YEAR(C739),MONTH(C739),1))</f>
        <v/>
      </c>
      <c r="AU739" s="28" t="str">
        <f>IF(AT739="","",TEXT(AT739,"mmmm yyyy"))</f>
        <v/>
      </c>
      <c r="AV739" s="29" t="str">
        <f>IF(C739="","",C739-WEEKDAY(C739,2)+1)</f>
        <v/>
      </c>
      <c r="AW739" s="29" t="str">
        <f>IF(AV739="","",AV739+6)</f>
        <v/>
      </c>
      <c r="AX739" s="28" t="str">
        <f>IF(AV739="","",TEXT(AV739,"dd/mm/yyyy")&amp;" - "&amp;TEXT(AW739,"dd/mm/yyyy"))</f>
        <v/>
      </c>
      <c r="AY739" s="28" t="str">
        <f>IF(B739="","",COUNTIFS($B$5:B739,B739,$AT$5:AT739,AT739))</f>
        <v/>
      </c>
      <c r="AZ739" s="28" t="str">
        <f>IF(B739="","",COUNTIFS($B$5:B739,B739,$AV$5:AV739,AV739))</f>
        <v/>
      </c>
      <c r="BA739" s="28" t="str">
        <f>IF(B739="","",TEXT(AY739,"00")&amp;"|"&amp;B739&amp;"|"&amp;TEXT(AT739,"yyyymmdd"))</f>
        <v/>
      </c>
      <c r="BB739" s="28" t="str">
        <f>IF(B739="","",TEXT(AZ739,"00")&amp;"|"&amp;B739&amp;"|"&amp;TEXT(AV739,"yyyymmdd"))</f>
        <v/>
      </c>
      <c r="BC739" s="28">
        <f>IF(OR(AQ739="YES",AQ739="Yes",AQ739="Y",AQ739=1),1,0)</f>
        <v>0</v>
      </c>
    </row>
    <row r="740" spans="1:55" ht="15" customHeight="1">
      <c r="A740" s="27"/>
      <c r="B740" s="28"/>
      <c r="C740" s="29"/>
      <c r="D740" s="30"/>
      <c r="E740" s="30"/>
      <c r="F740" s="28"/>
      <c r="G740" s="28"/>
      <c r="H740" s="28"/>
      <c r="I740" s="13"/>
      <c r="J740" s="28"/>
      <c r="K740" s="13"/>
      <c r="L740" s="28"/>
      <c r="M740" s="13"/>
      <c r="N740" s="28"/>
      <c r="O740" s="13"/>
      <c r="P740" s="28"/>
      <c r="Q740" s="20"/>
      <c r="R740" s="28"/>
      <c r="S740" s="20"/>
      <c r="T740" s="28"/>
      <c r="U740" s="13"/>
      <c r="V740" s="28"/>
      <c r="W740" s="13"/>
      <c r="X740" s="28"/>
      <c r="Y740" s="13"/>
      <c r="Z740" s="28"/>
      <c r="AA740" s="13"/>
      <c r="AB740" s="28"/>
      <c r="AC740" s="13"/>
      <c r="AD740" s="28"/>
      <c r="AE740" s="13"/>
      <c r="AF740" s="28"/>
      <c r="AG740" s="13"/>
      <c r="AH740" s="28"/>
      <c r="AI740" s="13"/>
      <c r="AJ740" s="28"/>
      <c r="AK740" s="13"/>
      <c r="AL740" s="28"/>
      <c r="AM740" s="13"/>
      <c r="AN740" s="28"/>
      <c r="AO740" s="13"/>
      <c r="AP740" s="28"/>
      <c r="AQ740" s="13"/>
      <c r="AR740" s="28"/>
      <c r="AS740" s="19">
        <f>SUM(H740,J740,L740,N740,P740,R740,T740,V740,X740,Z740,AB740,AD740,AF740,AH740,AJ740,AL740,AN740)</f>
        <v>0</v>
      </c>
      <c r="AT740" s="29" t="str">
        <f>IF(C740="","",DATE(YEAR(C740),MONTH(C740),1))</f>
        <v/>
      </c>
      <c r="AU740" s="28" t="str">
        <f>IF(AT740="","",TEXT(AT740,"mmmm yyyy"))</f>
        <v/>
      </c>
      <c r="AV740" s="29" t="str">
        <f>IF(C740="","",C740-WEEKDAY(C740,2)+1)</f>
        <v/>
      </c>
      <c r="AW740" s="29" t="str">
        <f>IF(AV740="","",AV740+6)</f>
        <v/>
      </c>
      <c r="AX740" s="28" t="str">
        <f>IF(AV740="","",TEXT(AV740,"dd/mm/yyyy")&amp;" - "&amp;TEXT(AW740,"dd/mm/yyyy"))</f>
        <v/>
      </c>
      <c r="AY740" s="28" t="str">
        <f>IF(B740="","",COUNTIFS($B$5:B740,B740,$AT$5:AT740,AT740))</f>
        <v/>
      </c>
      <c r="AZ740" s="28" t="str">
        <f>IF(B740="","",COUNTIFS($B$5:B740,B740,$AV$5:AV740,AV740))</f>
        <v/>
      </c>
      <c r="BA740" s="28" t="str">
        <f>IF(B740="","",TEXT(AY740,"00")&amp;"|"&amp;B740&amp;"|"&amp;TEXT(AT740,"yyyymmdd"))</f>
        <v/>
      </c>
      <c r="BB740" s="28" t="str">
        <f>IF(B740="","",TEXT(AZ740,"00")&amp;"|"&amp;B740&amp;"|"&amp;TEXT(AV740,"yyyymmdd"))</f>
        <v/>
      </c>
      <c r="BC740" s="28">
        <f>IF(OR(AQ740="YES",AQ740="Yes",AQ740="Y",AQ740=1),1,0)</f>
        <v>0</v>
      </c>
    </row>
    <row r="741" spans="1:55" ht="15" customHeight="1">
      <c r="A741" s="27"/>
      <c r="B741" s="28"/>
      <c r="C741" s="29"/>
      <c r="D741" s="30"/>
      <c r="E741" s="30"/>
      <c r="F741" s="28"/>
      <c r="G741" s="28"/>
      <c r="H741" s="28"/>
      <c r="I741" s="13"/>
      <c r="J741" s="28"/>
      <c r="K741" s="13"/>
      <c r="L741" s="28"/>
      <c r="M741" s="13"/>
      <c r="N741" s="28"/>
      <c r="O741" s="13"/>
      <c r="P741" s="28"/>
      <c r="Q741" s="20"/>
      <c r="R741" s="28"/>
      <c r="S741" s="20"/>
      <c r="T741" s="28"/>
      <c r="U741" s="13"/>
      <c r="V741" s="28"/>
      <c r="W741" s="13"/>
      <c r="X741" s="28"/>
      <c r="Y741" s="13"/>
      <c r="Z741" s="28"/>
      <c r="AA741" s="13"/>
      <c r="AB741" s="28"/>
      <c r="AC741" s="13"/>
      <c r="AD741" s="28"/>
      <c r="AE741" s="13"/>
      <c r="AF741" s="28"/>
      <c r="AG741" s="13"/>
      <c r="AH741" s="28"/>
      <c r="AI741" s="13"/>
      <c r="AJ741" s="28"/>
      <c r="AK741" s="13"/>
      <c r="AL741" s="28"/>
      <c r="AM741" s="13"/>
      <c r="AN741" s="28"/>
      <c r="AO741" s="13"/>
      <c r="AP741" s="28"/>
      <c r="AQ741" s="13"/>
      <c r="AR741" s="28"/>
      <c r="AS741" s="19">
        <f>SUM(H741,J741,L741,N741,P741,R741,T741,V741,X741,Z741,AB741,AD741,AF741,AH741,AJ741,AL741,AN741)</f>
        <v>0</v>
      </c>
      <c r="AT741" s="29" t="str">
        <f>IF(C741="","",DATE(YEAR(C741),MONTH(C741),1))</f>
        <v/>
      </c>
      <c r="AU741" s="28" t="str">
        <f>IF(AT741="","",TEXT(AT741,"mmmm yyyy"))</f>
        <v/>
      </c>
      <c r="AV741" s="29" t="str">
        <f>IF(C741="","",C741-WEEKDAY(C741,2)+1)</f>
        <v/>
      </c>
      <c r="AW741" s="29" t="str">
        <f>IF(AV741="","",AV741+6)</f>
        <v/>
      </c>
      <c r="AX741" s="28" t="str">
        <f>IF(AV741="","",TEXT(AV741,"dd/mm/yyyy")&amp;" - "&amp;TEXT(AW741,"dd/mm/yyyy"))</f>
        <v/>
      </c>
      <c r="AY741" s="28" t="str">
        <f>IF(B741="","",COUNTIFS($B$5:B741,B741,$AT$5:AT741,AT741))</f>
        <v/>
      </c>
      <c r="AZ741" s="28" t="str">
        <f>IF(B741="","",COUNTIFS($B$5:B741,B741,$AV$5:AV741,AV741))</f>
        <v/>
      </c>
      <c r="BA741" s="28" t="str">
        <f>IF(B741="","",TEXT(AY741,"00")&amp;"|"&amp;B741&amp;"|"&amp;TEXT(AT741,"yyyymmdd"))</f>
        <v/>
      </c>
      <c r="BB741" s="28" t="str">
        <f>IF(B741="","",TEXT(AZ741,"00")&amp;"|"&amp;B741&amp;"|"&amp;TEXT(AV741,"yyyymmdd"))</f>
        <v/>
      </c>
      <c r="BC741" s="28">
        <f>IF(OR(AQ741="YES",AQ741="Yes",AQ741="Y",AQ741=1),1,0)</f>
        <v>0</v>
      </c>
    </row>
    <row r="742" spans="1:55" ht="15" customHeight="1">
      <c r="A742" s="27"/>
      <c r="B742" s="28"/>
      <c r="C742" s="29"/>
      <c r="D742" s="30"/>
      <c r="E742" s="30"/>
      <c r="F742" s="28"/>
      <c r="G742" s="28"/>
      <c r="H742" s="28"/>
      <c r="I742" s="13"/>
      <c r="J742" s="28"/>
      <c r="K742" s="13"/>
      <c r="L742" s="28"/>
      <c r="M742" s="13"/>
      <c r="N742" s="28"/>
      <c r="O742" s="13"/>
      <c r="P742" s="28"/>
      <c r="Q742" s="20"/>
      <c r="R742" s="28"/>
      <c r="S742" s="20"/>
      <c r="T742" s="28"/>
      <c r="U742" s="13"/>
      <c r="V742" s="28"/>
      <c r="W742" s="13"/>
      <c r="X742" s="28"/>
      <c r="Y742" s="13"/>
      <c r="Z742" s="28"/>
      <c r="AA742" s="13"/>
      <c r="AB742" s="28"/>
      <c r="AC742" s="13"/>
      <c r="AD742" s="28"/>
      <c r="AE742" s="13"/>
      <c r="AF742" s="28"/>
      <c r="AG742" s="13"/>
      <c r="AH742" s="28"/>
      <c r="AI742" s="13"/>
      <c r="AJ742" s="28"/>
      <c r="AK742" s="13"/>
      <c r="AL742" s="28"/>
      <c r="AM742" s="13"/>
      <c r="AN742" s="28"/>
      <c r="AO742" s="13"/>
      <c r="AP742" s="28"/>
      <c r="AQ742" s="13"/>
      <c r="AR742" s="28"/>
      <c r="AS742" s="19">
        <f>SUM(H742,J742,L742,N742,P742,R742,T742,V742,X742,Z742,AB742,AD742,AF742,AH742,AJ742,AL742,AN742)</f>
        <v>0</v>
      </c>
      <c r="AT742" s="29" t="str">
        <f>IF(C742="","",DATE(YEAR(C742),MONTH(C742),1))</f>
        <v/>
      </c>
      <c r="AU742" s="28" t="str">
        <f>IF(AT742="","",TEXT(AT742,"mmmm yyyy"))</f>
        <v/>
      </c>
      <c r="AV742" s="29" t="str">
        <f>IF(C742="","",C742-WEEKDAY(C742,2)+1)</f>
        <v/>
      </c>
      <c r="AW742" s="29" t="str">
        <f>IF(AV742="","",AV742+6)</f>
        <v/>
      </c>
      <c r="AX742" s="28" t="str">
        <f>IF(AV742="","",TEXT(AV742,"dd/mm/yyyy")&amp;" - "&amp;TEXT(AW742,"dd/mm/yyyy"))</f>
        <v/>
      </c>
      <c r="AY742" s="28" t="str">
        <f>IF(B742="","",COUNTIFS($B$5:B742,B742,$AT$5:AT742,AT742))</f>
        <v/>
      </c>
      <c r="AZ742" s="28" t="str">
        <f>IF(B742="","",COUNTIFS($B$5:B742,B742,$AV$5:AV742,AV742))</f>
        <v/>
      </c>
      <c r="BA742" s="28" t="str">
        <f>IF(B742="","",TEXT(AY742,"00")&amp;"|"&amp;B742&amp;"|"&amp;TEXT(AT742,"yyyymmdd"))</f>
        <v/>
      </c>
      <c r="BB742" s="28" t="str">
        <f>IF(B742="","",TEXT(AZ742,"00")&amp;"|"&amp;B742&amp;"|"&amp;TEXT(AV742,"yyyymmdd"))</f>
        <v/>
      </c>
      <c r="BC742" s="28">
        <f>IF(OR(AQ742="YES",AQ742="Yes",AQ742="Y",AQ742=1),1,0)</f>
        <v>0</v>
      </c>
    </row>
    <row r="743" spans="1:55" ht="15" customHeight="1">
      <c r="A743" s="27"/>
      <c r="B743" s="28"/>
      <c r="C743" s="29"/>
      <c r="D743" s="30"/>
      <c r="E743" s="30"/>
      <c r="F743" s="28"/>
      <c r="G743" s="28"/>
      <c r="H743" s="28"/>
      <c r="I743" s="13"/>
      <c r="J743" s="28"/>
      <c r="K743" s="13"/>
      <c r="L743" s="28"/>
      <c r="M743" s="13"/>
      <c r="N743" s="28"/>
      <c r="O743" s="13"/>
      <c r="P743" s="28"/>
      <c r="Q743" s="20"/>
      <c r="R743" s="28"/>
      <c r="S743" s="20"/>
      <c r="T743" s="28"/>
      <c r="U743" s="13"/>
      <c r="V743" s="28"/>
      <c r="W743" s="13"/>
      <c r="X743" s="28"/>
      <c r="Y743" s="13"/>
      <c r="Z743" s="28"/>
      <c r="AA743" s="13"/>
      <c r="AB743" s="28"/>
      <c r="AC743" s="13"/>
      <c r="AD743" s="28"/>
      <c r="AE743" s="13"/>
      <c r="AF743" s="28"/>
      <c r="AG743" s="13"/>
      <c r="AH743" s="28"/>
      <c r="AI743" s="13"/>
      <c r="AJ743" s="28"/>
      <c r="AK743" s="13"/>
      <c r="AL743" s="28"/>
      <c r="AM743" s="13"/>
      <c r="AN743" s="28"/>
      <c r="AO743" s="13"/>
      <c r="AP743" s="28"/>
      <c r="AQ743" s="13"/>
      <c r="AR743" s="28"/>
      <c r="AS743" s="19">
        <f>SUM(H743,J743,L743,N743,P743,R743,T743,V743,X743,Z743,AB743,AD743,AF743,AH743,AJ743,AL743,AN743)</f>
        <v>0</v>
      </c>
      <c r="AT743" s="29" t="str">
        <f>IF(C743="","",DATE(YEAR(C743),MONTH(C743),1))</f>
        <v/>
      </c>
      <c r="AU743" s="28" t="str">
        <f>IF(AT743="","",TEXT(AT743,"mmmm yyyy"))</f>
        <v/>
      </c>
      <c r="AV743" s="29" t="str">
        <f>IF(C743="","",C743-WEEKDAY(C743,2)+1)</f>
        <v/>
      </c>
      <c r="AW743" s="29" t="str">
        <f>IF(AV743="","",AV743+6)</f>
        <v/>
      </c>
      <c r="AX743" s="28" t="str">
        <f>IF(AV743="","",TEXT(AV743,"dd/mm/yyyy")&amp;" - "&amp;TEXT(AW743,"dd/mm/yyyy"))</f>
        <v/>
      </c>
      <c r="AY743" s="28" t="str">
        <f>IF(B743="","",COUNTIFS($B$5:B743,B743,$AT$5:AT743,AT743))</f>
        <v/>
      </c>
      <c r="AZ743" s="28" t="str">
        <f>IF(B743="","",COUNTIFS($B$5:B743,B743,$AV$5:AV743,AV743))</f>
        <v/>
      </c>
      <c r="BA743" s="28" t="str">
        <f>IF(B743="","",TEXT(AY743,"00")&amp;"|"&amp;B743&amp;"|"&amp;TEXT(AT743,"yyyymmdd"))</f>
        <v/>
      </c>
      <c r="BB743" s="28" t="str">
        <f>IF(B743="","",TEXT(AZ743,"00")&amp;"|"&amp;B743&amp;"|"&amp;TEXT(AV743,"yyyymmdd"))</f>
        <v/>
      </c>
      <c r="BC743" s="28">
        <f>IF(OR(AQ743="YES",AQ743="Yes",AQ743="Y",AQ743=1),1,0)</f>
        <v>0</v>
      </c>
    </row>
    <row r="744" spans="1:55" ht="15" customHeight="1">
      <c r="A744" s="27"/>
      <c r="B744" s="28"/>
      <c r="C744" s="29"/>
      <c r="D744" s="30"/>
      <c r="E744" s="30"/>
      <c r="F744" s="28"/>
      <c r="G744" s="28"/>
      <c r="H744" s="28"/>
      <c r="I744" s="13"/>
      <c r="J744" s="28"/>
      <c r="K744" s="13"/>
      <c r="L744" s="28"/>
      <c r="M744" s="13"/>
      <c r="N744" s="28"/>
      <c r="O744" s="13"/>
      <c r="P744" s="28"/>
      <c r="Q744" s="20"/>
      <c r="R744" s="28"/>
      <c r="S744" s="20"/>
      <c r="T744" s="28"/>
      <c r="U744" s="13"/>
      <c r="V744" s="28"/>
      <c r="W744" s="13"/>
      <c r="X744" s="28"/>
      <c r="Y744" s="13"/>
      <c r="Z744" s="28"/>
      <c r="AA744" s="13"/>
      <c r="AB744" s="28"/>
      <c r="AC744" s="13"/>
      <c r="AD744" s="28"/>
      <c r="AE744" s="13"/>
      <c r="AF744" s="28"/>
      <c r="AG744" s="13"/>
      <c r="AH744" s="28"/>
      <c r="AI744" s="13"/>
      <c r="AJ744" s="28"/>
      <c r="AK744" s="13"/>
      <c r="AL744" s="28"/>
      <c r="AM744" s="13"/>
      <c r="AN744" s="28"/>
      <c r="AO744" s="13"/>
      <c r="AP744" s="28"/>
      <c r="AQ744" s="13"/>
      <c r="AR744" s="28"/>
      <c r="AS744" s="19">
        <f>SUM(H744,J744,L744,N744,P744,R744,T744,V744,X744,Z744,AB744,AD744,AF744,AH744,AJ744,AL744,AN744)</f>
        <v>0</v>
      </c>
      <c r="AT744" s="29" t="str">
        <f>IF(C744="","",DATE(YEAR(C744),MONTH(C744),1))</f>
        <v/>
      </c>
      <c r="AU744" s="28" t="str">
        <f>IF(AT744="","",TEXT(AT744,"mmmm yyyy"))</f>
        <v/>
      </c>
      <c r="AV744" s="29" t="str">
        <f>IF(C744="","",C744-WEEKDAY(C744,2)+1)</f>
        <v/>
      </c>
      <c r="AW744" s="29" t="str">
        <f>IF(AV744="","",AV744+6)</f>
        <v/>
      </c>
      <c r="AX744" s="28" t="str">
        <f>IF(AV744="","",TEXT(AV744,"dd/mm/yyyy")&amp;" - "&amp;TEXT(AW744,"dd/mm/yyyy"))</f>
        <v/>
      </c>
      <c r="AY744" s="28" t="str">
        <f>IF(B744="","",COUNTIFS($B$5:B744,B744,$AT$5:AT744,AT744))</f>
        <v/>
      </c>
      <c r="AZ744" s="28" t="str">
        <f>IF(B744="","",COUNTIFS($B$5:B744,B744,$AV$5:AV744,AV744))</f>
        <v/>
      </c>
      <c r="BA744" s="28" t="str">
        <f>IF(B744="","",TEXT(AY744,"00")&amp;"|"&amp;B744&amp;"|"&amp;TEXT(AT744,"yyyymmdd"))</f>
        <v/>
      </c>
      <c r="BB744" s="28" t="str">
        <f>IF(B744="","",TEXT(AZ744,"00")&amp;"|"&amp;B744&amp;"|"&amp;TEXT(AV744,"yyyymmdd"))</f>
        <v/>
      </c>
      <c r="BC744" s="28">
        <f>IF(OR(AQ744="YES",AQ744="Yes",AQ744="Y",AQ744=1),1,0)</f>
        <v>0</v>
      </c>
    </row>
    <row r="745" spans="1:55" ht="15" customHeight="1">
      <c r="A745" s="27"/>
      <c r="B745" s="28"/>
      <c r="C745" s="29"/>
      <c r="D745" s="30"/>
      <c r="E745" s="30"/>
      <c r="F745" s="28"/>
      <c r="G745" s="28"/>
      <c r="H745" s="28"/>
      <c r="I745" s="13"/>
      <c r="J745" s="28"/>
      <c r="K745" s="13"/>
      <c r="L745" s="28"/>
      <c r="M745" s="13"/>
      <c r="N745" s="28"/>
      <c r="O745" s="13"/>
      <c r="P745" s="28"/>
      <c r="Q745" s="20"/>
      <c r="R745" s="28"/>
      <c r="S745" s="20"/>
      <c r="T745" s="28"/>
      <c r="U745" s="13"/>
      <c r="V745" s="28"/>
      <c r="W745" s="13"/>
      <c r="X745" s="28"/>
      <c r="Y745" s="13"/>
      <c r="Z745" s="28"/>
      <c r="AA745" s="13"/>
      <c r="AB745" s="28"/>
      <c r="AC745" s="13"/>
      <c r="AD745" s="28"/>
      <c r="AE745" s="13"/>
      <c r="AF745" s="28"/>
      <c r="AG745" s="13"/>
      <c r="AH745" s="28"/>
      <c r="AI745" s="13"/>
      <c r="AJ745" s="28"/>
      <c r="AK745" s="13"/>
      <c r="AL745" s="28"/>
      <c r="AM745" s="13"/>
      <c r="AN745" s="28"/>
      <c r="AO745" s="13"/>
      <c r="AP745" s="28"/>
      <c r="AQ745" s="13"/>
      <c r="AR745" s="28"/>
      <c r="AS745" s="19">
        <f>SUM(H745,J745,L745,N745,P745,R745,T745,V745,X745,Z745,AB745,AD745,AF745,AH745,AJ745,AL745,AN745)</f>
        <v>0</v>
      </c>
      <c r="AT745" s="29" t="str">
        <f>IF(C745="","",DATE(YEAR(C745),MONTH(C745),1))</f>
        <v/>
      </c>
      <c r="AU745" s="28" t="str">
        <f>IF(AT745="","",TEXT(AT745,"mmmm yyyy"))</f>
        <v/>
      </c>
      <c r="AV745" s="29" t="str">
        <f>IF(C745="","",C745-WEEKDAY(C745,2)+1)</f>
        <v/>
      </c>
      <c r="AW745" s="29" t="str">
        <f>IF(AV745="","",AV745+6)</f>
        <v/>
      </c>
      <c r="AX745" s="28" t="str">
        <f>IF(AV745="","",TEXT(AV745,"dd/mm/yyyy")&amp;" - "&amp;TEXT(AW745,"dd/mm/yyyy"))</f>
        <v/>
      </c>
      <c r="AY745" s="28" t="str">
        <f>IF(B745="","",COUNTIFS($B$5:B745,B745,$AT$5:AT745,AT745))</f>
        <v/>
      </c>
      <c r="AZ745" s="28" t="str">
        <f>IF(B745="","",COUNTIFS($B$5:B745,B745,$AV$5:AV745,AV745))</f>
        <v/>
      </c>
      <c r="BA745" s="28" t="str">
        <f>IF(B745="","",TEXT(AY745,"00")&amp;"|"&amp;B745&amp;"|"&amp;TEXT(AT745,"yyyymmdd"))</f>
        <v/>
      </c>
      <c r="BB745" s="28" t="str">
        <f>IF(B745="","",TEXT(AZ745,"00")&amp;"|"&amp;B745&amp;"|"&amp;TEXT(AV745,"yyyymmdd"))</f>
        <v/>
      </c>
      <c r="BC745" s="28">
        <f>IF(OR(AQ745="YES",AQ745="Yes",AQ745="Y",AQ745=1),1,0)</f>
        <v>0</v>
      </c>
    </row>
    <row r="746" spans="1:55" ht="15" customHeight="1">
      <c r="A746" s="27"/>
      <c r="B746" s="28"/>
      <c r="C746" s="29"/>
      <c r="D746" s="30"/>
      <c r="E746" s="30"/>
      <c r="F746" s="28"/>
      <c r="G746" s="28"/>
      <c r="H746" s="28"/>
      <c r="I746" s="13"/>
      <c r="J746" s="28"/>
      <c r="K746" s="13"/>
      <c r="L746" s="28"/>
      <c r="M746" s="13"/>
      <c r="N746" s="28"/>
      <c r="O746" s="13"/>
      <c r="P746" s="28"/>
      <c r="Q746" s="20"/>
      <c r="R746" s="28"/>
      <c r="S746" s="20"/>
      <c r="T746" s="28"/>
      <c r="U746" s="13"/>
      <c r="V746" s="28"/>
      <c r="W746" s="13"/>
      <c r="X746" s="28"/>
      <c r="Y746" s="13"/>
      <c r="Z746" s="28"/>
      <c r="AA746" s="13"/>
      <c r="AB746" s="28"/>
      <c r="AC746" s="13"/>
      <c r="AD746" s="28"/>
      <c r="AE746" s="13"/>
      <c r="AF746" s="28"/>
      <c r="AG746" s="13"/>
      <c r="AH746" s="28"/>
      <c r="AI746" s="13"/>
      <c r="AJ746" s="28"/>
      <c r="AK746" s="13"/>
      <c r="AL746" s="28"/>
      <c r="AM746" s="13"/>
      <c r="AN746" s="28"/>
      <c r="AO746" s="13"/>
      <c r="AP746" s="28"/>
      <c r="AQ746" s="13"/>
      <c r="AR746" s="28"/>
      <c r="AS746" s="19">
        <f>SUM(H746,J746,L746,N746,P746,R746,T746,V746,X746,Z746,AB746,AD746,AF746,AH746,AJ746,AL746,AN746)</f>
        <v>0</v>
      </c>
      <c r="AT746" s="29" t="str">
        <f>IF(C746="","",DATE(YEAR(C746),MONTH(C746),1))</f>
        <v/>
      </c>
      <c r="AU746" s="28" t="str">
        <f>IF(AT746="","",TEXT(AT746,"mmmm yyyy"))</f>
        <v/>
      </c>
      <c r="AV746" s="29" t="str">
        <f>IF(C746="","",C746-WEEKDAY(C746,2)+1)</f>
        <v/>
      </c>
      <c r="AW746" s="29" t="str">
        <f>IF(AV746="","",AV746+6)</f>
        <v/>
      </c>
      <c r="AX746" s="28" t="str">
        <f>IF(AV746="","",TEXT(AV746,"dd/mm/yyyy")&amp;" - "&amp;TEXT(AW746,"dd/mm/yyyy"))</f>
        <v/>
      </c>
      <c r="AY746" s="28" t="str">
        <f>IF(B746="","",COUNTIFS($B$5:B746,B746,$AT$5:AT746,AT746))</f>
        <v/>
      </c>
      <c r="AZ746" s="28" t="str">
        <f>IF(B746="","",COUNTIFS($B$5:B746,B746,$AV$5:AV746,AV746))</f>
        <v/>
      </c>
      <c r="BA746" s="28" t="str">
        <f>IF(B746="","",TEXT(AY746,"00")&amp;"|"&amp;B746&amp;"|"&amp;TEXT(AT746,"yyyymmdd"))</f>
        <v/>
      </c>
      <c r="BB746" s="28" t="str">
        <f>IF(B746="","",TEXT(AZ746,"00")&amp;"|"&amp;B746&amp;"|"&amp;TEXT(AV746,"yyyymmdd"))</f>
        <v/>
      </c>
      <c r="BC746" s="28">
        <f>IF(OR(AQ746="YES",AQ746="Yes",AQ746="Y",AQ746=1),1,0)</f>
        <v>0</v>
      </c>
    </row>
    <row r="747" spans="1:55" ht="15" customHeight="1">
      <c r="A747" s="27"/>
      <c r="B747" s="28"/>
      <c r="C747" s="29"/>
      <c r="D747" s="30"/>
      <c r="E747" s="30"/>
      <c r="F747" s="28"/>
      <c r="G747" s="28"/>
      <c r="H747" s="28"/>
      <c r="I747" s="13"/>
      <c r="J747" s="28"/>
      <c r="K747" s="13"/>
      <c r="L747" s="28"/>
      <c r="M747" s="13"/>
      <c r="N747" s="28"/>
      <c r="O747" s="13"/>
      <c r="P747" s="28"/>
      <c r="Q747" s="20"/>
      <c r="R747" s="28"/>
      <c r="S747" s="20"/>
      <c r="T747" s="28"/>
      <c r="U747" s="13"/>
      <c r="V747" s="28"/>
      <c r="W747" s="13"/>
      <c r="X747" s="28"/>
      <c r="Y747" s="13"/>
      <c r="Z747" s="28"/>
      <c r="AA747" s="13"/>
      <c r="AB747" s="28"/>
      <c r="AC747" s="13"/>
      <c r="AD747" s="28"/>
      <c r="AE747" s="13"/>
      <c r="AF747" s="28"/>
      <c r="AG747" s="13"/>
      <c r="AH747" s="28"/>
      <c r="AI747" s="13"/>
      <c r="AJ747" s="28"/>
      <c r="AK747" s="13"/>
      <c r="AL747" s="28"/>
      <c r="AM747" s="13"/>
      <c r="AN747" s="28"/>
      <c r="AO747" s="13"/>
      <c r="AP747" s="28"/>
      <c r="AQ747" s="13"/>
      <c r="AR747" s="28"/>
      <c r="AS747" s="19">
        <f>SUM(H747,J747,L747,N747,P747,R747,T747,V747,X747,Z747,AB747,AD747,AF747,AH747,AJ747,AL747,AN747)</f>
        <v>0</v>
      </c>
      <c r="AT747" s="29" t="str">
        <f>IF(C747="","",DATE(YEAR(C747),MONTH(C747),1))</f>
        <v/>
      </c>
      <c r="AU747" s="28" t="str">
        <f>IF(AT747="","",TEXT(AT747,"mmmm yyyy"))</f>
        <v/>
      </c>
      <c r="AV747" s="29" t="str">
        <f>IF(C747="","",C747-WEEKDAY(C747,2)+1)</f>
        <v/>
      </c>
      <c r="AW747" s="29" t="str">
        <f>IF(AV747="","",AV747+6)</f>
        <v/>
      </c>
      <c r="AX747" s="28" t="str">
        <f>IF(AV747="","",TEXT(AV747,"dd/mm/yyyy")&amp;" - "&amp;TEXT(AW747,"dd/mm/yyyy"))</f>
        <v/>
      </c>
      <c r="AY747" s="28" t="str">
        <f>IF(B747="","",COUNTIFS($B$5:B747,B747,$AT$5:AT747,AT747))</f>
        <v/>
      </c>
      <c r="AZ747" s="28" t="str">
        <f>IF(B747="","",COUNTIFS($B$5:B747,B747,$AV$5:AV747,AV747))</f>
        <v/>
      </c>
      <c r="BA747" s="28" t="str">
        <f>IF(B747="","",TEXT(AY747,"00")&amp;"|"&amp;B747&amp;"|"&amp;TEXT(AT747,"yyyymmdd"))</f>
        <v/>
      </c>
      <c r="BB747" s="28" t="str">
        <f>IF(B747="","",TEXT(AZ747,"00")&amp;"|"&amp;B747&amp;"|"&amp;TEXT(AV747,"yyyymmdd"))</f>
        <v/>
      </c>
      <c r="BC747" s="28">
        <f>IF(OR(AQ747="YES",AQ747="Yes",AQ747="Y",AQ747=1),1,0)</f>
        <v>0</v>
      </c>
    </row>
    <row r="748" spans="1:55" ht="15" customHeight="1">
      <c r="A748" s="27"/>
      <c r="B748" s="28"/>
      <c r="C748" s="29"/>
      <c r="D748" s="30"/>
      <c r="E748" s="30"/>
      <c r="F748" s="28"/>
      <c r="G748" s="28"/>
      <c r="H748" s="28"/>
      <c r="I748" s="13"/>
      <c r="J748" s="28"/>
      <c r="K748" s="13"/>
      <c r="L748" s="28"/>
      <c r="M748" s="13"/>
      <c r="N748" s="28"/>
      <c r="O748" s="13"/>
      <c r="P748" s="28"/>
      <c r="Q748" s="20"/>
      <c r="R748" s="28"/>
      <c r="S748" s="20"/>
      <c r="T748" s="28"/>
      <c r="U748" s="13"/>
      <c r="V748" s="28"/>
      <c r="W748" s="13"/>
      <c r="X748" s="28"/>
      <c r="Y748" s="13"/>
      <c r="Z748" s="28"/>
      <c r="AA748" s="13"/>
      <c r="AB748" s="28"/>
      <c r="AC748" s="13"/>
      <c r="AD748" s="28"/>
      <c r="AE748" s="13"/>
      <c r="AF748" s="28"/>
      <c r="AG748" s="13"/>
      <c r="AH748" s="28"/>
      <c r="AI748" s="13"/>
      <c r="AJ748" s="28"/>
      <c r="AK748" s="13"/>
      <c r="AL748" s="28"/>
      <c r="AM748" s="13"/>
      <c r="AN748" s="28"/>
      <c r="AO748" s="13"/>
      <c r="AP748" s="28"/>
      <c r="AQ748" s="13"/>
      <c r="AR748" s="28"/>
      <c r="AS748" s="19">
        <f>SUM(H748,J748,L748,N748,P748,R748,T748,V748,X748,Z748,AB748,AD748,AF748,AH748,AJ748,AL748,AN748)</f>
        <v>0</v>
      </c>
      <c r="AT748" s="29" t="str">
        <f>IF(C748="","",DATE(YEAR(C748),MONTH(C748),1))</f>
        <v/>
      </c>
      <c r="AU748" s="28" t="str">
        <f>IF(AT748="","",TEXT(AT748,"mmmm yyyy"))</f>
        <v/>
      </c>
      <c r="AV748" s="29" t="str">
        <f>IF(C748="","",C748-WEEKDAY(C748,2)+1)</f>
        <v/>
      </c>
      <c r="AW748" s="29" t="str">
        <f>IF(AV748="","",AV748+6)</f>
        <v/>
      </c>
      <c r="AX748" s="28" t="str">
        <f>IF(AV748="","",TEXT(AV748,"dd/mm/yyyy")&amp;" - "&amp;TEXT(AW748,"dd/mm/yyyy"))</f>
        <v/>
      </c>
      <c r="AY748" s="28" t="str">
        <f>IF(B748="","",COUNTIFS($B$5:B748,B748,$AT$5:AT748,AT748))</f>
        <v/>
      </c>
      <c r="AZ748" s="28" t="str">
        <f>IF(B748="","",COUNTIFS($B$5:B748,B748,$AV$5:AV748,AV748))</f>
        <v/>
      </c>
      <c r="BA748" s="28" t="str">
        <f>IF(B748="","",TEXT(AY748,"00")&amp;"|"&amp;B748&amp;"|"&amp;TEXT(AT748,"yyyymmdd"))</f>
        <v/>
      </c>
      <c r="BB748" s="28" t="str">
        <f>IF(B748="","",TEXT(AZ748,"00")&amp;"|"&amp;B748&amp;"|"&amp;TEXT(AV748,"yyyymmdd"))</f>
        <v/>
      </c>
      <c r="BC748" s="28">
        <f>IF(OR(AQ748="YES",AQ748="Yes",AQ748="Y",AQ748=1),1,0)</f>
        <v>0</v>
      </c>
    </row>
    <row r="749" spans="1:55" ht="15" customHeight="1">
      <c r="A749" s="27"/>
      <c r="B749" s="28"/>
      <c r="C749" s="29"/>
      <c r="D749" s="30"/>
      <c r="E749" s="30"/>
      <c r="F749" s="28"/>
      <c r="G749" s="28"/>
      <c r="H749" s="28"/>
      <c r="I749" s="13"/>
      <c r="J749" s="28"/>
      <c r="K749" s="13"/>
      <c r="L749" s="28"/>
      <c r="M749" s="13"/>
      <c r="N749" s="28"/>
      <c r="O749" s="13"/>
      <c r="P749" s="28"/>
      <c r="Q749" s="20"/>
      <c r="R749" s="28"/>
      <c r="S749" s="20"/>
      <c r="T749" s="28"/>
      <c r="U749" s="13"/>
      <c r="V749" s="28"/>
      <c r="W749" s="13"/>
      <c r="X749" s="28"/>
      <c r="Y749" s="13"/>
      <c r="Z749" s="28"/>
      <c r="AA749" s="13"/>
      <c r="AB749" s="28"/>
      <c r="AC749" s="13"/>
      <c r="AD749" s="28"/>
      <c r="AE749" s="13"/>
      <c r="AF749" s="28"/>
      <c r="AG749" s="13"/>
      <c r="AH749" s="28"/>
      <c r="AI749" s="13"/>
      <c r="AJ749" s="28"/>
      <c r="AK749" s="13"/>
      <c r="AL749" s="28"/>
      <c r="AM749" s="13"/>
      <c r="AN749" s="28"/>
      <c r="AO749" s="13"/>
      <c r="AP749" s="28"/>
      <c r="AQ749" s="13"/>
      <c r="AR749" s="28"/>
      <c r="AS749" s="19">
        <f>SUM(H749,J749,L749,N749,P749,R749,T749,V749,X749,Z749,AB749,AD749,AF749,AH749,AJ749,AL749,AN749)</f>
        <v>0</v>
      </c>
      <c r="AT749" s="29" t="str">
        <f>IF(C749="","",DATE(YEAR(C749),MONTH(C749),1))</f>
        <v/>
      </c>
      <c r="AU749" s="28" t="str">
        <f>IF(AT749="","",TEXT(AT749,"mmmm yyyy"))</f>
        <v/>
      </c>
      <c r="AV749" s="29" t="str">
        <f>IF(C749="","",C749-WEEKDAY(C749,2)+1)</f>
        <v/>
      </c>
      <c r="AW749" s="29" t="str">
        <f>IF(AV749="","",AV749+6)</f>
        <v/>
      </c>
      <c r="AX749" s="28" t="str">
        <f>IF(AV749="","",TEXT(AV749,"dd/mm/yyyy")&amp;" - "&amp;TEXT(AW749,"dd/mm/yyyy"))</f>
        <v/>
      </c>
      <c r="AY749" s="28" t="str">
        <f>IF(B749="","",COUNTIFS($B$5:B749,B749,$AT$5:AT749,AT749))</f>
        <v/>
      </c>
      <c r="AZ749" s="28" t="str">
        <f>IF(B749="","",COUNTIFS($B$5:B749,B749,$AV$5:AV749,AV749))</f>
        <v/>
      </c>
      <c r="BA749" s="28" t="str">
        <f>IF(B749="","",TEXT(AY749,"00")&amp;"|"&amp;B749&amp;"|"&amp;TEXT(AT749,"yyyymmdd"))</f>
        <v/>
      </c>
      <c r="BB749" s="28" t="str">
        <f>IF(B749="","",TEXT(AZ749,"00")&amp;"|"&amp;B749&amp;"|"&amp;TEXT(AV749,"yyyymmdd"))</f>
        <v/>
      </c>
      <c r="BC749" s="28">
        <f>IF(OR(AQ749="YES",AQ749="Yes",AQ749="Y",AQ749=1),1,0)</f>
        <v>0</v>
      </c>
    </row>
    <row r="750" spans="1:55" ht="15" customHeight="1">
      <c r="A750" s="27"/>
      <c r="B750" s="28"/>
      <c r="C750" s="29"/>
      <c r="D750" s="30"/>
      <c r="E750" s="30"/>
      <c r="F750" s="28"/>
      <c r="G750" s="28"/>
      <c r="H750" s="28"/>
      <c r="I750" s="13"/>
      <c r="J750" s="28"/>
      <c r="K750" s="13"/>
      <c r="L750" s="28"/>
      <c r="M750" s="13"/>
      <c r="N750" s="28"/>
      <c r="O750" s="13"/>
      <c r="P750" s="28"/>
      <c r="Q750" s="20"/>
      <c r="R750" s="28"/>
      <c r="S750" s="20"/>
      <c r="T750" s="28"/>
      <c r="U750" s="13"/>
      <c r="V750" s="28"/>
      <c r="W750" s="13"/>
      <c r="X750" s="28"/>
      <c r="Y750" s="13"/>
      <c r="Z750" s="28"/>
      <c r="AA750" s="13"/>
      <c r="AB750" s="28"/>
      <c r="AC750" s="13"/>
      <c r="AD750" s="28"/>
      <c r="AE750" s="13"/>
      <c r="AF750" s="28"/>
      <c r="AG750" s="13"/>
      <c r="AH750" s="28"/>
      <c r="AI750" s="13"/>
      <c r="AJ750" s="28"/>
      <c r="AK750" s="13"/>
      <c r="AL750" s="28"/>
      <c r="AM750" s="13"/>
      <c r="AN750" s="28"/>
      <c r="AO750" s="13"/>
      <c r="AP750" s="28"/>
      <c r="AQ750" s="13"/>
      <c r="AR750" s="28"/>
      <c r="AS750" s="19">
        <f>SUM(H750,J750,L750,N750,P750,R750,T750,V750,X750,Z750,AB750,AD750,AF750,AH750,AJ750,AL750,AN750)</f>
        <v>0</v>
      </c>
      <c r="AT750" s="29" t="str">
        <f>IF(C750="","",DATE(YEAR(C750),MONTH(C750),1))</f>
        <v/>
      </c>
      <c r="AU750" s="28" t="str">
        <f>IF(AT750="","",TEXT(AT750,"mmmm yyyy"))</f>
        <v/>
      </c>
      <c r="AV750" s="29" t="str">
        <f>IF(C750="","",C750-WEEKDAY(C750,2)+1)</f>
        <v/>
      </c>
      <c r="AW750" s="29" t="str">
        <f>IF(AV750="","",AV750+6)</f>
        <v/>
      </c>
      <c r="AX750" s="28" t="str">
        <f>IF(AV750="","",TEXT(AV750,"dd/mm/yyyy")&amp;" - "&amp;TEXT(AW750,"dd/mm/yyyy"))</f>
        <v/>
      </c>
      <c r="AY750" s="28" t="str">
        <f>IF(B750="","",COUNTIFS($B$5:B750,B750,$AT$5:AT750,AT750))</f>
        <v/>
      </c>
      <c r="AZ750" s="28" t="str">
        <f>IF(B750="","",COUNTIFS($B$5:B750,B750,$AV$5:AV750,AV750))</f>
        <v/>
      </c>
      <c r="BA750" s="28" t="str">
        <f>IF(B750="","",TEXT(AY750,"00")&amp;"|"&amp;B750&amp;"|"&amp;TEXT(AT750,"yyyymmdd"))</f>
        <v/>
      </c>
      <c r="BB750" s="28" t="str">
        <f>IF(B750="","",TEXT(AZ750,"00")&amp;"|"&amp;B750&amp;"|"&amp;TEXT(AV750,"yyyymmdd"))</f>
        <v/>
      </c>
      <c r="BC750" s="28">
        <f>IF(OR(AQ750="YES",AQ750="Yes",AQ750="Y",AQ750=1),1,0)</f>
        <v>0</v>
      </c>
    </row>
    <row r="751" spans="1:55" ht="15" customHeight="1">
      <c r="A751" s="27"/>
      <c r="B751" s="28"/>
      <c r="C751" s="29"/>
      <c r="D751" s="30"/>
      <c r="E751" s="30"/>
      <c r="F751" s="28"/>
      <c r="G751" s="28"/>
      <c r="H751" s="28"/>
      <c r="I751" s="13"/>
      <c r="J751" s="28"/>
      <c r="K751" s="13"/>
      <c r="L751" s="28"/>
      <c r="M751" s="13"/>
      <c r="N751" s="28"/>
      <c r="O751" s="13"/>
      <c r="P751" s="28"/>
      <c r="Q751" s="20"/>
      <c r="R751" s="28"/>
      <c r="S751" s="20"/>
      <c r="T751" s="28"/>
      <c r="U751" s="13"/>
      <c r="V751" s="28"/>
      <c r="W751" s="13"/>
      <c r="X751" s="28"/>
      <c r="Y751" s="13"/>
      <c r="Z751" s="28"/>
      <c r="AA751" s="13"/>
      <c r="AB751" s="28"/>
      <c r="AC751" s="13"/>
      <c r="AD751" s="28"/>
      <c r="AE751" s="13"/>
      <c r="AF751" s="28"/>
      <c r="AG751" s="13"/>
      <c r="AH751" s="28"/>
      <c r="AI751" s="13"/>
      <c r="AJ751" s="28"/>
      <c r="AK751" s="13"/>
      <c r="AL751" s="28"/>
      <c r="AM751" s="13"/>
      <c r="AN751" s="28"/>
      <c r="AO751" s="13"/>
      <c r="AP751" s="28"/>
      <c r="AQ751" s="13"/>
      <c r="AR751" s="28"/>
      <c r="AS751" s="19">
        <f>SUM(H751,J751,L751,N751,P751,R751,T751,V751,X751,Z751,AB751,AD751,AF751,AH751,AJ751,AL751,AN751)</f>
        <v>0</v>
      </c>
      <c r="AT751" s="29" t="str">
        <f>IF(C751="","",DATE(YEAR(C751),MONTH(C751),1))</f>
        <v/>
      </c>
      <c r="AU751" s="28" t="str">
        <f>IF(AT751="","",TEXT(AT751,"mmmm yyyy"))</f>
        <v/>
      </c>
      <c r="AV751" s="29" t="str">
        <f>IF(C751="","",C751-WEEKDAY(C751,2)+1)</f>
        <v/>
      </c>
      <c r="AW751" s="29" t="str">
        <f>IF(AV751="","",AV751+6)</f>
        <v/>
      </c>
      <c r="AX751" s="28" t="str">
        <f>IF(AV751="","",TEXT(AV751,"dd/mm/yyyy")&amp;" - "&amp;TEXT(AW751,"dd/mm/yyyy"))</f>
        <v/>
      </c>
      <c r="AY751" s="28" t="str">
        <f>IF(B751="","",COUNTIFS($B$5:B751,B751,$AT$5:AT751,AT751))</f>
        <v/>
      </c>
      <c r="AZ751" s="28" t="str">
        <f>IF(B751="","",COUNTIFS($B$5:B751,B751,$AV$5:AV751,AV751))</f>
        <v/>
      </c>
      <c r="BA751" s="28" t="str">
        <f>IF(B751="","",TEXT(AY751,"00")&amp;"|"&amp;B751&amp;"|"&amp;TEXT(AT751,"yyyymmdd"))</f>
        <v/>
      </c>
      <c r="BB751" s="28" t="str">
        <f>IF(B751="","",TEXT(AZ751,"00")&amp;"|"&amp;B751&amp;"|"&amp;TEXT(AV751,"yyyymmdd"))</f>
        <v/>
      </c>
      <c r="BC751" s="28">
        <f>IF(OR(AQ751="YES",AQ751="Yes",AQ751="Y",AQ751=1),1,0)</f>
        <v>0</v>
      </c>
    </row>
    <row r="752" spans="1:55" ht="15" customHeight="1">
      <c r="A752" s="27"/>
      <c r="B752" s="28"/>
      <c r="C752" s="29"/>
      <c r="D752" s="30"/>
      <c r="E752" s="30"/>
      <c r="F752" s="28"/>
      <c r="G752" s="28"/>
      <c r="H752" s="28"/>
      <c r="I752" s="13"/>
      <c r="J752" s="28"/>
      <c r="K752" s="13"/>
      <c r="L752" s="28"/>
      <c r="M752" s="13"/>
      <c r="N752" s="28"/>
      <c r="O752" s="13"/>
      <c r="P752" s="28"/>
      <c r="Q752" s="20"/>
      <c r="R752" s="28"/>
      <c r="S752" s="20"/>
      <c r="T752" s="28"/>
      <c r="U752" s="13"/>
      <c r="V752" s="28"/>
      <c r="W752" s="13"/>
      <c r="X752" s="28"/>
      <c r="Y752" s="13"/>
      <c r="Z752" s="28"/>
      <c r="AA752" s="13"/>
      <c r="AB752" s="28"/>
      <c r="AC752" s="13"/>
      <c r="AD752" s="28"/>
      <c r="AE752" s="13"/>
      <c r="AF752" s="28"/>
      <c r="AG752" s="13"/>
      <c r="AH752" s="28"/>
      <c r="AI752" s="13"/>
      <c r="AJ752" s="28"/>
      <c r="AK752" s="13"/>
      <c r="AL752" s="28"/>
      <c r="AM752" s="13"/>
      <c r="AN752" s="28"/>
      <c r="AO752" s="13"/>
      <c r="AP752" s="28"/>
      <c r="AQ752" s="13"/>
      <c r="AR752" s="28"/>
      <c r="AS752" s="19">
        <f>SUM(H752,J752,L752,N752,P752,R752,T752,V752,X752,Z752,AB752,AD752,AF752,AH752,AJ752,AL752,AN752)</f>
        <v>0</v>
      </c>
      <c r="AT752" s="29" t="str">
        <f>IF(C752="","",DATE(YEAR(C752),MONTH(C752),1))</f>
        <v/>
      </c>
      <c r="AU752" s="28" t="str">
        <f>IF(AT752="","",TEXT(AT752,"mmmm yyyy"))</f>
        <v/>
      </c>
      <c r="AV752" s="29" t="str">
        <f>IF(C752="","",C752-WEEKDAY(C752,2)+1)</f>
        <v/>
      </c>
      <c r="AW752" s="29" t="str">
        <f>IF(AV752="","",AV752+6)</f>
        <v/>
      </c>
      <c r="AX752" s="28" t="str">
        <f>IF(AV752="","",TEXT(AV752,"dd/mm/yyyy")&amp;" - "&amp;TEXT(AW752,"dd/mm/yyyy"))</f>
        <v/>
      </c>
      <c r="AY752" s="28" t="str">
        <f>IF(B752="","",COUNTIFS($B$5:B752,B752,$AT$5:AT752,AT752))</f>
        <v/>
      </c>
      <c r="AZ752" s="28" t="str">
        <f>IF(B752="","",COUNTIFS($B$5:B752,B752,$AV$5:AV752,AV752))</f>
        <v/>
      </c>
      <c r="BA752" s="28" t="str">
        <f>IF(B752="","",TEXT(AY752,"00")&amp;"|"&amp;B752&amp;"|"&amp;TEXT(AT752,"yyyymmdd"))</f>
        <v/>
      </c>
      <c r="BB752" s="28" t="str">
        <f>IF(B752="","",TEXT(AZ752,"00")&amp;"|"&amp;B752&amp;"|"&amp;TEXT(AV752,"yyyymmdd"))</f>
        <v/>
      </c>
      <c r="BC752" s="28">
        <f>IF(OR(AQ752="YES",AQ752="Yes",AQ752="Y",AQ752=1),1,0)</f>
        <v>0</v>
      </c>
    </row>
    <row r="753" spans="1:55" ht="15" customHeight="1">
      <c r="A753" s="27"/>
      <c r="B753" s="28"/>
      <c r="C753" s="29"/>
      <c r="D753" s="30"/>
      <c r="E753" s="30"/>
      <c r="F753" s="28"/>
      <c r="G753" s="28"/>
      <c r="H753" s="28"/>
      <c r="I753" s="13"/>
      <c r="J753" s="28"/>
      <c r="K753" s="13"/>
      <c r="L753" s="28"/>
      <c r="M753" s="13"/>
      <c r="N753" s="28"/>
      <c r="O753" s="13"/>
      <c r="P753" s="28"/>
      <c r="Q753" s="20"/>
      <c r="R753" s="28"/>
      <c r="S753" s="20"/>
      <c r="T753" s="28"/>
      <c r="U753" s="13"/>
      <c r="V753" s="28"/>
      <c r="W753" s="13"/>
      <c r="X753" s="28"/>
      <c r="Y753" s="13"/>
      <c r="Z753" s="28"/>
      <c r="AA753" s="13"/>
      <c r="AB753" s="28"/>
      <c r="AC753" s="13"/>
      <c r="AD753" s="28"/>
      <c r="AE753" s="13"/>
      <c r="AF753" s="28"/>
      <c r="AG753" s="13"/>
      <c r="AH753" s="28"/>
      <c r="AI753" s="13"/>
      <c r="AJ753" s="28"/>
      <c r="AK753" s="13"/>
      <c r="AL753" s="28"/>
      <c r="AM753" s="13"/>
      <c r="AN753" s="28"/>
      <c r="AO753" s="13"/>
      <c r="AP753" s="28"/>
      <c r="AQ753" s="13"/>
      <c r="AR753" s="28"/>
      <c r="AS753" s="19">
        <f>SUM(H753,J753,L753,N753,P753,R753,T753,V753,X753,Z753,AB753,AD753,AF753,AH753,AJ753,AL753,AN753)</f>
        <v>0</v>
      </c>
      <c r="AT753" s="29" t="str">
        <f>IF(C753="","",DATE(YEAR(C753),MONTH(C753),1))</f>
        <v/>
      </c>
      <c r="AU753" s="28" t="str">
        <f>IF(AT753="","",TEXT(AT753,"mmmm yyyy"))</f>
        <v/>
      </c>
      <c r="AV753" s="29" t="str">
        <f>IF(C753="","",C753-WEEKDAY(C753,2)+1)</f>
        <v/>
      </c>
      <c r="AW753" s="29" t="str">
        <f>IF(AV753="","",AV753+6)</f>
        <v/>
      </c>
      <c r="AX753" s="28" t="str">
        <f>IF(AV753="","",TEXT(AV753,"dd/mm/yyyy")&amp;" - "&amp;TEXT(AW753,"dd/mm/yyyy"))</f>
        <v/>
      </c>
      <c r="AY753" s="28" t="str">
        <f>IF(B753="","",COUNTIFS($B$5:B753,B753,$AT$5:AT753,AT753))</f>
        <v/>
      </c>
      <c r="AZ753" s="28" t="str">
        <f>IF(B753="","",COUNTIFS($B$5:B753,B753,$AV$5:AV753,AV753))</f>
        <v/>
      </c>
      <c r="BA753" s="28" t="str">
        <f>IF(B753="","",TEXT(AY753,"00")&amp;"|"&amp;B753&amp;"|"&amp;TEXT(AT753,"yyyymmdd"))</f>
        <v/>
      </c>
      <c r="BB753" s="28" t="str">
        <f>IF(B753="","",TEXT(AZ753,"00")&amp;"|"&amp;B753&amp;"|"&amp;TEXT(AV753,"yyyymmdd"))</f>
        <v/>
      </c>
      <c r="BC753" s="28">
        <f>IF(OR(AQ753="YES",AQ753="Yes",AQ753="Y",AQ753=1),1,0)</f>
        <v>0</v>
      </c>
    </row>
    <row r="754" spans="1:55" ht="15" customHeight="1">
      <c r="A754" s="27"/>
      <c r="B754" s="28"/>
      <c r="C754" s="29"/>
      <c r="D754" s="30"/>
      <c r="E754" s="30"/>
      <c r="F754" s="28"/>
      <c r="G754" s="28"/>
      <c r="H754" s="28"/>
      <c r="I754" s="13"/>
      <c r="J754" s="28"/>
      <c r="K754" s="13"/>
      <c r="L754" s="28"/>
      <c r="M754" s="13"/>
      <c r="N754" s="28"/>
      <c r="O754" s="13"/>
      <c r="P754" s="28"/>
      <c r="Q754" s="20"/>
      <c r="R754" s="28"/>
      <c r="S754" s="20"/>
      <c r="T754" s="28"/>
      <c r="U754" s="13"/>
      <c r="V754" s="28"/>
      <c r="W754" s="13"/>
      <c r="X754" s="28"/>
      <c r="Y754" s="13"/>
      <c r="Z754" s="28"/>
      <c r="AA754" s="13"/>
      <c r="AB754" s="28"/>
      <c r="AC754" s="13"/>
      <c r="AD754" s="28"/>
      <c r="AE754" s="13"/>
      <c r="AF754" s="28"/>
      <c r="AG754" s="13"/>
      <c r="AH754" s="28"/>
      <c r="AI754" s="13"/>
      <c r="AJ754" s="28"/>
      <c r="AK754" s="13"/>
      <c r="AL754" s="28"/>
      <c r="AM754" s="13"/>
      <c r="AN754" s="28"/>
      <c r="AO754" s="13"/>
      <c r="AP754" s="28"/>
      <c r="AQ754" s="13"/>
      <c r="AR754" s="28"/>
      <c r="AS754" s="19">
        <f>SUM(H754,J754,L754,N754,P754,R754,T754,V754,X754,Z754,AB754,AD754,AF754,AH754,AJ754,AL754,AN754)</f>
        <v>0</v>
      </c>
      <c r="AT754" s="29" t="str">
        <f>IF(C754="","",DATE(YEAR(C754),MONTH(C754),1))</f>
        <v/>
      </c>
      <c r="AU754" s="28" t="str">
        <f>IF(AT754="","",TEXT(AT754,"mmmm yyyy"))</f>
        <v/>
      </c>
      <c r="AV754" s="29" t="str">
        <f>IF(C754="","",C754-WEEKDAY(C754,2)+1)</f>
        <v/>
      </c>
      <c r="AW754" s="29" t="str">
        <f>IF(AV754="","",AV754+6)</f>
        <v/>
      </c>
      <c r="AX754" s="28" t="str">
        <f>IF(AV754="","",TEXT(AV754,"dd/mm/yyyy")&amp;" - "&amp;TEXT(AW754,"dd/mm/yyyy"))</f>
        <v/>
      </c>
      <c r="AY754" s="28" t="str">
        <f>IF(B754="","",COUNTIFS($B$5:B754,B754,$AT$5:AT754,AT754))</f>
        <v/>
      </c>
      <c r="AZ754" s="28" t="str">
        <f>IF(B754="","",COUNTIFS($B$5:B754,B754,$AV$5:AV754,AV754))</f>
        <v/>
      </c>
      <c r="BA754" s="28" t="str">
        <f>IF(B754="","",TEXT(AY754,"00")&amp;"|"&amp;B754&amp;"|"&amp;TEXT(AT754,"yyyymmdd"))</f>
        <v/>
      </c>
      <c r="BB754" s="28" t="str">
        <f>IF(B754="","",TEXT(AZ754,"00")&amp;"|"&amp;B754&amp;"|"&amp;TEXT(AV754,"yyyymmdd"))</f>
        <v/>
      </c>
      <c r="BC754" s="28">
        <f>IF(OR(AQ754="YES",AQ754="Yes",AQ754="Y",AQ754=1),1,0)</f>
        <v>0</v>
      </c>
    </row>
    <row r="755" spans="1:55" ht="15" customHeight="1">
      <c r="A755" s="27"/>
      <c r="B755" s="28"/>
      <c r="C755" s="29"/>
      <c r="D755" s="30"/>
      <c r="E755" s="30"/>
      <c r="F755" s="28"/>
      <c r="G755" s="28"/>
      <c r="H755" s="28"/>
      <c r="I755" s="13"/>
      <c r="J755" s="28"/>
      <c r="K755" s="13"/>
      <c r="L755" s="28"/>
      <c r="M755" s="13"/>
      <c r="N755" s="28"/>
      <c r="O755" s="13"/>
      <c r="P755" s="28"/>
      <c r="Q755" s="20"/>
      <c r="R755" s="28"/>
      <c r="S755" s="20"/>
      <c r="T755" s="28"/>
      <c r="U755" s="13"/>
      <c r="V755" s="28"/>
      <c r="W755" s="13"/>
      <c r="X755" s="28"/>
      <c r="Y755" s="13"/>
      <c r="Z755" s="28"/>
      <c r="AA755" s="13"/>
      <c r="AB755" s="28"/>
      <c r="AC755" s="13"/>
      <c r="AD755" s="28"/>
      <c r="AE755" s="13"/>
      <c r="AF755" s="28"/>
      <c r="AG755" s="13"/>
      <c r="AH755" s="28"/>
      <c r="AI755" s="13"/>
      <c r="AJ755" s="28"/>
      <c r="AK755" s="13"/>
      <c r="AL755" s="28"/>
      <c r="AM755" s="13"/>
      <c r="AN755" s="28"/>
      <c r="AO755" s="13"/>
      <c r="AP755" s="28"/>
      <c r="AQ755" s="13"/>
      <c r="AR755" s="28"/>
      <c r="AS755" s="19">
        <f>SUM(H755,J755,L755,N755,P755,R755,T755,V755,X755,Z755,AB755,AD755,AF755,AH755,AJ755,AL755,AN755)</f>
        <v>0</v>
      </c>
      <c r="AT755" s="29" t="str">
        <f>IF(C755="","",DATE(YEAR(C755),MONTH(C755),1))</f>
        <v/>
      </c>
      <c r="AU755" s="28" t="str">
        <f>IF(AT755="","",TEXT(AT755,"mmmm yyyy"))</f>
        <v/>
      </c>
      <c r="AV755" s="29" t="str">
        <f>IF(C755="","",C755-WEEKDAY(C755,2)+1)</f>
        <v/>
      </c>
      <c r="AW755" s="29" t="str">
        <f>IF(AV755="","",AV755+6)</f>
        <v/>
      </c>
      <c r="AX755" s="28" t="str">
        <f>IF(AV755="","",TEXT(AV755,"dd/mm/yyyy")&amp;" - "&amp;TEXT(AW755,"dd/mm/yyyy"))</f>
        <v/>
      </c>
      <c r="AY755" s="28" t="str">
        <f>IF(B755="","",COUNTIFS($B$5:B755,B755,$AT$5:AT755,AT755))</f>
        <v/>
      </c>
      <c r="AZ755" s="28" t="str">
        <f>IF(B755="","",COUNTIFS($B$5:B755,B755,$AV$5:AV755,AV755))</f>
        <v/>
      </c>
      <c r="BA755" s="28" t="str">
        <f>IF(B755="","",TEXT(AY755,"00")&amp;"|"&amp;B755&amp;"|"&amp;TEXT(AT755,"yyyymmdd"))</f>
        <v/>
      </c>
      <c r="BB755" s="28" t="str">
        <f>IF(B755="","",TEXT(AZ755,"00")&amp;"|"&amp;B755&amp;"|"&amp;TEXT(AV755,"yyyymmdd"))</f>
        <v/>
      </c>
      <c r="BC755" s="28">
        <f>IF(OR(AQ755="YES",AQ755="Yes",AQ755="Y",AQ755=1),1,0)</f>
        <v>0</v>
      </c>
    </row>
    <row r="756" spans="1:55" ht="15" customHeight="1">
      <c r="A756" s="27"/>
      <c r="B756" s="28"/>
      <c r="C756" s="29"/>
      <c r="D756" s="30"/>
      <c r="E756" s="30"/>
      <c r="F756" s="28"/>
      <c r="G756" s="28"/>
      <c r="H756" s="28"/>
      <c r="I756" s="13"/>
      <c r="J756" s="28"/>
      <c r="K756" s="13"/>
      <c r="L756" s="28"/>
      <c r="M756" s="13"/>
      <c r="N756" s="28"/>
      <c r="O756" s="13"/>
      <c r="P756" s="28"/>
      <c r="Q756" s="20"/>
      <c r="R756" s="28"/>
      <c r="S756" s="20"/>
      <c r="T756" s="28"/>
      <c r="U756" s="13"/>
      <c r="V756" s="28"/>
      <c r="W756" s="13"/>
      <c r="X756" s="28"/>
      <c r="Y756" s="13"/>
      <c r="Z756" s="28"/>
      <c r="AA756" s="13"/>
      <c r="AB756" s="28"/>
      <c r="AC756" s="13"/>
      <c r="AD756" s="28"/>
      <c r="AE756" s="13"/>
      <c r="AF756" s="28"/>
      <c r="AG756" s="13"/>
      <c r="AH756" s="28"/>
      <c r="AI756" s="13"/>
      <c r="AJ756" s="28"/>
      <c r="AK756" s="13"/>
      <c r="AL756" s="28"/>
      <c r="AM756" s="13"/>
      <c r="AN756" s="28"/>
      <c r="AO756" s="13"/>
      <c r="AP756" s="28"/>
      <c r="AQ756" s="13"/>
      <c r="AR756" s="28"/>
      <c r="AS756" s="19">
        <f>SUM(H756,J756,L756,N756,P756,R756,T756,V756,X756,Z756,AB756,AD756,AF756,AH756,AJ756,AL756,AN756)</f>
        <v>0</v>
      </c>
      <c r="AT756" s="29" t="str">
        <f>IF(C756="","",DATE(YEAR(C756),MONTH(C756),1))</f>
        <v/>
      </c>
      <c r="AU756" s="28" t="str">
        <f>IF(AT756="","",TEXT(AT756,"mmmm yyyy"))</f>
        <v/>
      </c>
      <c r="AV756" s="29" t="str">
        <f>IF(C756="","",C756-WEEKDAY(C756,2)+1)</f>
        <v/>
      </c>
      <c r="AW756" s="29" t="str">
        <f>IF(AV756="","",AV756+6)</f>
        <v/>
      </c>
      <c r="AX756" s="28" t="str">
        <f>IF(AV756="","",TEXT(AV756,"dd/mm/yyyy")&amp;" - "&amp;TEXT(AW756,"dd/mm/yyyy"))</f>
        <v/>
      </c>
      <c r="AY756" s="28" t="str">
        <f>IF(B756="","",COUNTIFS($B$5:B756,B756,$AT$5:AT756,AT756))</f>
        <v/>
      </c>
      <c r="AZ756" s="28" t="str">
        <f>IF(B756="","",COUNTIFS($B$5:B756,B756,$AV$5:AV756,AV756))</f>
        <v/>
      </c>
      <c r="BA756" s="28" t="str">
        <f>IF(B756="","",TEXT(AY756,"00")&amp;"|"&amp;B756&amp;"|"&amp;TEXT(AT756,"yyyymmdd"))</f>
        <v/>
      </c>
      <c r="BB756" s="28" t="str">
        <f>IF(B756="","",TEXT(AZ756,"00")&amp;"|"&amp;B756&amp;"|"&amp;TEXT(AV756,"yyyymmdd"))</f>
        <v/>
      </c>
      <c r="BC756" s="28">
        <f>IF(OR(AQ756="YES",AQ756="Yes",AQ756="Y",AQ756=1),1,0)</f>
        <v>0</v>
      </c>
    </row>
    <row r="757" spans="1:55" ht="15" customHeight="1">
      <c r="A757" s="27"/>
      <c r="B757" s="28"/>
      <c r="C757" s="29"/>
      <c r="D757" s="30"/>
      <c r="E757" s="30"/>
      <c r="F757" s="28"/>
      <c r="G757" s="28"/>
      <c r="H757" s="28"/>
      <c r="I757" s="13"/>
      <c r="J757" s="28"/>
      <c r="K757" s="13"/>
      <c r="L757" s="28"/>
      <c r="M757" s="13"/>
      <c r="N757" s="28"/>
      <c r="O757" s="13"/>
      <c r="P757" s="28"/>
      <c r="Q757" s="20"/>
      <c r="R757" s="28"/>
      <c r="S757" s="20"/>
      <c r="T757" s="28"/>
      <c r="U757" s="13"/>
      <c r="V757" s="28"/>
      <c r="W757" s="13"/>
      <c r="X757" s="28"/>
      <c r="Y757" s="13"/>
      <c r="Z757" s="28"/>
      <c r="AA757" s="13"/>
      <c r="AB757" s="28"/>
      <c r="AC757" s="13"/>
      <c r="AD757" s="28"/>
      <c r="AE757" s="13"/>
      <c r="AF757" s="28"/>
      <c r="AG757" s="13"/>
      <c r="AH757" s="28"/>
      <c r="AI757" s="13"/>
      <c r="AJ757" s="28"/>
      <c r="AK757" s="13"/>
      <c r="AL757" s="28"/>
      <c r="AM757" s="13"/>
      <c r="AN757" s="28"/>
      <c r="AO757" s="13"/>
      <c r="AP757" s="28"/>
      <c r="AQ757" s="13"/>
      <c r="AR757" s="28"/>
      <c r="AS757" s="19">
        <f>SUM(H757,J757,L757,N757,P757,R757,T757,V757,X757,Z757,AB757,AD757,AF757,AH757,AJ757,AL757,AN757)</f>
        <v>0</v>
      </c>
      <c r="AT757" s="29" t="str">
        <f>IF(C757="","",DATE(YEAR(C757),MONTH(C757),1))</f>
        <v/>
      </c>
      <c r="AU757" s="28" t="str">
        <f>IF(AT757="","",TEXT(AT757,"mmmm yyyy"))</f>
        <v/>
      </c>
      <c r="AV757" s="29" t="str">
        <f>IF(C757="","",C757-WEEKDAY(C757,2)+1)</f>
        <v/>
      </c>
      <c r="AW757" s="29" t="str">
        <f>IF(AV757="","",AV757+6)</f>
        <v/>
      </c>
      <c r="AX757" s="28" t="str">
        <f>IF(AV757="","",TEXT(AV757,"dd/mm/yyyy")&amp;" - "&amp;TEXT(AW757,"dd/mm/yyyy"))</f>
        <v/>
      </c>
      <c r="AY757" s="28" t="str">
        <f>IF(B757="","",COUNTIFS($B$5:B757,B757,$AT$5:AT757,AT757))</f>
        <v/>
      </c>
      <c r="AZ757" s="28" t="str">
        <f>IF(B757="","",COUNTIFS($B$5:B757,B757,$AV$5:AV757,AV757))</f>
        <v/>
      </c>
      <c r="BA757" s="28" t="str">
        <f>IF(B757="","",TEXT(AY757,"00")&amp;"|"&amp;B757&amp;"|"&amp;TEXT(AT757,"yyyymmdd"))</f>
        <v/>
      </c>
      <c r="BB757" s="28" t="str">
        <f>IF(B757="","",TEXT(AZ757,"00")&amp;"|"&amp;B757&amp;"|"&amp;TEXT(AV757,"yyyymmdd"))</f>
        <v/>
      </c>
      <c r="BC757" s="28">
        <f>IF(OR(AQ757="YES",AQ757="Yes",AQ757="Y",AQ757=1),1,0)</f>
        <v>0</v>
      </c>
    </row>
    <row r="758" spans="1:55" ht="15" customHeight="1">
      <c r="A758" s="27"/>
      <c r="B758" s="28"/>
      <c r="C758" s="29"/>
      <c r="D758" s="30"/>
      <c r="E758" s="30"/>
      <c r="F758" s="28"/>
      <c r="G758" s="28"/>
      <c r="H758" s="28"/>
      <c r="I758" s="13"/>
      <c r="J758" s="28"/>
      <c r="K758" s="13"/>
      <c r="L758" s="28"/>
      <c r="M758" s="13"/>
      <c r="N758" s="28"/>
      <c r="O758" s="13"/>
      <c r="P758" s="28"/>
      <c r="Q758" s="20"/>
      <c r="R758" s="28"/>
      <c r="S758" s="20"/>
      <c r="T758" s="28"/>
      <c r="U758" s="13"/>
      <c r="V758" s="28"/>
      <c r="W758" s="13"/>
      <c r="X758" s="28"/>
      <c r="Y758" s="13"/>
      <c r="Z758" s="28"/>
      <c r="AA758" s="13"/>
      <c r="AB758" s="28"/>
      <c r="AC758" s="13"/>
      <c r="AD758" s="28"/>
      <c r="AE758" s="13"/>
      <c r="AF758" s="28"/>
      <c r="AG758" s="13"/>
      <c r="AH758" s="28"/>
      <c r="AI758" s="13"/>
      <c r="AJ758" s="28"/>
      <c r="AK758" s="13"/>
      <c r="AL758" s="28"/>
      <c r="AM758" s="13"/>
      <c r="AN758" s="28"/>
      <c r="AO758" s="13"/>
      <c r="AP758" s="28"/>
      <c r="AQ758" s="13"/>
      <c r="AR758" s="28"/>
      <c r="AS758" s="19">
        <f>SUM(H758,J758,L758,N758,P758,R758,T758,V758,X758,Z758,AB758,AD758,AF758,AH758,AJ758,AL758,AN758)</f>
        <v>0</v>
      </c>
      <c r="AT758" s="29" t="str">
        <f>IF(C758="","",DATE(YEAR(C758),MONTH(C758),1))</f>
        <v/>
      </c>
      <c r="AU758" s="28" t="str">
        <f>IF(AT758="","",TEXT(AT758,"mmmm yyyy"))</f>
        <v/>
      </c>
      <c r="AV758" s="29" t="str">
        <f>IF(C758="","",C758-WEEKDAY(C758,2)+1)</f>
        <v/>
      </c>
      <c r="AW758" s="29" t="str">
        <f>IF(AV758="","",AV758+6)</f>
        <v/>
      </c>
      <c r="AX758" s="28" t="str">
        <f>IF(AV758="","",TEXT(AV758,"dd/mm/yyyy")&amp;" - "&amp;TEXT(AW758,"dd/mm/yyyy"))</f>
        <v/>
      </c>
      <c r="AY758" s="28" t="str">
        <f>IF(B758="","",COUNTIFS($B$5:B758,B758,$AT$5:AT758,AT758))</f>
        <v/>
      </c>
      <c r="AZ758" s="28" t="str">
        <f>IF(B758="","",COUNTIFS($B$5:B758,B758,$AV$5:AV758,AV758))</f>
        <v/>
      </c>
      <c r="BA758" s="28" t="str">
        <f>IF(B758="","",TEXT(AY758,"00")&amp;"|"&amp;B758&amp;"|"&amp;TEXT(AT758,"yyyymmdd"))</f>
        <v/>
      </c>
      <c r="BB758" s="28" t="str">
        <f>IF(B758="","",TEXT(AZ758,"00")&amp;"|"&amp;B758&amp;"|"&amp;TEXT(AV758,"yyyymmdd"))</f>
        <v/>
      </c>
      <c r="BC758" s="28">
        <f>IF(OR(AQ758="YES",AQ758="Yes",AQ758="Y",AQ758=1),1,0)</f>
        <v>0</v>
      </c>
    </row>
    <row r="759" spans="1:55" ht="15" customHeight="1">
      <c r="A759" s="27"/>
      <c r="B759" s="28"/>
      <c r="C759" s="29"/>
      <c r="D759" s="30"/>
      <c r="E759" s="30"/>
      <c r="F759" s="28"/>
      <c r="G759" s="28"/>
      <c r="H759" s="28"/>
      <c r="I759" s="13"/>
      <c r="J759" s="28"/>
      <c r="K759" s="13"/>
      <c r="L759" s="28"/>
      <c r="M759" s="13"/>
      <c r="N759" s="28"/>
      <c r="O759" s="13"/>
      <c r="P759" s="28"/>
      <c r="Q759" s="20"/>
      <c r="R759" s="28"/>
      <c r="S759" s="20"/>
      <c r="T759" s="28"/>
      <c r="U759" s="13"/>
      <c r="V759" s="28"/>
      <c r="W759" s="13"/>
      <c r="X759" s="28"/>
      <c r="Y759" s="13"/>
      <c r="Z759" s="28"/>
      <c r="AA759" s="13"/>
      <c r="AB759" s="28"/>
      <c r="AC759" s="13"/>
      <c r="AD759" s="28"/>
      <c r="AE759" s="13"/>
      <c r="AF759" s="28"/>
      <c r="AG759" s="13"/>
      <c r="AH759" s="28"/>
      <c r="AI759" s="13"/>
      <c r="AJ759" s="28"/>
      <c r="AK759" s="13"/>
      <c r="AL759" s="28"/>
      <c r="AM759" s="13"/>
      <c r="AN759" s="28"/>
      <c r="AO759" s="13"/>
      <c r="AP759" s="28"/>
      <c r="AQ759" s="13"/>
      <c r="AR759" s="28"/>
      <c r="AS759" s="19">
        <f>SUM(H759,J759,L759,N759,P759,R759,T759,V759,X759,Z759,AB759,AD759,AF759,AH759,AJ759,AL759,AN759)</f>
        <v>0</v>
      </c>
      <c r="AT759" s="29" t="str">
        <f>IF(C759="","",DATE(YEAR(C759),MONTH(C759),1))</f>
        <v/>
      </c>
      <c r="AU759" s="28" t="str">
        <f>IF(AT759="","",TEXT(AT759,"mmmm yyyy"))</f>
        <v/>
      </c>
      <c r="AV759" s="29" t="str">
        <f>IF(C759="","",C759-WEEKDAY(C759,2)+1)</f>
        <v/>
      </c>
      <c r="AW759" s="29" t="str">
        <f>IF(AV759="","",AV759+6)</f>
        <v/>
      </c>
      <c r="AX759" s="28" t="str">
        <f>IF(AV759="","",TEXT(AV759,"dd/mm/yyyy")&amp;" - "&amp;TEXT(AW759,"dd/mm/yyyy"))</f>
        <v/>
      </c>
      <c r="AY759" s="28" t="str">
        <f>IF(B759="","",COUNTIFS($B$5:B759,B759,$AT$5:AT759,AT759))</f>
        <v/>
      </c>
      <c r="AZ759" s="28" t="str">
        <f>IF(B759="","",COUNTIFS($B$5:B759,B759,$AV$5:AV759,AV759))</f>
        <v/>
      </c>
      <c r="BA759" s="28" t="str">
        <f>IF(B759="","",TEXT(AY759,"00")&amp;"|"&amp;B759&amp;"|"&amp;TEXT(AT759,"yyyymmdd"))</f>
        <v/>
      </c>
      <c r="BB759" s="28" t="str">
        <f>IF(B759="","",TEXT(AZ759,"00")&amp;"|"&amp;B759&amp;"|"&amp;TEXT(AV759,"yyyymmdd"))</f>
        <v/>
      </c>
      <c r="BC759" s="28">
        <f>IF(OR(AQ759="YES",AQ759="Yes",AQ759="Y",AQ759=1),1,0)</f>
        <v>0</v>
      </c>
    </row>
    <row r="760" spans="1:55" ht="15" customHeight="1">
      <c r="A760" s="27"/>
      <c r="B760" s="28"/>
      <c r="C760" s="29"/>
      <c r="D760" s="30"/>
      <c r="E760" s="30"/>
      <c r="F760" s="28"/>
      <c r="G760" s="28"/>
      <c r="H760" s="28"/>
      <c r="I760" s="13"/>
      <c r="J760" s="28"/>
      <c r="K760" s="13"/>
      <c r="L760" s="28"/>
      <c r="M760" s="13"/>
      <c r="N760" s="28"/>
      <c r="O760" s="13"/>
      <c r="P760" s="28"/>
      <c r="Q760" s="20"/>
      <c r="R760" s="28"/>
      <c r="S760" s="20"/>
      <c r="T760" s="28"/>
      <c r="U760" s="13"/>
      <c r="V760" s="28"/>
      <c r="W760" s="13"/>
      <c r="X760" s="28"/>
      <c r="Y760" s="13"/>
      <c r="Z760" s="28"/>
      <c r="AA760" s="13"/>
      <c r="AB760" s="28"/>
      <c r="AC760" s="13"/>
      <c r="AD760" s="28"/>
      <c r="AE760" s="13"/>
      <c r="AF760" s="28"/>
      <c r="AG760" s="13"/>
      <c r="AH760" s="28"/>
      <c r="AI760" s="13"/>
      <c r="AJ760" s="28"/>
      <c r="AK760" s="13"/>
      <c r="AL760" s="28"/>
      <c r="AM760" s="13"/>
      <c r="AN760" s="28"/>
      <c r="AO760" s="13"/>
      <c r="AP760" s="28"/>
      <c r="AQ760" s="13"/>
      <c r="AR760" s="28"/>
      <c r="AS760" s="19">
        <f>SUM(H760,J760,L760,N760,P760,R760,T760,V760,X760,Z760,AB760,AD760,AF760,AH760,AJ760,AL760,AN760)</f>
        <v>0</v>
      </c>
      <c r="AT760" s="29" t="str">
        <f>IF(C760="","",DATE(YEAR(C760),MONTH(C760),1))</f>
        <v/>
      </c>
      <c r="AU760" s="28" t="str">
        <f>IF(AT760="","",TEXT(AT760,"mmmm yyyy"))</f>
        <v/>
      </c>
      <c r="AV760" s="29" t="str">
        <f>IF(C760="","",C760-WEEKDAY(C760,2)+1)</f>
        <v/>
      </c>
      <c r="AW760" s="29" t="str">
        <f>IF(AV760="","",AV760+6)</f>
        <v/>
      </c>
      <c r="AX760" s="28" t="str">
        <f>IF(AV760="","",TEXT(AV760,"dd/mm/yyyy")&amp;" - "&amp;TEXT(AW760,"dd/mm/yyyy"))</f>
        <v/>
      </c>
      <c r="AY760" s="28" t="str">
        <f>IF(B760="","",COUNTIFS($B$5:B760,B760,$AT$5:AT760,AT760))</f>
        <v/>
      </c>
      <c r="AZ760" s="28" t="str">
        <f>IF(B760="","",COUNTIFS($B$5:B760,B760,$AV$5:AV760,AV760))</f>
        <v/>
      </c>
      <c r="BA760" s="28" t="str">
        <f>IF(B760="","",TEXT(AY760,"00")&amp;"|"&amp;B760&amp;"|"&amp;TEXT(AT760,"yyyymmdd"))</f>
        <v/>
      </c>
      <c r="BB760" s="28" t="str">
        <f>IF(B760="","",TEXT(AZ760,"00")&amp;"|"&amp;B760&amp;"|"&amp;TEXT(AV760,"yyyymmdd"))</f>
        <v/>
      </c>
      <c r="BC760" s="28">
        <f>IF(OR(AQ760="YES",AQ760="Yes",AQ760="Y",AQ760=1),1,0)</f>
        <v>0</v>
      </c>
    </row>
    <row r="761" spans="1:55" ht="15" customHeight="1">
      <c r="A761" s="27"/>
      <c r="B761" s="28"/>
      <c r="C761" s="29"/>
      <c r="D761" s="30"/>
      <c r="E761" s="30"/>
      <c r="F761" s="28"/>
      <c r="G761" s="28"/>
      <c r="H761" s="28"/>
      <c r="I761" s="13"/>
      <c r="J761" s="28"/>
      <c r="K761" s="13"/>
      <c r="L761" s="28"/>
      <c r="M761" s="13"/>
      <c r="N761" s="28"/>
      <c r="O761" s="13"/>
      <c r="P761" s="28"/>
      <c r="Q761" s="20"/>
      <c r="R761" s="28"/>
      <c r="S761" s="20"/>
      <c r="T761" s="28"/>
      <c r="U761" s="13"/>
      <c r="V761" s="28"/>
      <c r="W761" s="13"/>
      <c r="X761" s="28"/>
      <c r="Y761" s="13"/>
      <c r="Z761" s="28"/>
      <c r="AA761" s="13"/>
      <c r="AB761" s="28"/>
      <c r="AC761" s="13"/>
      <c r="AD761" s="28"/>
      <c r="AE761" s="13"/>
      <c r="AF761" s="28"/>
      <c r="AG761" s="13"/>
      <c r="AH761" s="28"/>
      <c r="AI761" s="13"/>
      <c r="AJ761" s="28"/>
      <c r="AK761" s="13"/>
      <c r="AL761" s="28"/>
      <c r="AM761" s="13"/>
      <c r="AN761" s="28"/>
      <c r="AO761" s="13"/>
      <c r="AP761" s="28"/>
      <c r="AQ761" s="13"/>
      <c r="AR761" s="28"/>
      <c r="AS761" s="19">
        <f>SUM(H761,J761,L761,N761,P761,R761,T761,V761,X761,Z761,AB761,AD761,AF761,AH761,AJ761,AL761,AN761)</f>
        <v>0</v>
      </c>
      <c r="AT761" s="29" t="str">
        <f>IF(C761="","",DATE(YEAR(C761),MONTH(C761),1))</f>
        <v/>
      </c>
      <c r="AU761" s="28" t="str">
        <f>IF(AT761="","",TEXT(AT761,"mmmm yyyy"))</f>
        <v/>
      </c>
      <c r="AV761" s="29" t="str">
        <f>IF(C761="","",C761-WEEKDAY(C761,2)+1)</f>
        <v/>
      </c>
      <c r="AW761" s="29" t="str">
        <f>IF(AV761="","",AV761+6)</f>
        <v/>
      </c>
      <c r="AX761" s="28" t="str">
        <f>IF(AV761="","",TEXT(AV761,"dd/mm/yyyy")&amp;" - "&amp;TEXT(AW761,"dd/mm/yyyy"))</f>
        <v/>
      </c>
      <c r="AY761" s="28" t="str">
        <f>IF(B761="","",COUNTIFS($B$5:B761,B761,$AT$5:AT761,AT761))</f>
        <v/>
      </c>
      <c r="AZ761" s="28" t="str">
        <f>IF(B761="","",COUNTIFS($B$5:B761,B761,$AV$5:AV761,AV761))</f>
        <v/>
      </c>
      <c r="BA761" s="28" t="str">
        <f>IF(B761="","",TEXT(AY761,"00")&amp;"|"&amp;B761&amp;"|"&amp;TEXT(AT761,"yyyymmdd"))</f>
        <v/>
      </c>
      <c r="BB761" s="28" t="str">
        <f>IF(B761="","",TEXT(AZ761,"00")&amp;"|"&amp;B761&amp;"|"&amp;TEXT(AV761,"yyyymmdd"))</f>
        <v/>
      </c>
      <c r="BC761" s="28">
        <f>IF(OR(AQ761="YES",AQ761="Yes",AQ761="Y",AQ761=1),1,0)</f>
        <v>0</v>
      </c>
    </row>
    <row r="762" spans="1:55" ht="15" customHeight="1">
      <c r="A762" s="27"/>
      <c r="B762" s="28"/>
      <c r="C762" s="29"/>
      <c r="D762" s="30"/>
      <c r="E762" s="30"/>
      <c r="F762" s="28"/>
      <c r="G762" s="28"/>
      <c r="H762" s="28"/>
      <c r="I762" s="13"/>
      <c r="J762" s="28"/>
      <c r="K762" s="13"/>
      <c r="L762" s="28"/>
      <c r="M762" s="13"/>
      <c r="N762" s="28"/>
      <c r="O762" s="13"/>
      <c r="P762" s="28"/>
      <c r="Q762" s="20"/>
      <c r="R762" s="28"/>
      <c r="S762" s="20"/>
      <c r="T762" s="28"/>
      <c r="U762" s="13"/>
      <c r="V762" s="28"/>
      <c r="W762" s="13"/>
      <c r="X762" s="28"/>
      <c r="Y762" s="13"/>
      <c r="Z762" s="28"/>
      <c r="AA762" s="13"/>
      <c r="AB762" s="28"/>
      <c r="AC762" s="13"/>
      <c r="AD762" s="28"/>
      <c r="AE762" s="13"/>
      <c r="AF762" s="28"/>
      <c r="AG762" s="13"/>
      <c r="AH762" s="28"/>
      <c r="AI762" s="13"/>
      <c r="AJ762" s="28"/>
      <c r="AK762" s="13"/>
      <c r="AL762" s="28"/>
      <c r="AM762" s="13"/>
      <c r="AN762" s="28"/>
      <c r="AO762" s="13"/>
      <c r="AP762" s="28"/>
      <c r="AQ762" s="13"/>
      <c r="AR762" s="28"/>
      <c r="AS762" s="19">
        <f>SUM(H762,J762,L762,N762,P762,R762,T762,V762,X762,Z762,AB762,AD762,AF762,AH762,AJ762,AL762,AN762)</f>
        <v>0</v>
      </c>
      <c r="AT762" s="29" t="str">
        <f>IF(C762="","",DATE(YEAR(C762),MONTH(C762),1))</f>
        <v/>
      </c>
      <c r="AU762" s="28" t="str">
        <f>IF(AT762="","",TEXT(AT762,"mmmm yyyy"))</f>
        <v/>
      </c>
      <c r="AV762" s="29" t="str">
        <f>IF(C762="","",C762-WEEKDAY(C762,2)+1)</f>
        <v/>
      </c>
      <c r="AW762" s="29" t="str">
        <f>IF(AV762="","",AV762+6)</f>
        <v/>
      </c>
      <c r="AX762" s="28" t="str">
        <f>IF(AV762="","",TEXT(AV762,"dd/mm/yyyy")&amp;" - "&amp;TEXT(AW762,"dd/mm/yyyy"))</f>
        <v/>
      </c>
      <c r="AY762" s="28" t="str">
        <f>IF(B762="","",COUNTIFS($B$5:B762,B762,$AT$5:AT762,AT762))</f>
        <v/>
      </c>
      <c r="AZ762" s="28" t="str">
        <f>IF(B762="","",COUNTIFS($B$5:B762,B762,$AV$5:AV762,AV762))</f>
        <v/>
      </c>
      <c r="BA762" s="28" t="str">
        <f>IF(B762="","",TEXT(AY762,"00")&amp;"|"&amp;B762&amp;"|"&amp;TEXT(AT762,"yyyymmdd"))</f>
        <v/>
      </c>
      <c r="BB762" s="28" t="str">
        <f>IF(B762="","",TEXT(AZ762,"00")&amp;"|"&amp;B762&amp;"|"&amp;TEXT(AV762,"yyyymmdd"))</f>
        <v/>
      </c>
      <c r="BC762" s="28">
        <f>IF(OR(AQ762="YES",AQ762="Yes",AQ762="Y",AQ762=1),1,0)</f>
        <v>0</v>
      </c>
    </row>
    <row r="763" spans="1:55" ht="15" customHeight="1">
      <c r="A763" s="27"/>
      <c r="B763" s="28"/>
      <c r="C763" s="29"/>
      <c r="D763" s="30"/>
      <c r="E763" s="30"/>
      <c r="F763" s="28"/>
      <c r="G763" s="28"/>
      <c r="H763" s="28"/>
      <c r="I763" s="13"/>
      <c r="J763" s="28"/>
      <c r="K763" s="13"/>
      <c r="L763" s="28"/>
      <c r="M763" s="13"/>
      <c r="N763" s="28"/>
      <c r="O763" s="13"/>
      <c r="P763" s="28"/>
      <c r="Q763" s="20"/>
      <c r="R763" s="28"/>
      <c r="S763" s="20"/>
      <c r="T763" s="28"/>
      <c r="U763" s="13"/>
      <c r="V763" s="28"/>
      <c r="W763" s="13"/>
      <c r="X763" s="28"/>
      <c r="Y763" s="13"/>
      <c r="Z763" s="28"/>
      <c r="AA763" s="13"/>
      <c r="AB763" s="28"/>
      <c r="AC763" s="13"/>
      <c r="AD763" s="28"/>
      <c r="AE763" s="13"/>
      <c r="AF763" s="28"/>
      <c r="AG763" s="13"/>
      <c r="AH763" s="28"/>
      <c r="AI763" s="13"/>
      <c r="AJ763" s="28"/>
      <c r="AK763" s="13"/>
      <c r="AL763" s="28"/>
      <c r="AM763" s="13"/>
      <c r="AN763" s="28"/>
      <c r="AO763" s="13"/>
      <c r="AP763" s="28"/>
      <c r="AQ763" s="13"/>
      <c r="AR763" s="28"/>
      <c r="AS763" s="19">
        <f>SUM(H763,J763,L763,N763,P763,R763,T763,V763,X763,Z763,AB763,AD763,AF763,AH763,AJ763,AL763,AN763)</f>
        <v>0</v>
      </c>
      <c r="AT763" s="29" t="str">
        <f>IF(C763="","",DATE(YEAR(C763),MONTH(C763),1))</f>
        <v/>
      </c>
      <c r="AU763" s="28" t="str">
        <f>IF(AT763="","",TEXT(AT763,"mmmm yyyy"))</f>
        <v/>
      </c>
      <c r="AV763" s="29" t="str">
        <f>IF(C763="","",C763-WEEKDAY(C763,2)+1)</f>
        <v/>
      </c>
      <c r="AW763" s="29" t="str">
        <f>IF(AV763="","",AV763+6)</f>
        <v/>
      </c>
      <c r="AX763" s="28" t="str">
        <f>IF(AV763="","",TEXT(AV763,"dd/mm/yyyy")&amp;" - "&amp;TEXT(AW763,"dd/mm/yyyy"))</f>
        <v/>
      </c>
      <c r="AY763" s="28" t="str">
        <f>IF(B763="","",COUNTIFS($B$5:B763,B763,$AT$5:AT763,AT763))</f>
        <v/>
      </c>
      <c r="AZ763" s="28" t="str">
        <f>IF(B763="","",COUNTIFS($B$5:B763,B763,$AV$5:AV763,AV763))</f>
        <v/>
      </c>
      <c r="BA763" s="28" t="str">
        <f>IF(B763="","",TEXT(AY763,"00")&amp;"|"&amp;B763&amp;"|"&amp;TEXT(AT763,"yyyymmdd"))</f>
        <v/>
      </c>
      <c r="BB763" s="28" t="str">
        <f>IF(B763="","",TEXT(AZ763,"00")&amp;"|"&amp;B763&amp;"|"&amp;TEXT(AV763,"yyyymmdd"))</f>
        <v/>
      </c>
      <c r="BC763" s="28">
        <f>IF(OR(AQ763="YES",AQ763="Yes",AQ763="Y",AQ763=1),1,0)</f>
        <v>0</v>
      </c>
    </row>
    <row r="764" spans="1:55" ht="15" customHeight="1">
      <c r="A764" s="27"/>
      <c r="B764" s="28"/>
      <c r="C764" s="29"/>
      <c r="D764" s="30"/>
      <c r="E764" s="30"/>
      <c r="F764" s="28"/>
      <c r="G764" s="28"/>
      <c r="H764" s="28"/>
      <c r="I764" s="13"/>
      <c r="J764" s="28"/>
      <c r="K764" s="13"/>
      <c r="L764" s="28"/>
      <c r="M764" s="13"/>
      <c r="N764" s="28"/>
      <c r="O764" s="13"/>
      <c r="P764" s="28"/>
      <c r="Q764" s="20"/>
      <c r="R764" s="28"/>
      <c r="S764" s="20"/>
      <c r="T764" s="28"/>
      <c r="U764" s="13"/>
      <c r="V764" s="28"/>
      <c r="W764" s="13"/>
      <c r="X764" s="28"/>
      <c r="Y764" s="13"/>
      <c r="Z764" s="28"/>
      <c r="AA764" s="13"/>
      <c r="AB764" s="28"/>
      <c r="AC764" s="13"/>
      <c r="AD764" s="28"/>
      <c r="AE764" s="13"/>
      <c r="AF764" s="28"/>
      <c r="AG764" s="13"/>
      <c r="AH764" s="28"/>
      <c r="AI764" s="13"/>
      <c r="AJ764" s="28"/>
      <c r="AK764" s="13"/>
      <c r="AL764" s="28"/>
      <c r="AM764" s="13"/>
      <c r="AN764" s="28"/>
      <c r="AO764" s="13"/>
      <c r="AP764" s="28"/>
      <c r="AQ764" s="13"/>
      <c r="AR764" s="28"/>
      <c r="AS764" s="19">
        <f>SUM(H764,J764,L764,N764,P764,R764,T764,V764,X764,Z764,AB764,AD764,AF764,AH764,AJ764,AL764,AN764)</f>
        <v>0</v>
      </c>
      <c r="AT764" s="29" t="str">
        <f>IF(C764="","",DATE(YEAR(C764),MONTH(C764),1))</f>
        <v/>
      </c>
      <c r="AU764" s="28" t="str">
        <f>IF(AT764="","",TEXT(AT764,"mmmm yyyy"))</f>
        <v/>
      </c>
      <c r="AV764" s="29" t="str">
        <f>IF(C764="","",C764-WEEKDAY(C764,2)+1)</f>
        <v/>
      </c>
      <c r="AW764" s="29" t="str">
        <f>IF(AV764="","",AV764+6)</f>
        <v/>
      </c>
      <c r="AX764" s="28" t="str">
        <f>IF(AV764="","",TEXT(AV764,"dd/mm/yyyy")&amp;" - "&amp;TEXT(AW764,"dd/mm/yyyy"))</f>
        <v/>
      </c>
      <c r="AY764" s="28" t="str">
        <f>IF(B764="","",COUNTIFS($B$5:B764,B764,$AT$5:AT764,AT764))</f>
        <v/>
      </c>
      <c r="AZ764" s="28" t="str">
        <f>IF(B764="","",COUNTIFS($B$5:B764,B764,$AV$5:AV764,AV764))</f>
        <v/>
      </c>
      <c r="BA764" s="28" t="str">
        <f>IF(B764="","",TEXT(AY764,"00")&amp;"|"&amp;B764&amp;"|"&amp;TEXT(AT764,"yyyymmdd"))</f>
        <v/>
      </c>
      <c r="BB764" s="28" t="str">
        <f>IF(B764="","",TEXT(AZ764,"00")&amp;"|"&amp;B764&amp;"|"&amp;TEXT(AV764,"yyyymmdd"))</f>
        <v/>
      </c>
      <c r="BC764" s="28">
        <f>IF(OR(AQ764="YES",AQ764="Yes",AQ764="Y",AQ764=1),1,0)</f>
        <v>0</v>
      </c>
    </row>
    <row r="765" spans="1:55" ht="15" customHeight="1">
      <c r="A765" s="27"/>
      <c r="B765" s="28"/>
      <c r="C765" s="29"/>
      <c r="D765" s="30"/>
      <c r="E765" s="30"/>
      <c r="F765" s="28"/>
      <c r="G765" s="28"/>
      <c r="H765" s="28"/>
      <c r="I765" s="13"/>
      <c r="J765" s="28"/>
      <c r="K765" s="13"/>
      <c r="L765" s="28"/>
      <c r="M765" s="13"/>
      <c r="N765" s="28"/>
      <c r="O765" s="13"/>
      <c r="P765" s="28"/>
      <c r="Q765" s="20"/>
      <c r="R765" s="28"/>
      <c r="S765" s="20"/>
      <c r="T765" s="28"/>
      <c r="U765" s="13"/>
      <c r="V765" s="28"/>
      <c r="W765" s="13"/>
      <c r="X765" s="28"/>
      <c r="Y765" s="13"/>
      <c r="Z765" s="28"/>
      <c r="AA765" s="13"/>
      <c r="AB765" s="28"/>
      <c r="AC765" s="13"/>
      <c r="AD765" s="28"/>
      <c r="AE765" s="13"/>
      <c r="AF765" s="28"/>
      <c r="AG765" s="13"/>
      <c r="AH765" s="28"/>
      <c r="AI765" s="13"/>
      <c r="AJ765" s="28"/>
      <c r="AK765" s="13"/>
      <c r="AL765" s="28"/>
      <c r="AM765" s="13"/>
      <c r="AN765" s="28"/>
      <c r="AO765" s="13"/>
      <c r="AP765" s="28"/>
      <c r="AQ765" s="13"/>
      <c r="AR765" s="28"/>
      <c r="AS765" s="19">
        <f>SUM(H765,J765,L765,N765,P765,R765,T765,V765,X765,Z765,AB765,AD765,AF765,AH765,AJ765,AL765,AN765)</f>
        <v>0</v>
      </c>
      <c r="AT765" s="29" t="str">
        <f>IF(C765="","",DATE(YEAR(C765),MONTH(C765),1))</f>
        <v/>
      </c>
      <c r="AU765" s="28" t="str">
        <f>IF(AT765="","",TEXT(AT765,"mmmm yyyy"))</f>
        <v/>
      </c>
      <c r="AV765" s="29" t="str">
        <f>IF(C765="","",C765-WEEKDAY(C765,2)+1)</f>
        <v/>
      </c>
      <c r="AW765" s="29" t="str">
        <f>IF(AV765="","",AV765+6)</f>
        <v/>
      </c>
      <c r="AX765" s="28" t="str">
        <f>IF(AV765="","",TEXT(AV765,"dd/mm/yyyy")&amp;" - "&amp;TEXT(AW765,"dd/mm/yyyy"))</f>
        <v/>
      </c>
      <c r="AY765" s="28" t="str">
        <f>IF(B765="","",COUNTIFS($B$5:B765,B765,$AT$5:AT765,AT765))</f>
        <v/>
      </c>
      <c r="AZ765" s="28" t="str">
        <f>IF(B765="","",COUNTIFS($B$5:B765,B765,$AV$5:AV765,AV765))</f>
        <v/>
      </c>
      <c r="BA765" s="28" t="str">
        <f>IF(B765="","",TEXT(AY765,"00")&amp;"|"&amp;B765&amp;"|"&amp;TEXT(AT765,"yyyymmdd"))</f>
        <v/>
      </c>
      <c r="BB765" s="28" t="str">
        <f>IF(B765="","",TEXT(AZ765,"00")&amp;"|"&amp;B765&amp;"|"&amp;TEXT(AV765,"yyyymmdd"))</f>
        <v/>
      </c>
      <c r="BC765" s="28">
        <f>IF(OR(AQ765="YES",AQ765="Yes",AQ765="Y",AQ765=1),1,0)</f>
        <v>0</v>
      </c>
    </row>
    <row r="766" spans="1:55" ht="15" customHeight="1">
      <c r="A766" s="27"/>
      <c r="B766" s="28"/>
      <c r="C766" s="29"/>
      <c r="D766" s="30"/>
      <c r="E766" s="30"/>
      <c r="F766" s="28"/>
      <c r="G766" s="28"/>
      <c r="H766" s="28"/>
      <c r="I766" s="13"/>
      <c r="J766" s="28"/>
      <c r="K766" s="13"/>
      <c r="L766" s="28"/>
      <c r="M766" s="13"/>
      <c r="N766" s="28"/>
      <c r="O766" s="13"/>
      <c r="P766" s="28"/>
      <c r="Q766" s="20"/>
      <c r="R766" s="28"/>
      <c r="S766" s="20"/>
      <c r="T766" s="28"/>
      <c r="U766" s="13"/>
      <c r="V766" s="28"/>
      <c r="W766" s="13"/>
      <c r="X766" s="28"/>
      <c r="Y766" s="13"/>
      <c r="Z766" s="28"/>
      <c r="AA766" s="13"/>
      <c r="AB766" s="28"/>
      <c r="AC766" s="13"/>
      <c r="AD766" s="28"/>
      <c r="AE766" s="13"/>
      <c r="AF766" s="28"/>
      <c r="AG766" s="13"/>
      <c r="AH766" s="28"/>
      <c r="AI766" s="13"/>
      <c r="AJ766" s="28"/>
      <c r="AK766" s="13"/>
      <c r="AL766" s="28"/>
      <c r="AM766" s="13"/>
      <c r="AN766" s="28"/>
      <c r="AO766" s="13"/>
      <c r="AP766" s="28"/>
      <c r="AQ766" s="13"/>
      <c r="AR766" s="28"/>
      <c r="AS766" s="19">
        <f>SUM(H766,J766,L766,N766,P766,R766,T766,V766,X766,Z766,AB766,AD766,AF766,AH766,AJ766,AL766,AN766)</f>
        <v>0</v>
      </c>
      <c r="AT766" s="29" t="str">
        <f>IF(C766="","",DATE(YEAR(C766),MONTH(C766),1))</f>
        <v/>
      </c>
      <c r="AU766" s="28" t="str">
        <f>IF(AT766="","",TEXT(AT766,"mmmm yyyy"))</f>
        <v/>
      </c>
      <c r="AV766" s="29" t="str">
        <f>IF(C766="","",C766-WEEKDAY(C766,2)+1)</f>
        <v/>
      </c>
      <c r="AW766" s="29" t="str">
        <f>IF(AV766="","",AV766+6)</f>
        <v/>
      </c>
      <c r="AX766" s="28" t="str">
        <f>IF(AV766="","",TEXT(AV766,"dd/mm/yyyy")&amp;" - "&amp;TEXT(AW766,"dd/mm/yyyy"))</f>
        <v/>
      </c>
      <c r="AY766" s="28" t="str">
        <f>IF(B766="","",COUNTIFS($B$5:B766,B766,$AT$5:AT766,AT766))</f>
        <v/>
      </c>
      <c r="AZ766" s="28" t="str">
        <f>IF(B766="","",COUNTIFS($B$5:B766,B766,$AV$5:AV766,AV766))</f>
        <v/>
      </c>
      <c r="BA766" s="28" t="str">
        <f>IF(B766="","",TEXT(AY766,"00")&amp;"|"&amp;B766&amp;"|"&amp;TEXT(AT766,"yyyymmdd"))</f>
        <v/>
      </c>
      <c r="BB766" s="28" t="str">
        <f>IF(B766="","",TEXT(AZ766,"00")&amp;"|"&amp;B766&amp;"|"&amp;TEXT(AV766,"yyyymmdd"))</f>
        <v/>
      </c>
      <c r="BC766" s="28">
        <f>IF(OR(AQ766="YES",AQ766="Yes",AQ766="Y",AQ766=1),1,0)</f>
        <v>0</v>
      </c>
    </row>
    <row r="767" spans="1:55" ht="15" customHeight="1">
      <c r="A767" s="27"/>
      <c r="B767" s="28"/>
      <c r="C767" s="29"/>
      <c r="D767" s="30"/>
      <c r="E767" s="30"/>
      <c r="F767" s="28"/>
      <c r="G767" s="28"/>
      <c r="H767" s="28"/>
      <c r="I767" s="13"/>
      <c r="J767" s="28"/>
      <c r="K767" s="13"/>
      <c r="L767" s="28"/>
      <c r="M767" s="13"/>
      <c r="N767" s="28"/>
      <c r="O767" s="13"/>
      <c r="P767" s="28"/>
      <c r="Q767" s="20"/>
      <c r="R767" s="28"/>
      <c r="S767" s="20"/>
      <c r="T767" s="28"/>
      <c r="U767" s="13"/>
      <c r="V767" s="28"/>
      <c r="W767" s="13"/>
      <c r="X767" s="28"/>
      <c r="Y767" s="13"/>
      <c r="Z767" s="28"/>
      <c r="AA767" s="13"/>
      <c r="AB767" s="28"/>
      <c r="AC767" s="13"/>
      <c r="AD767" s="28"/>
      <c r="AE767" s="13"/>
      <c r="AF767" s="28"/>
      <c r="AG767" s="13"/>
      <c r="AH767" s="28"/>
      <c r="AI767" s="13"/>
      <c r="AJ767" s="28"/>
      <c r="AK767" s="13"/>
      <c r="AL767" s="28"/>
      <c r="AM767" s="13"/>
      <c r="AN767" s="28"/>
      <c r="AO767" s="13"/>
      <c r="AP767" s="28"/>
      <c r="AQ767" s="13"/>
      <c r="AR767" s="28"/>
      <c r="AS767" s="19">
        <f>SUM(H767,J767,L767,N767,P767,R767,T767,V767,X767,Z767,AB767,AD767,AF767,AH767,AJ767,AL767,AN767)</f>
        <v>0</v>
      </c>
      <c r="AT767" s="29" t="str">
        <f>IF(C767="","",DATE(YEAR(C767),MONTH(C767),1))</f>
        <v/>
      </c>
      <c r="AU767" s="28" t="str">
        <f>IF(AT767="","",TEXT(AT767,"mmmm yyyy"))</f>
        <v/>
      </c>
      <c r="AV767" s="29" t="str">
        <f>IF(C767="","",C767-WEEKDAY(C767,2)+1)</f>
        <v/>
      </c>
      <c r="AW767" s="29" t="str">
        <f>IF(AV767="","",AV767+6)</f>
        <v/>
      </c>
      <c r="AX767" s="28" t="str">
        <f>IF(AV767="","",TEXT(AV767,"dd/mm/yyyy")&amp;" - "&amp;TEXT(AW767,"dd/mm/yyyy"))</f>
        <v/>
      </c>
      <c r="AY767" s="28" t="str">
        <f>IF(B767="","",COUNTIFS($B$5:B767,B767,$AT$5:AT767,AT767))</f>
        <v/>
      </c>
      <c r="AZ767" s="28" t="str">
        <f>IF(B767="","",COUNTIFS($B$5:B767,B767,$AV$5:AV767,AV767))</f>
        <v/>
      </c>
      <c r="BA767" s="28" t="str">
        <f>IF(B767="","",TEXT(AY767,"00")&amp;"|"&amp;B767&amp;"|"&amp;TEXT(AT767,"yyyymmdd"))</f>
        <v/>
      </c>
      <c r="BB767" s="28" t="str">
        <f>IF(B767="","",TEXT(AZ767,"00")&amp;"|"&amp;B767&amp;"|"&amp;TEXT(AV767,"yyyymmdd"))</f>
        <v/>
      </c>
      <c r="BC767" s="28">
        <f>IF(OR(AQ767="YES",AQ767="Yes",AQ767="Y",AQ767=1),1,0)</f>
        <v>0</v>
      </c>
    </row>
    <row r="768" spans="1:55" ht="15" customHeight="1">
      <c r="A768" s="27"/>
      <c r="B768" s="28"/>
      <c r="C768" s="29"/>
      <c r="D768" s="30"/>
      <c r="E768" s="30"/>
      <c r="F768" s="28"/>
      <c r="G768" s="28"/>
      <c r="H768" s="28"/>
      <c r="I768" s="13"/>
      <c r="J768" s="28"/>
      <c r="K768" s="13"/>
      <c r="L768" s="28"/>
      <c r="M768" s="13"/>
      <c r="N768" s="28"/>
      <c r="O768" s="13"/>
      <c r="P768" s="28"/>
      <c r="Q768" s="20"/>
      <c r="R768" s="28"/>
      <c r="S768" s="20"/>
      <c r="T768" s="28"/>
      <c r="U768" s="13"/>
      <c r="V768" s="28"/>
      <c r="W768" s="13"/>
      <c r="X768" s="28"/>
      <c r="Y768" s="13"/>
      <c r="Z768" s="28"/>
      <c r="AA768" s="13"/>
      <c r="AB768" s="28"/>
      <c r="AC768" s="13"/>
      <c r="AD768" s="28"/>
      <c r="AE768" s="13"/>
      <c r="AF768" s="28"/>
      <c r="AG768" s="13"/>
      <c r="AH768" s="28"/>
      <c r="AI768" s="13"/>
      <c r="AJ768" s="28"/>
      <c r="AK768" s="13"/>
      <c r="AL768" s="28"/>
      <c r="AM768" s="13"/>
      <c r="AN768" s="28"/>
      <c r="AO768" s="13"/>
      <c r="AP768" s="28"/>
      <c r="AQ768" s="13"/>
      <c r="AR768" s="28"/>
      <c r="AS768" s="19">
        <f>SUM(H768,J768,L768,N768,P768,R768,T768,V768,X768,Z768,AB768,AD768,AF768,AH768,AJ768,AL768,AN768)</f>
        <v>0</v>
      </c>
      <c r="AT768" s="29" t="str">
        <f>IF(C768="","",DATE(YEAR(C768),MONTH(C768),1))</f>
        <v/>
      </c>
      <c r="AU768" s="28" t="str">
        <f>IF(AT768="","",TEXT(AT768,"mmmm yyyy"))</f>
        <v/>
      </c>
      <c r="AV768" s="29" t="str">
        <f>IF(C768="","",C768-WEEKDAY(C768,2)+1)</f>
        <v/>
      </c>
      <c r="AW768" s="29" t="str">
        <f>IF(AV768="","",AV768+6)</f>
        <v/>
      </c>
      <c r="AX768" s="28" t="str">
        <f>IF(AV768="","",TEXT(AV768,"dd/mm/yyyy")&amp;" - "&amp;TEXT(AW768,"dd/mm/yyyy"))</f>
        <v/>
      </c>
      <c r="AY768" s="28" t="str">
        <f>IF(B768="","",COUNTIFS($B$5:B768,B768,$AT$5:AT768,AT768))</f>
        <v/>
      </c>
      <c r="AZ768" s="28" t="str">
        <f>IF(B768="","",COUNTIFS($B$5:B768,B768,$AV$5:AV768,AV768))</f>
        <v/>
      </c>
      <c r="BA768" s="28" t="str">
        <f>IF(B768="","",TEXT(AY768,"00")&amp;"|"&amp;B768&amp;"|"&amp;TEXT(AT768,"yyyymmdd"))</f>
        <v/>
      </c>
      <c r="BB768" s="28" t="str">
        <f>IF(B768="","",TEXT(AZ768,"00")&amp;"|"&amp;B768&amp;"|"&amp;TEXT(AV768,"yyyymmdd"))</f>
        <v/>
      </c>
      <c r="BC768" s="28">
        <f>IF(OR(AQ768="YES",AQ768="Yes",AQ768="Y",AQ768=1),1,0)</f>
        <v>0</v>
      </c>
    </row>
    <row r="769" spans="1:55" ht="15" customHeight="1">
      <c r="A769" s="27"/>
      <c r="B769" s="28"/>
      <c r="C769" s="29"/>
      <c r="D769" s="30"/>
      <c r="E769" s="30"/>
      <c r="F769" s="28"/>
      <c r="G769" s="28"/>
      <c r="H769" s="28"/>
      <c r="I769" s="13"/>
      <c r="J769" s="28"/>
      <c r="K769" s="13"/>
      <c r="L769" s="28"/>
      <c r="M769" s="13"/>
      <c r="N769" s="28"/>
      <c r="O769" s="13"/>
      <c r="P769" s="28"/>
      <c r="Q769" s="20"/>
      <c r="R769" s="28"/>
      <c r="S769" s="20"/>
      <c r="T769" s="28"/>
      <c r="U769" s="13"/>
      <c r="V769" s="28"/>
      <c r="W769" s="13"/>
      <c r="X769" s="28"/>
      <c r="Y769" s="13"/>
      <c r="Z769" s="28"/>
      <c r="AA769" s="13"/>
      <c r="AB769" s="28"/>
      <c r="AC769" s="13"/>
      <c r="AD769" s="28"/>
      <c r="AE769" s="13"/>
      <c r="AF769" s="28"/>
      <c r="AG769" s="13"/>
      <c r="AH769" s="28"/>
      <c r="AI769" s="13"/>
      <c r="AJ769" s="28"/>
      <c r="AK769" s="13"/>
      <c r="AL769" s="28"/>
      <c r="AM769" s="13"/>
      <c r="AN769" s="28"/>
      <c r="AO769" s="13"/>
      <c r="AP769" s="28"/>
      <c r="AQ769" s="13"/>
      <c r="AR769" s="28"/>
      <c r="AS769" s="19">
        <f>SUM(H769,J769,L769,N769,P769,R769,T769,V769,X769,Z769,AB769,AD769,AF769,AH769,AJ769,AL769,AN769)</f>
        <v>0</v>
      </c>
      <c r="AT769" s="29" t="str">
        <f>IF(C769="","",DATE(YEAR(C769),MONTH(C769),1))</f>
        <v/>
      </c>
      <c r="AU769" s="28" t="str">
        <f>IF(AT769="","",TEXT(AT769,"mmmm yyyy"))</f>
        <v/>
      </c>
      <c r="AV769" s="29" t="str">
        <f>IF(C769="","",C769-WEEKDAY(C769,2)+1)</f>
        <v/>
      </c>
      <c r="AW769" s="29" t="str">
        <f>IF(AV769="","",AV769+6)</f>
        <v/>
      </c>
      <c r="AX769" s="28" t="str">
        <f>IF(AV769="","",TEXT(AV769,"dd/mm/yyyy")&amp;" - "&amp;TEXT(AW769,"dd/mm/yyyy"))</f>
        <v/>
      </c>
      <c r="AY769" s="28" t="str">
        <f>IF(B769="","",COUNTIFS($B$5:B769,B769,$AT$5:AT769,AT769))</f>
        <v/>
      </c>
      <c r="AZ769" s="28" t="str">
        <f>IF(B769="","",COUNTIFS($B$5:B769,B769,$AV$5:AV769,AV769))</f>
        <v/>
      </c>
      <c r="BA769" s="28" t="str">
        <f>IF(B769="","",TEXT(AY769,"00")&amp;"|"&amp;B769&amp;"|"&amp;TEXT(AT769,"yyyymmdd"))</f>
        <v/>
      </c>
      <c r="BB769" s="28" t="str">
        <f>IF(B769="","",TEXT(AZ769,"00")&amp;"|"&amp;B769&amp;"|"&amp;TEXT(AV769,"yyyymmdd"))</f>
        <v/>
      </c>
      <c r="BC769" s="28">
        <f>IF(OR(AQ769="YES",AQ769="Yes",AQ769="Y",AQ769=1),1,0)</f>
        <v>0</v>
      </c>
    </row>
    <row r="770" spans="1:55" ht="15" customHeight="1">
      <c r="A770" s="27"/>
      <c r="B770" s="28"/>
      <c r="C770" s="29"/>
      <c r="D770" s="30"/>
      <c r="E770" s="30"/>
      <c r="F770" s="28"/>
      <c r="G770" s="28"/>
      <c r="H770" s="28"/>
      <c r="I770" s="13"/>
      <c r="J770" s="28"/>
      <c r="K770" s="13"/>
      <c r="L770" s="28"/>
      <c r="M770" s="13"/>
      <c r="N770" s="28"/>
      <c r="O770" s="13"/>
      <c r="P770" s="28"/>
      <c r="Q770" s="20"/>
      <c r="R770" s="28"/>
      <c r="S770" s="20"/>
      <c r="T770" s="28"/>
      <c r="U770" s="13"/>
      <c r="V770" s="28"/>
      <c r="W770" s="13"/>
      <c r="X770" s="28"/>
      <c r="Y770" s="13"/>
      <c r="Z770" s="28"/>
      <c r="AA770" s="13"/>
      <c r="AB770" s="28"/>
      <c r="AC770" s="13"/>
      <c r="AD770" s="28"/>
      <c r="AE770" s="13"/>
      <c r="AF770" s="28"/>
      <c r="AG770" s="13"/>
      <c r="AH770" s="28"/>
      <c r="AI770" s="13"/>
      <c r="AJ770" s="28"/>
      <c r="AK770" s="13"/>
      <c r="AL770" s="28"/>
      <c r="AM770" s="13"/>
      <c r="AN770" s="28"/>
      <c r="AO770" s="13"/>
      <c r="AP770" s="28"/>
      <c r="AQ770" s="13"/>
      <c r="AR770" s="28"/>
      <c r="AS770" s="19">
        <f>SUM(H770,J770,L770,N770,P770,R770,T770,V770,X770,Z770,AB770,AD770,AF770,AH770,AJ770,AL770,AN770)</f>
        <v>0</v>
      </c>
      <c r="AT770" s="29" t="str">
        <f>IF(C770="","",DATE(YEAR(C770),MONTH(C770),1))</f>
        <v/>
      </c>
      <c r="AU770" s="28" t="str">
        <f>IF(AT770="","",TEXT(AT770,"mmmm yyyy"))</f>
        <v/>
      </c>
      <c r="AV770" s="29" t="str">
        <f>IF(C770="","",C770-WEEKDAY(C770,2)+1)</f>
        <v/>
      </c>
      <c r="AW770" s="29" t="str">
        <f>IF(AV770="","",AV770+6)</f>
        <v/>
      </c>
      <c r="AX770" s="28" t="str">
        <f>IF(AV770="","",TEXT(AV770,"dd/mm/yyyy")&amp;" - "&amp;TEXT(AW770,"dd/mm/yyyy"))</f>
        <v/>
      </c>
      <c r="AY770" s="28" t="str">
        <f>IF(B770="","",COUNTIFS($B$5:B770,B770,$AT$5:AT770,AT770))</f>
        <v/>
      </c>
      <c r="AZ770" s="28" t="str">
        <f>IF(B770="","",COUNTIFS($B$5:B770,B770,$AV$5:AV770,AV770))</f>
        <v/>
      </c>
      <c r="BA770" s="28" t="str">
        <f>IF(B770="","",TEXT(AY770,"00")&amp;"|"&amp;B770&amp;"|"&amp;TEXT(AT770,"yyyymmdd"))</f>
        <v/>
      </c>
      <c r="BB770" s="28" t="str">
        <f>IF(B770="","",TEXT(AZ770,"00")&amp;"|"&amp;B770&amp;"|"&amp;TEXT(AV770,"yyyymmdd"))</f>
        <v/>
      </c>
      <c r="BC770" s="28">
        <f>IF(OR(AQ770="YES",AQ770="Yes",AQ770="Y",AQ770=1),1,0)</f>
        <v>0</v>
      </c>
    </row>
    <row r="771" spans="1:55" ht="15" customHeight="1">
      <c r="A771" s="27"/>
      <c r="B771" s="28"/>
      <c r="C771" s="29"/>
      <c r="D771" s="30"/>
      <c r="E771" s="30"/>
      <c r="F771" s="28"/>
      <c r="G771" s="28"/>
      <c r="H771" s="28"/>
      <c r="I771" s="13"/>
      <c r="J771" s="28"/>
      <c r="K771" s="13"/>
      <c r="L771" s="28"/>
      <c r="M771" s="13"/>
      <c r="N771" s="28"/>
      <c r="O771" s="13"/>
      <c r="P771" s="28"/>
      <c r="Q771" s="20"/>
      <c r="R771" s="28"/>
      <c r="S771" s="20"/>
      <c r="T771" s="28"/>
      <c r="U771" s="13"/>
      <c r="V771" s="28"/>
      <c r="W771" s="13"/>
      <c r="X771" s="28"/>
      <c r="Y771" s="13"/>
      <c r="Z771" s="28"/>
      <c r="AA771" s="13"/>
      <c r="AB771" s="28"/>
      <c r="AC771" s="13"/>
      <c r="AD771" s="28"/>
      <c r="AE771" s="13"/>
      <c r="AF771" s="28"/>
      <c r="AG771" s="13"/>
      <c r="AH771" s="28"/>
      <c r="AI771" s="13"/>
      <c r="AJ771" s="28"/>
      <c r="AK771" s="13"/>
      <c r="AL771" s="28"/>
      <c r="AM771" s="13"/>
      <c r="AN771" s="28"/>
      <c r="AO771" s="13"/>
      <c r="AP771" s="28"/>
      <c r="AQ771" s="13"/>
      <c r="AR771" s="28"/>
      <c r="AS771" s="19">
        <f>SUM(H771,J771,L771,N771,P771,R771,T771,V771,X771,Z771,AB771,AD771,AF771,AH771,AJ771,AL771,AN771)</f>
        <v>0</v>
      </c>
      <c r="AT771" s="29" t="str">
        <f>IF(C771="","",DATE(YEAR(C771),MONTH(C771),1))</f>
        <v/>
      </c>
      <c r="AU771" s="28" t="str">
        <f>IF(AT771="","",TEXT(AT771,"mmmm yyyy"))</f>
        <v/>
      </c>
      <c r="AV771" s="29" t="str">
        <f>IF(C771="","",C771-WEEKDAY(C771,2)+1)</f>
        <v/>
      </c>
      <c r="AW771" s="29" t="str">
        <f>IF(AV771="","",AV771+6)</f>
        <v/>
      </c>
      <c r="AX771" s="28" t="str">
        <f>IF(AV771="","",TEXT(AV771,"dd/mm/yyyy")&amp;" - "&amp;TEXT(AW771,"dd/mm/yyyy"))</f>
        <v/>
      </c>
      <c r="AY771" s="28" t="str">
        <f>IF(B771="","",COUNTIFS($B$5:B771,B771,$AT$5:AT771,AT771))</f>
        <v/>
      </c>
      <c r="AZ771" s="28" t="str">
        <f>IF(B771="","",COUNTIFS($B$5:B771,B771,$AV$5:AV771,AV771))</f>
        <v/>
      </c>
      <c r="BA771" s="28" t="str">
        <f>IF(B771="","",TEXT(AY771,"00")&amp;"|"&amp;B771&amp;"|"&amp;TEXT(AT771,"yyyymmdd"))</f>
        <v/>
      </c>
      <c r="BB771" s="28" t="str">
        <f>IF(B771="","",TEXT(AZ771,"00")&amp;"|"&amp;B771&amp;"|"&amp;TEXT(AV771,"yyyymmdd"))</f>
        <v/>
      </c>
      <c r="BC771" s="28">
        <f>IF(OR(AQ771="YES",AQ771="Yes",AQ771="Y",AQ771=1),1,0)</f>
        <v>0</v>
      </c>
    </row>
    <row r="772" spans="1:55" ht="15" customHeight="1">
      <c r="A772" s="27"/>
      <c r="B772" s="28"/>
      <c r="C772" s="29"/>
      <c r="D772" s="30"/>
      <c r="E772" s="30"/>
      <c r="F772" s="28"/>
      <c r="G772" s="28"/>
      <c r="H772" s="28"/>
      <c r="I772" s="13"/>
      <c r="J772" s="28"/>
      <c r="K772" s="13"/>
      <c r="L772" s="28"/>
      <c r="M772" s="13"/>
      <c r="N772" s="28"/>
      <c r="O772" s="13"/>
      <c r="P772" s="28"/>
      <c r="Q772" s="20"/>
      <c r="R772" s="28"/>
      <c r="S772" s="20"/>
      <c r="T772" s="28"/>
      <c r="U772" s="13"/>
      <c r="V772" s="28"/>
      <c r="W772" s="13"/>
      <c r="X772" s="28"/>
      <c r="Y772" s="13"/>
      <c r="Z772" s="28"/>
      <c r="AA772" s="13"/>
      <c r="AB772" s="28"/>
      <c r="AC772" s="13"/>
      <c r="AD772" s="28"/>
      <c r="AE772" s="13"/>
      <c r="AF772" s="28"/>
      <c r="AG772" s="13"/>
      <c r="AH772" s="28"/>
      <c r="AI772" s="13"/>
      <c r="AJ772" s="28"/>
      <c r="AK772" s="13"/>
      <c r="AL772" s="28"/>
      <c r="AM772" s="13"/>
      <c r="AN772" s="28"/>
      <c r="AO772" s="13"/>
      <c r="AP772" s="28"/>
      <c r="AQ772" s="13"/>
      <c r="AR772" s="28"/>
      <c r="AS772" s="19">
        <f>SUM(H772,J772,L772,N772,P772,R772,T772,V772,X772,Z772,AB772,AD772,AF772,AH772,AJ772,AL772,AN772)</f>
        <v>0</v>
      </c>
      <c r="AT772" s="29" t="str">
        <f>IF(C772="","",DATE(YEAR(C772),MONTH(C772),1))</f>
        <v/>
      </c>
      <c r="AU772" s="28" t="str">
        <f>IF(AT772="","",TEXT(AT772,"mmmm yyyy"))</f>
        <v/>
      </c>
      <c r="AV772" s="29" t="str">
        <f>IF(C772="","",C772-WEEKDAY(C772,2)+1)</f>
        <v/>
      </c>
      <c r="AW772" s="29" t="str">
        <f>IF(AV772="","",AV772+6)</f>
        <v/>
      </c>
      <c r="AX772" s="28" t="str">
        <f>IF(AV772="","",TEXT(AV772,"dd/mm/yyyy")&amp;" - "&amp;TEXT(AW772,"dd/mm/yyyy"))</f>
        <v/>
      </c>
      <c r="AY772" s="28" t="str">
        <f>IF(B772="","",COUNTIFS($B$5:B772,B772,$AT$5:AT772,AT772))</f>
        <v/>
      </c>
      <c r="AZ772" s="28" t="str">
        <f>IF(B772="","",COUNTIFS($B$5:B772,B772,$AV$5:AV772,AV772))</f>
        <v/>
      </c>
      <c r="BA772" s="28" t="str">
        <f>IF(B772="","",TEXT(AY772,"00")&amp;"|"&amp;B772&amp;"|"&amp;TEXT(AT772,"yyyymmdd"))</f>
        <v/>
      </c>
      <c r="BB772" s="28" t="str">
        <f>IF(B772="","",TEXT(AZ772,"00")&amp;"|"&amp;B772&amp;"|"&amp;TEXT(AV772,"yyyymmdd"))</f>
        <v/>
      </c>
      <c r="BC772" s="28">
        <f>IF(OR(AQ772="YES",AQ772="Yes",AQ772="Y",AQ772=1),1,0)</f>
        <v>0</v>
      </c>
    </row>
    <row r="773" spans="1:55" ht="15" customHeight="1">
      <c r="A773" s="27"/>
      <c r="B773" s="28"/>
      <c r="C773" s="29"/>
      <c r="D773" s="30"/>
      <c r="E773" s="30"/>
      <c r="F773" s="28"/>
      <c r="G773" s="28"/>
      <c r="H773" s="28"/>
      <c r="I773" s="13"/>
      <c r="J773" s="28"/>
      <c r="K773" s="13"/>
      <c r="L773" s="28"/>
      <c r="M773" s="13"/>
      <c r="N773" s="28"/>
      <c r="O773" s="13"/>
      <c r="P773" s="28"/>
      <c r="Q773" s="20"/>
      <c r="R773" s="28"/>
      <c r="S773" s="20"/>
      <c r="T773" s="28"/>
      <c r="U773" s="13"/>
      <c r="V773" s="28"/>
      <c r="W773" s="13"/>
      <c r="X773" s="28"/>
      <c r="Y773" s="13"/>
      <c r="Z773" s="28"/>
      <c r="AA773" s="13"/>
      <c r="AB773" s="28"/>
      <c r="AC773" s="13"/>
      <c r="AD773" s="28"/>
      <c r="AE773" s="13"/>
      <c r="AF773" s="28"/>
      <c r="AG773" s="13"/>
      <c r="AH773" s="28"/>
      <c r="AI773" s="13"/>
      <c r="AJ773" s="28"/>
      <c r="AK773" s="13"/>
      <c r="AL773" s="28"/>
      <c r="AM773" s="13"/>
      <c r="AN773" s="28"/>
      <c r="AO773" s="13"/>
      <c r="AP773" s="28"/>
      <c r="AQ773" s="13"/>
      <c r="AR773" s="28"/>
      <c r="AS773" s="19">
        <f>SUM(H773,J773,L773,N773,P773,R773,T773,V773,X773,Z773,AB773,AD773,AF773,AH773,AJ773,AL773,AN773)</f>
        <v>0</v>
      </c>
      <c r="AT773" s="29" t="str">
        <f>IF(C773="","",DATE(YEAR(C773),MONTH(C773),1))</f>
        <v/>
      </c>
      <c r="AU773" s="28" t="str">
        <f>IF(AT773="","",TEXT(AT773,"mmmm yyyy"))</f>
        <v/>
      </c>
      <c r="AV773" s="29" t="str">
        <f>IF(C773="","",C773-WEEKDAY(C773,2)+1)</f>
        <v/>
      </c>
      <c r="AW773" s="29" t="str">
        <f>IF(AV773="","",AV773+6)</f>
        <v/>
      </c>
      <c r="AX773" s="28" t="str">
        <f>IF(AV773="","",TEXT(AV773,"dd/mm/yyyy")&amp;" - "&amp;TEXT(AW773,"dd/mm/yyyy"))</f>
        <v/>
      </c>
      <c r="AY773" s="28" t="str">
        <f>IF(B773="","",COUNTIFS($B$5:B773,B773,$AT$5:AT773,AT773))</f>
        <v/>
      </c>
      <c r="AZ773" s="28" t="str">
        <f>IF(B773="","",COUNTIFS($B$5:B773,B773,$AV$5:AV773,AV773))</f>
        <v/>
      </c>
      <c r="BA773" s="28" t="str">
        <f>IF(B773="","",TEXT(AY773,"00")&amp;"|"&amp;B773&amp;"|"&amp;TEXT(AT773,"yyyymmdd"))</f>
        <v/>
      </c>
      <c r="BB773" s="28" t="str">
        <f>IF(B773="","",TEXT(AZ773,"00")&amp;"|"&amp;B773&amp;"|"&amp;TEXT(AV773,"yyyymmdd"))</f>
        <v/>
      </c>
      <c r="BC773" s="28">
        <f>IF(OR(AQ773="YES",AQ773="Yes",AQ773="Y",AQ773=1),1,0)</f>
        <v>0</v>
      </c>
    </row>
    <row r="774" spans="1:55" ht="15" customHeight="1">
      <c r="A774" s="27"/>
      <c r="B774" s="28"/>
      <c r="C774" s="29"/>
      <c r="D774" s="30"/>
      <c r="E774" s="30"/>
      <c r="F774" s="28"/>
      <c r="G774" s="28"/>
      <c r="H774" s="28"/>
      <c r="I774" s="13"/>
      <c r="J774" s="28"/>
      <c r="K774" s="13"/>
      <c r="L774" s="28"/>
      <c r="M774" s="13"/>
      <c r="N774" s="28"/>
      <c r="O774" s="13"/>
      <c r="P774" s="28"/>
      <c r="Q774" s="20"/>
      <c r="R774" s="28"/>
      <c r="S774" s="20"/>
      <c r="T774" s="28"/>
      <c r="U774" s="13"/>
      <c r="V774" s="28"/>
      <c r="W774" s="13"/>
      <c r="X774" s="28"/>
      <c r="Y774" s="13"/>
      <c r="Z774" s="28"/>
      <c r="AA774" s="13"/>
      <c r="AB774" s="28"/>
      <c r="AC774" s="13"/>
      <c r="AD774" s="28"/>
      <c r="AE774" s="13"/>
      <c r="AF774" s="28"/>
      <c r="AG774" s="13"/>
      <c r="AH774" s="28"/>
      <c r="AI774" s="13"/>
      <c r="AJ774" s="28"/>
      <c r="AK774" s="13"/>
      <c r="AL774" s="28"/>
      <c r="AM774" s="13"/>
      <c r="AN774" s="28"/>
      <c r="AO774" s="13"/>
      <c r="AP774" s="28"/>
      <c r="AQ774" s="13"/>
      <c r="AR774" s="28"/>
      <c r="AS774" s="19">
        <f>SUM(H774,J774,L774,N774,P774,R774,T774,V774,X774,Z774,AB774,AD774,AF774,AH774,AJ774,AL774,AN774)</f>
        <v>0</v>
      </c>
      <c r="AT774" s="29" t="str">
        <f>IF(C774="","",DATE(YEAR(C774),MONTH(C774),1))</f>
        <v/>
      </c>
      <c r="AU774" s="28" t="str">
        <f>IF(AT774="","",TEXT(AT774,"mmmm yyyy"))</f>
        <v/>
      </c>
      <c r="AV774" s="29" t="str">
        <f>IF(C774="","",C774-WEEKDAY(C774,2)+1)</f>
        <v/>
      </c>
      <c r="AW774" s="29" t="str">
        <f>IF(AV774="","",AV774+6)</f>
        <v/>
      </c>
      <c r="AX774" s="28" t="str">
        <f>IF(AV774="","",TEXT(AV774,"dd/mm/yyyy")&amp;" - "&amp;TEXT(AW774,"dd/mm/yyyy"))</f>
        <v/>
      </c>
      <c r="AY774" s="28" t="str">
        <f>IF(B774="","",COUNTIFS($B$5:B774,B774,$AT$5:AT774,AT774))</f>
        <v/>
      </c>
      <c r="AZ774" s="28" t="str">
        <f>IF(B774="","",COUNTIFS($B$5:B774,B774,$AV$5:AV774,AV774))</f>
        <v/>
      </c>
      <c r="BA774" s="28" t="str">
        <f>IF(B774="","",TEXT(AY774,"00")&amp;"|"&amp;B774&amp;"|"&amp;TEXT(AT774,"yyyymmdd"))</f>
        <v/>
      </c>
      <c r="BB774" s="28" t="str">
        <f>IF(B774="","",TEXT(AZ774,"00")&amp;"|"&amp;B774&amp;"|"&amp;TEXT(AV774,"yyyymmdd"))</f>
        <v/>
      </c>
      <c r="BC774" s="28">
        <f>IF(OR(AQ774="YES",AQ774="Yes",AQ774="Y",AQ774=1),1,0)</f>
        <v>0</v>
      </c>
    </row>
    <row r="775" spans="1:55" ht="15" customHeight="1">
      <c r="A775" s="27"/>
      <c r="B775" s="28"/>
      <c r="C775" s="29"/>
      <c r="D775" s="30"/>
      <c r="E775" s="30"/>
      <c r="F775" s="28"/>
      <c r="G775" s="28"/>
      <c r="H775" s="28"/>
      <c r="I775" s="13"/>
      <c r="J775" s="28"/>
      <c r="K775" s="13"/>
      <c r="L775" s="28"/>
      <c r="M775" s="13"/>
      <c r="N775" s="28"/>
      <c r="O775" s="13"/>
      <c r="P775" s="28"/>
      <c r="Q775" s="20"/>
      <c r="R775" s="28"/>
      <c r="S775" s="20"/>
      <c r="T775" s="28"/>
      <c r="U775" s="13"/>
      <c r="V775" s="28"/>
      <c r="W775" s="13"/>
      <c r="X775" s="28"/>
      <c r="Y775" s="13"/>
      <c r="Z775" s="28"/>
      <c r="AA775" s="13"/>
      <c r="AB775" s="28"/>
      <c r="AC775" s="13"/>
      <c r="AD775" s="28"/>
      <c r="AE775" s="13"/>
      <c r="AF775" s="28"/>
      <c r="AG775" s="13"/>
      <c r="AH775" s="28"/>
      <c r="AI775" s="13"/>
      <c r="AJ775" s="28"/>
      <c r="AK775" s="13"/>
      <c r="AL775" s="28"/>
      <c r="AM775" s="13"/>
      <c r="AN775" s="28"/>
      <c r="AO775" s="13"/>
      <c r="AP775" s="28"/>
      <c r="AQ775" s="13"/>
      <c r="AR775" s="28"/>
      <c r="AS775" s="19">
        <f>SUM(H775,J775,L775,N775,P775,R775,T775,V775,X775,Z775,AB775,AD775,AF775,AH775,AJ775,AL775,AN775)</f>
        <v>0</v>
      </c>
      <c r="AT775" s="29" t="str">
        <f>IF(C775="","",DATE(YEAR(C775),MONTH(C775),1))</f>
        <v/>
      </c>
      <c r="AU775" s="28" t="str">
        <f>IF(AT775="","",TEXT(AT775,"mmmm yyyy"))</f>
        <v/>
      </c>
      <c r="AV775" s="29" t="str">
        <f>IF(C775="","",C775-WEEKDAY(C775,2)+1)</f>
        <v/>
      </c>
      <c r="AW775" s="29" t="str">
        <f>IF(AV775="","",AV775+6)</f>
        <v/>
      </c>
      <c r="AX775" s="28" t="str">
        <f>IF(AV775="","",TEXT(AV775,"dd/mm/yyyy")&amp;" - "&amp;TEXT(AW775,"dd/mm/yyyy"))</f>
        <v/>
      </c>
      <c r="AY775" s="28" t="str">
        <f>IF(B775="","",COUNTIFS($B$5:B775,B775,$AT$5:AT775,AT775))</f>
        <v/>
      </c>
      <c r="AZ775" s="28" t="str">
        <f>IF(B775="","",COUNTIFS($B$5:B775,B775,$AV$5:AV775,AV775))</f>
        <v/>
      </c>
      <c r="BA775" s="28" t="str">
        <f>IF(B775="","",TEXT(AY775,"00")&amp;"|"&amp;B775&amp;"|"&amp;TEXT(AT775,"yyyymmdd"))</f>
        <v/>
      </c>
      <c r="BB775" s="28" t="str">
        <f>IF(B775="","",TEXT(AZ775,"00")&amp;"|"&amp;B775&amp;"|"&amp;TEXT(AV775,"yyyymmdd"))</f>
        <v/>
      </c>
      <c r="BC775" s="28">
        <f>IF(OR(AQ775="YES",AQ775="Yes",AQ775="Y",AQ775=1),1,0)</f>
        <v>0</v>
      </c>
    </row>
    <row r="776" spans="1:55" ht="15" customHeight="1">
      <c r="A776" s="27"/>
      <c r="B776" s="28"/>
      <c r="C776" s="29"/>
      <c r="D776" s="30"/>
      <c r="E776" s="30"/>
      <c r="F776" s="28"/>
      <c r="G776" s="28"/>
      <c r="H776" s="28"/>
      <c r="I776" s="13"/>
      <c r="J776" s="28"/>
      <c r="K776" s="13"/>
      <c r="L776" s="28"/>
      <c r="M776" s="13"/>
      <c r="N776" s="28"/>
      <c r="O776" s="13"/>
      <c r="P776" s="28"/>
      <c r="Q776" s="20"/>
      <c r="R776" s="28"/>
      <c r="S776" s="20"/>
      <c r="T776" s="28"/>
      <c r="U776" s="13"/>
      <c r="V776" s="28"/>
      <c r="W776" s="13"/>
      <c r="X776" s="28"/>
      <c r="Y776" s="13"/>
      <c r="Z776" s="28"/>
      <c r="AA776" s="13"/>
      <c r="AB776" s="28"/>
      <c r="AC776" s="13"/>
      <c r="AD776" s="28"/>
      <c r="AE776" s="13"/>
      <c r="AF776" s="28"/>
      <c r="AG776" s="13"/>
      <c r="AH776" s="28"/>
      <c r="AI776" s="13"/>
      <c r="AJ776" s="28"/>
      <c r="AK776" s="13"/>
      <c r="AL776" s="28"/>
      <c r="AM776" s="13"/>
      <c r="AN776" s="28"/>
      <c r="AO776" s="13"/>
      <c r="AP776" s="28"/>
      <c r="AQ776" s="13"/>
      <c r="AR776" s="28"/>
      <c r="AS776" s="19">
        <f>SUM(H776,J776,L776,N776,P776,R776,T776,V776,X776,Z776,AB776,AD776,AF776,AH776,AJ776,AL776,AN776)</f>
        <v>0</v>
      </c>
      <c r="AT776" s="29" t="str">
        <f>IF(C776="","",DATE(YEAR(C776),MONTH(C776),1))</f>
        <v/>
      </c>
      <c r="AU776" s="28" t="str">
        <f>IF(AT776="","",TEXT(AT776,"mmmm yyyy"))</f>
        <v/>
      </c>
      <c r="AV776" s="29" t="str">
        <f>IF(C776="","",C776-WEEKDAY(C776,2)+1)</f>
        <v/>
      </c>
      <c r="AW776" s="29" t="str">
        <f>IF(AV776="","",AV776+6)</f>
        <v/>
      </c>
      <c r="AX776" s="28" t="str">
        <f>IF(AV776="","",TEXT(AV776,"dd/mm/yyyy")&amp;" - "&amp;TEXT(AW776,"dd/mm/yyyy"))</f>
        <v/>
      </c>
      <c r="AY776" s="28" t="str">
        <f>IF(B776="","",COUNTIFS($B$5:B776,B776,$AT$5:AT776,AT776))</f>
        <v/>
      </c>
      <c r="AZ776" s="28" t="str">
        <f>IF(B776="","",COUNTIFS($B$5:B776,B776,$AV$5:AV776,AV776))</f>
        <v/>
      </c>
      <c r="BA776" s="28" t="str">
        <f>IF(B776="","",TEXT(AY776,"00")&amp;"|"&amp;B776&amp;"|"&amp;TEXT(AT776,"yyyymmdd"))</f>
        <v/>
      </c>
      <c r="BB776" s="28" t="str">
        <f>IF(B776="","",TEXT(AZ776,"00")&amp;"|"&amp;B776&amp;"|"&amp;TEXT(AV776,"yyyymmdd"))</f>
        <v/>
      </c>
      <c r="BC776" s="28">
        <f>IF(OR(AQ776="YES",AQ776="Yes",AQ776="Y",AQ776=1),1,0)</f>
        <v>0</v>
      </c>
    </row>
    <row r="777" spans="1:55" ht="15" customHeight="1">
      <c r="A777" s="27"/>
      <c r="B777" s="28"/>
      <c r="C777" s="29"/>
      <c r="D777" s="30"/>
      <c r="E777" s="30"/>
      <c r="F777" s="28"/>
      <c r="G777" s="28"/>
      <c r="H777" s="28"/>
      <c r="I777" s="13"/>
      <c r="J777" s="28"/>
      <c r="K777" s="13"/>
      <c r="L777" s="28"/>
      <c r="M777" s="13"/>
      <c r="N777" s="28"/>
      <c r="O777" s="13"/>
      <c r="P777" s="28"/>
      <c r="Q777" s="20"/>
      <c r="R777" s="28"/>
      <c r="S777" s="20"/>
      <c r="T777" s="28"/>
      <c r="U777" s="13"/>
      <c r="V777" s="28"/>
      <c r="W777" s="13"/>
      <c r="X777" s="28"/>
      <c r="Y777" s="13"/>
      <c r="Z777" s="28"/>
      <c r="AA777" s="13"/>
      <c r="AB777" s="28"/>
      <c r="AC777" s="13"/>
      <c r="AD777" s="28"/>
      <c r="AE777" s="13"/>
      <c r="AF777" s="28"/>
      <c r="AG777" s="13"/>
      <c r="AH777" s="28"/>
      <c r="AI777" s="13"/>
      <c r="AJ777" s="28"/>
      <c r="AK777" s="13"/>
      <c r="AL777" s="28"/>
      <c r="AM777" s="13"/>
      <c r="AN777" s="28"/>
      <c r="AO777" s="13"/>
      <c r="AP777" s="28"/>
      <c r="AQ777" s="13"/>
      <c r="AR777" s="28"/>
      <c r="AS777" s="19">
        <f>SUM(H777,J777,L777,N777,P777,R777,T777,V777,X777,Z777,AB777,AD777,AF777,AH777,AJ777,AL777,AN777)</f>
        <v>0</v>
      </c>
      <c r="AT777" s="29" t="str">
        <f>IF(C777="","",DATE(YEAR(C777),MONTH(C777),1))</f>
        <v/>
      </c>
      <c r="AU777" s="28" t="str">
        <f>IF(AT777="","",TEXT(AT777,"mmmm yyyy"))</f>
        <v/>
      </c>
      <c r="AV777" s="29" t="str">
        <f>IF(C777="","",C777-WEEKDAY(C777,2)+1)</f>
        <v/>
      </c>
      <c r="AW777" s="29" t="str">
        <f>IF(AV777="","",AV777+6)</f>
        <v/>
      </c>
      <c r="AX777" s="28" t="str">
        <f>IF(AV777="","",TEXT(AV777,"dd/mm/yyyy")&amp;" - "&amp;TEXT(AW777,"dd/mm/yyyy"))</f>
        <v/>
      </c>
      <c r="AY777" s="28" t="str">
        <f>IF(B777="","",COUNTIFS($B$5:B777,B777,$AT$5:AT777,AT777))</f>
        <v/>
      </c>
      <c r="AZ777" s="28" t="str">
        <f>IF(B777="","",COUNTIFS($B$5:B777,B777,$AV$5:AV777,AV777))</f>
        <v/>
      </c>
      <c r="BA777" s="28" t="str">
        <f>IF(B777="","",TEXT(AY777,"00")&amp;"|"&amp;B777&amp;"|"&amp;TEXT(AT777,"yyyymmdd"))</f>
        <v/>
      </c>
      <c r="BB777" s="28" t="str">
        <f>IF(B777="","",TEXT(AZ777,"00")&amp;"|"&amp;B777&amp;"|"&amp;TEXT(AV777,"yyyymmdd"))</f>
        <v/>
      </c>
      <c r="BC777" s="28">
        <f>IF(OR(AQ777="YES",AQ777="Yes",AQ777="Y",AQ777=1),1,0)</f>
        <v>0</v>
      </c>
    </row>
    <row r="778" spans="1:55" ht="15" customHeight="1">
      <c r="A778" s="27"/>
      <c r="B778" s="28"/>
      <c r="C778" s="29"/>
      <c r="D778" s="30"/>
      <c r="E778" s="30"/>
      <c r="F778" s="28"/>
      <c r="G778" s="28"/>
      <c r="H778" s="28"/>
      <c r="I778" s="13"/>
      <c r="J778" s="28"/>
      <c r="K778" s="13"/>
      <c r="L778" s="28"/>
      <c r="M778" s="13"/>
      <c r="N778" s="28"/>
      <c r="O778" s="13"/>
      <c r="P778" s="28"/>
      <c r="Q778" s="20"/>
      <c r="R778" s="28"/>
      <c r="S778" s="20"/>
      <c r="T778" s="28"/>
      <c r="U778" s="13"/>
      <c r="V778" s="28"/>
      <c r="W778" s="13"/>
      <c r="X778" s="28"/>
      <c r="Y778" s="13"/>
      <c r="Z778" s="28"/>
      <c r="AA778" s="13"/>
      <c r="AB778" s="28"/>
      <c r="AC778" s="13"/>
      <c r="AD778" s="28"/>
      <c r="AE778" s="13"/>
      <c r="AF778" s="28"/>
      <c r="AG778" s="13"/>
      <c r="AH778" s="28"/>
      <c r="AI778" s="13"/>
      <c r="AJ778" s="28"/>
      <c r="AK778" s="13"/>
      <c r="AL778" s="28"/>
      <c r="AM778" s="13"/>
      <c r="AN778" s="28"/>
      <c r="AO778" s="13"/>
      <c r="AP778" s="28"/>
      <c r="AQ778" s="13"/>
      <c r="AR778" s="28"/>
      <c r="AS778" s="19">
        <f>SUM(H778,J778,L778,N778,P778,R778,T778,V778,X778,Z778,AB778,AD778,AF778,AH778,AJ778,AL778,AN778)</f>
        <v>0</v>
      </c>
      <c r="AT778" s="29" t="str">
        <f>IF(C778="","",DATE(YEAR(C778),MONTH(C778),1))</f>
        <v/>
      </c>
      <c r="AU778" s="28" t="str">
        <f>IF(AT778="","",TEXT(AT778,"mmmm yyyy"))</f>
        <v/>
      </c>
      <c r="AV778" s="29" t="str">
        <f>IF(C778="","",C778-WEEKDAY(C778,2)+1)</f>
        <v/>
      </c>
      <c r="AW778" s="29" t="str">
        <f>IF(AV778="","",AV778+6)</f>
        <v/>
      </c>
      <c r="AX778" s="28" t="str">
        <f>IF(AV778="","",TEXT(AV778,"dd/mm/yyyy")&amp;" - "&amp;TEXT(AW778,"dd/mm/yyyy"))</f>
        <v/>
      </c>
      <c r="AY778" s="28" t="str">
        <f>IF(B778="","",COUNTIFS($B$5:B778,B778,$AT$5:AT778,AT778))</f>
        <v/>
      </c>
      <c r="AZ778" s="28" t="str">
        <f>IF(B778="","",COUNTIFS($B$5:B778,B778,$AV$5:AV778,AV778))</f>
        <v/>
      </c>
      <c r="BA778" s="28" t="str">
        <f>IF(B778="","",TEXT(AY778,"00")&amp;"|"&amp;B778&amp;"|"&amp;TEXT(AT778,"yyyymmdd"))</f>
        <v/>
      </c>
      <c r="BB778" s="28" t="str">
        <f>IF(B778="","",TEXT(AZ778,"00")&amp;"|"&amp;B778&amp;"|"&amp;TEXT(AV778,"yyyymmdd"))</f>
        <v/>
      </c>
      <c r="BC778" s="28">
        <f>IF(OR(AQ778="YES",AQ778="Yes",AQ778="Y",AQ778=1),1,0)</f>
        <v>0</v>
      </c>
    </row>
    <row r="779" spans="1:55" ht="15" customHeight="1">
      <c r="A779" s="27"/>
      <c r="B779" s="28"/>
      <c r="C779" s="29"/>
      <c r="D779" s="30"/>
      <c r="E779" s="30"/>
      <c r="F779" s="28"/>
      <c r="G779" s="28"/>
      <c r="H779" s="28"/>
      <c r="I779" s="13"/>
      <c r="J779" s="28"/>
      <c r="K779" s="13"/>
      <c r="L779" s="28"/>
      <c r="M779" s="13"/>
      <c r="N779" s="28"/>
      <c r="O779" s="13"/>
      <c r="P779" s="28"/>
      <c r="Q779" s="20"/>
      <c r="R779" s="28"/>
      <c r="S779" s="20"/>
      <c r="T779" s="28"/>
      <c r="U779" s="13"/>
      <c r="V779" s="28"/>
      <c r="W779" s="13"/>
      <c r="X779" s="28"/>
      <c r="Y779" s="13"/>
      <c r="Z779" s="28"/>
      <c r="AA779" s="13"/>
      <c r="AB779" s="28"/>
      <c r="AC779" s="13"/>
      <c r="AD779" s="28"/>
      <c r="AE779" s="13"/>
      <c r="AF779" s="28"/>
      <c r="AG779" s="13"/>
      <c r="AH779" s="28"/>
      <c r="AI779" s="13"/>
      <c r="AJ779" s="28"/>
      <c r="AK779" s="13"/>
      <c r="AL779" s="28"/>
      <c r="AM779" s="13"/>
      <c r="AN779" s="28"/>
      <c r="AO779" s="13"/>
      <c r="AP779" s="28"/>
      <c r="AQ779" s="13"/>
      <c r="AR779" s="28"/>
      <c r="AS779" s="19">
        <f>SUM(H779,J779,L779,N779,P779,R779,T779,V779,X779,Z779,AB779,AD779,AF779,AH779,AJ779,AL779,AN779)</f>
        <v>0</v>
      </c>
      <c r="AT779" s="29" t="str">
        <f>IF(C779="","",DATE(YEAR(C779),MONTH(C779),1))</f>
        <v/>
      </c>
      <c r="AU779" s="28" t="str">
        <f>IF(AT779="","",TEXT(AT779,"mmmm yyyy"))</f>
        <v/>
      </c>
      <c r="AV779" s="29" t="str">
        <f>IF(C779="","",C779-WEEKDAY(C779,2)+1)</f>
        <v/>
      </c>
      <c r="AW779" s="29" t="str">
        <f>IF(AV779="","",AV779+6)</f>
        <v/>
      </c>
      <c r="AX779" s="28" t="str">
        <f>IF(AV779="","",TEXT(AV779,"dd/mm/yyyy")&amp;" - "&amp;TEXT(AW779,"dd/mm/yyyy"))</f>
        <v/>
      </c>
      <c r="AY779" s="28" t="str">
        <f>IF(B779="","",COUNTIFS($B$5:B779,B779,$AT$5:AT779,AT779))</f>
        <v/>
      </c>
      <c r="AZ779" s="28" t="str">
        <f>IF(B779="","",COUNTIFS($B$5:B779,B779,$AV$5:AV779,AV779))</f>
        <v/>
      </c>
      <c r="BA779" s="28" t="str">
        <f>IF(B779="","",TEXT(AY779,"00")&amp;"|"&amp;B779&amp;"|"&amp;TEXT(AT779,"yyyymmdd"))</f>
        <v/>
      </c>
      <c r="BB779" s="28" t="str">
        <f>IF(B779="","",TEXT(AZ779,"00")&amp;"|"&amp;B779&amp;"|"&amp;TEXT(AV779,"yyyymmdd"))</f>
        <v/>
      </c>
      <c r="BC779" s="28">
        <f>IF(OR(AQ779="YES",AQ779="Yes",AQ779="Y",AQ779=1),1,0)</f>
        <v>0</v>
      </c>
    </row>
    <row r="780" spans="1:55" ht="15" customHeight="1">
      <c r="A780" s="27"/>
      <c r="B780" s="28"/>
      <c r="C780" s="29"/>
      <c r="D780" s="30"/>
      <c r="E780" s="30"/>
      <c r="F780" s="28"/>
      <c r="G780" s="28"/>
      <c r="H780" s="28"/>
      <c r="I780" s="13"/>
      <c r="J780" s="28"/>
      <c r="K780" s="13"/>
      <c r="L780" s="28"/>
      <c r="M780" s="13"/>
      <c r="N780" s="28"/>
      <c r="O780" s="13"/>
      <c r="P780" s="28"/>
      <c r="Q780" s="20"/>
      <c r="R780" s="28"/>
      <c r="S780" s="20"/>
      <c r="T780" s="28"/>
      <c r="U780" s="13"/>
      <c r="V780" s="28"/>
      <c r="W780" s="13"/>
      <c r="X780" s="28"/>
      <c r="Y780" s="13"/>
      <c r="Z780" s="28"/>
      <c r="AA780" s="13"/>
      <c r="AB780" s="28"/>
      <c r="AC780" s="13"/>
      <c r="AD780" s="28"/>
      <c r="AE780" s="13"/>
      <c r="AF780" s="28"/>
      <c r="AG780" s="13"/>
      <c r="AH780" s="28"/>
      <c r="AI780" s="13"/>
      <c r="AJ780" s="28"/>
      <c r="AK780" s="13"/>
      <c r="AL780" s="28"/>
      <c r="AM780" s="13"/>
      <c r="AN780" s="28"/>
      <c r="AO780" s="13"/>
      <c r="AP780" s="28"/>
      <c r="AQ780" s="13"/>
      <c r="AR780" s="28"/>
      <c r="AS780" s="19">
        <f>SUM(H780,J780,L780,N780,P780,R780,T780,V780,X780,Z780,AB780,AD780,AF780,AH780,AJ780,AL780,AN780)</f>
        <v>0</v>
      </c>
      <c r="AT780" s="29" t="str">
        <f>IF(C780="","",DATE(YEAR(C780),MONTH(C780),1))</f>
        <v/>
      </c>
      <c r="AU780" s="28" t="str">
        <f>IF(AT780="","",TEXT(AT780,"mmmm yyyy"))</f>
        <v/>
      </c>
      <c r="AV780" s="29" t="str">
        <f>IF(C780="","",C780-WEEKDAY(C780,2)+1)</f>
        <v/>
      </c>
      <c r="AW780" s="29" t="str">
        <f>IF(AV780="","",AV780+6)</f>
        <v/>
      </c>
      <c r="AX780" s="28" t="str">
        <f>IF(AV780="","",TEXT(AV780,"dd/mm/yyyy")&amp;" - "&amp;TEXT(AW780,"dd/mm/yyyy"))</f>
        <v/>
      </c>
      <c r="AY780" s="28" t="str">
        <f>IF(B780="","",COUNTIFS($B$5:B780,B780,$AT$5:AT780,AT780))</f>
        <v/>
      </c>
      <c r="AZ780" s="28" t="str">
        <f>IF(B780="","",COUNTIFS($B$5:B780,B780,$AV$5:AV780,AV780))</f>
        <v/>
      </c>
      <c r="BA780" s="28" t="str">
        <f>IF(B780="","",TEXT(AY780,"00")&amp;"|"&amp;B780&amp;"|"&amp;TEXT(AT780,"yyyymmdd"))</f>
        <v/>
      </c>
      <c r="BB780" s="28" t="str">
        <f>IF(B780="","",TEXT(AZ780,"00")&amp;"|"&amp;B780&amp;"|"&amp;TEXT(AV780,"yyyymmdd"))</f>
        <v/>
      </c>
      <c r="BC780" s="28">
        <f>IF(OR(AQ780="YES",AQ780="Yes",AQ780="Y",AQ780=1),1,0)</f>
        <v>0</v>
      </c>
    </row>
    <row r="781" spans="1:55" ht="15" customHeight="1">
      <c r="A781" s="27"/>
      <c r="B781" s="28"/>
      <c r="C781" s="29"/>
      <c r="D781" s="30"/>
      <c r="E781" s="30"/>
      <c r="F781" s="28"/>
      <c r="G781" s="28"/>
      <c r="H781" s="28"/>
      <c r="I781" s="13"/>
      <c r="J781" s="28"/>
      <c r="K781" s="13"/>
      <c r="L781" s="28"/>
      <c r="M781" s="13"/>
      <c r="N781" s="28"/>
      <c r="O781" s="13"/>
      <c r="P781" s="28"/>
      <c r="Q781" s="20"/>
      <c r="R781" s="28"/>
      <c r="S781" s="20"/>
      <c r="T781" s="28"/>
      <c r="U781" s="13"/>
      <c r="V781" s="28"/>
      <c r="W781" s="13"/>
      <c r="X781" s="28"/>
      <c r="Y781" s="13"/>
      <c r="Z781" s="28"/>
      <c r="AA781" s="13"/>
      <c r="AB781" s="28"/>
      <c r="AC781" s="13"/>
      <c r="AD781" s="28"/>
      <c r="AE781" s="13"/>
      <c r="AF781" s="28"/>
      <c r="AG781" s="13"/>
      <c r="AH781" s="28"/>
      <c r="AI781" s="13"/>
      <c r="AJ781" s="28"/>
      <c r="AK781" s="13"/>
      <c r="AL781" s="28"/>
      <c r="AM781" s="13"/>
      <c r="AN781" s="28"/>
      <c r="AO781" s="13"/>
      <c r="AP781" s="28"/>
      <c r="AQ781" s="13"/>
      <c r="AR781" s="28"/>
      <c r="AS781" s="19">
        <f>SUM(H781,J781,L781,N781,P781,R781,T781,V781,X781,Z781,AB781,AD781,AF781,AH781,AJ781,AL781,AN781)</f>
        <v>0</v>
      </c>
      <c r="AT781" s="29" t="str">
        <f>IF(C781="","",DATE(YEAR(C781),MONTH(C781),1))</f>
        <v/>
      </c>
      <c r="AU781" s="28" t="str">
        <f>IF(AT781="","",TEXT(AT781,"mmmm yyyy"))</f>
        <v/>
      </c>
      <c r="AV781" s="29" t="str">
        <f>IF(C781="","",C781-WEEKDAY(C781,2)+1)</f>
        <v/>
      </c>
      <c r="AW781" s="29" t="str">
        <f>IF(AV781="","",AV781+6)</f>
        <v/>
      </c>
      <c r="AX781" s="28" t="str">
        <f>IF(AV781="","",TEXT(AV781,"dd/mm/yyyy")&amp;" - "&amp;TEXT(AW781,"dd/mm/yyyy"))</f>
        <v/>
      </c>
      <c r="AY781" s="28" t="str">
        <f>IF(B781="","",COUNTIFS($B$5:B781,B781,$AT$5:AT781,AT781))</f>
        <v/>
      </c>
      <c r="AZ781" s="28" t="str">
        <f>IF(B781="","",COUNTIFS($B$5:B781,B781,$AV$5:AV781,AV781))</f>
        <v/>
      </c>
      <c r="BA781" s="28" t="str">
        <f>IF(B781="","",TEXT(AY781,"00")&amp;"|"&amp;B781&amp;"|"&amp;TEXT(AT781,"yyyymmdd"))</f>
        <v/>
      </c>
      <c r="BB781" s="28" t="str">
        <f>IF(B781="","",TEXT(AZ781,"00")&amp;"|"&amp;B781&amp;"|"&amp;TEXT(AV781,"yyyymmdd"))</f>
        <v/>
      </c>
      <c r="BC781" s="28">
        <f>IF(OR(AQ781="YES",AQ781="Yes",AQ781="Y",AQ781=1),1,0)</f>
        <v>0</v>
      </c>
    </row>
    <row r="782" spans="1:55" ht="15" customHeight="1">
      <c r="A782" s="27"/>
      <c r="B782" s="28"/>
      <c r="C782" s="29"/>
      <c r="D782" s="30"/>
      <c r="E782" s="30"/>
      <c r="F782" s="28"/>
      <c r="G782" s="28"/>
      <c r="H782" s="28"/>
      <c r="I782" s="13"/>
      <c r="J782" s="28"/>
      <c r="K782" s="13"/>
      <c r="L782" s="28"/>
      <c r="M782" s="13"/>
      <c r="N782" s="28"/>
      <c r="O782" s="13"/>
      <c r="P782" s="28"/>
      <c r="Q782" s="20"/>
      <c r="R782" s="28"/>
      <c r="S782" s="20"/>
      <c r="T782" s="28"/>
      <c r="U782" s="13"/>
      <c r="V782" s="28"/>
      <c r="W782" s="13"/>
      <c r="X782" s="28"/>
      <c r="Y782" s="13"/>
      <c r="Z782" s="28"/>
      <c r="AA782" s="13"/>
      <c r="AB782" s="28"/>
      <c r="AC782" s="13"/>
      <c r="AD782" s="28"/>
      <c r="AE782" s="13"/>
      <c r="AF782" s="28"/>
      <c r="AG782" s="13"/>
      <c r="AH782" s="28"/>
      <c r="AI782" s="13"/>
      <c r="AJ782" s="28"/>
      <c r="AK782" s="13"/>
      <c r="AL782" s="28"/>
      <c r="AM782" s="13"/>
      <c r="AN782" s="28"/>
      <c r="AO782" s="13"/>
      <c r="AP782" s="28"/>
      <c r="AQ782" s="13"/>
      <c r="AR782" s="28"/>
      <c r="AS782" s="19">
        <f>SUM(H782,J782,L782,N782,P782,R782,T782,V782,X782,Z782,AB782,AD782,AF782,AH782,AJ782,AL782,AN782)</f>
        <v>0</v>
      </c>
      <c r="AT782" s="29" t="str">
        <f>IF(C782="","",DATE(YEAR(C782),MONTH(C782),1))</f>
        <v/>
      </c>
      <c r="AU782" s="28" t="str">
        <f>IF(AT782="","",TEXT(AT782,"mmmm yyyy"))</f>
        <v/>
      </c>
      <c r="AV782" s="29" t="str">
        <f>IF(C782="","",C782-WEEKDAY(C782,2)+1)</f>
        <v/>
      </c>
      <c r="AW782" s="29" t="str">
        <f>IF(AV782="","",AV782+6)</f>
        <v/>
      </c>
      <c r="AX782" s="28" t="str">
        <f>IF(AV782="","",TEXT(AV782,"dd/mm/yyyy")&amp;" - "&amp;TEXT(AW782,"dd/mm/yyyy"))</f>
        <v/>
      </c>
      <c r="AY782" s="28" t="str">
        <f>IF(B782="","",COUNTIFS($B$5:B782,B782,$AT$5:AT782,AT782))</f>
        <v/>
      </c>
      <c r="AZ782" s="28" t="str">
        <f>IF(B782="","",COUNTIFS($B$5:B782,B782,$AV$5:AV782,AV782))</f>
        <v/>
      </c>
      <c r="BA782" s="28" t="str">
        <f>IF(B782="","",TEXT(AY782,"00")&amp;"|"&amp;B782&amp;"|"&amp;TEXT(AT782,"yyyymmdd"))</f>
        <v/>
      </c>
      <c r="BB782" s="28" t="str">
        <f>IF(B782="","",TEXT(AZ782,"00")&amp;"|"&amp;B782&amp;"|"&amp;TEXT(AV782,"yyyymmdd"))</f>
        <v/>
      </c>
      <c r="BC782" s="28">
        <f>IF(OR(AQ782="YES",AQ782="Yes",AQ782="Y",AQ782=1),1,0)</f>
        <v>0</v>
      </c>
    </row>
    <row r="783" spans="1:55" ht="15" customHeight="1">
      <c r="A783" s="27"/>
      <c r="B783" s="28"/>
      <c r="C783" s="29"/>
      <c r="D783" s="30"/>
      <c r="E783" s="30"/>
      <c r="F783" s="28"/>
      <c r="G783" s="28"/>
      <c r="H783" s="28"/>
      <c r="I783" s="13"/>
      <c r="J783" s="28"/>
      <c r="K783" s="13"/>
      <c r="L783" s="28"/>
      <c r="M783" s="13"/>
      <c r="N783" s="28"/>
      <c r="O783" s="13"/>
      <c r="P783" s="28"/>
      <c r="Q783" s="20"/>
      <c r="R783" s="28"/>
      <c r="S783" s="20"/>
      <c r="T783" s="28"/>
      <c r="U783" s="13"/>
      <c r="V783" s="28"/>
      <c r="W783" s="13"/>
      <c r="X783" s="28"/>
      <c r="Y783" s="13"/>
      <c r="Z783" s="28"/>
      <c r="AA783" s="13"/>
      <c r="AB783" s="28"/>
      <c r="AC783" s="13"/>
      <c r="AD783" s="28"/>
      <c r="AE783" s="13"/>
      <c r="AF783" s="28"/>
      <c r="AG783" s="13"/>
      <c r="AH783" s="28"/>
      <c r="AI783" s="13"/>
      <c r="AJ783" s="28"/>
      <c r="AK783" s="13"/>
      <c r="AL783" s="28"/>
      <c r="AM783" s="13"/>
      <c r="AN783" s="28"/>
      <c r="AO783" s="13"/>
      <c r="AP783" s="28"/>
      <c r="AQ783" s="13"/>
      <c r="AR783" s="28"/>
      <c r="AS783" s="19">
        <f>SUM(H783,J783,L783,N783,P783,R783,T783,V783,X783,Z783,AB783,AD783,AF783,AH783,AJ783,AL783,AN783)</f>
        <v>0</v>
      </c>
      <c r="AT783" s="29" t="str">
        <f>IF(C783="","",DATE(YEAR(C783),MONTH(C783),1))</f>
        <v/>
      </c>
      <c r="AU783" s="28" t="str">
        <f>IF(AT783="","",TEXT(AT783,"mmmm yyyy"))</f>
        <v/>
      </c>
      <c r="AV783" s="29" t="str">
        <f>IF(C783="","",C783-WEEKDAY(C783,2)+1)</f>
        <v/>
      </c>
      <c r="AW783" s="29" t="str">
        <f>IF(AV783="","",AV783+6)</f>
        <v/>
      </c>
      <c r="AX783" s="28" t="str">
        <f>IF(AV783="","",TEXT(AV783,"dd/mm/yyyy")&amp;" - "&amp;TEXT(AW783,"dd/mm/yyyy"))</f>
        <v/>
      </c>
      <c r="AY783" s="28" t="str">
        <f>IF(B783="","",COUNTIFS($B$5:B783,B783,$AT$5:AT783,AT783))</f>
        <v/>
      </c>
      <c r="AZ783" s="28" t="str">
        <f>IF(B783="","",COUNTIFS($B$5:B783,B783,$AV$5:AV783,AV783))</f>
        <v/>
      </c>
      <c r="BA783" s="28" t="str">
        <f>IF(B783="","",TEXT(AY783,"00")&amp;"|"&amp;B783&amp;"|"&amp;TEXT(AT783,"yyyymmdd"))</f>
        <v/>
      </c>
      <c r="BB783" s="28" t="str">
        <f>IF(B783="","",TEXT(AZ783,"00")&amp;"|"&amp;B783&amp;"|"&amp;TEXT(AV783,"yyyymmdd"))</f>
        <v/>
      </c>
      <c r="BC783" s="28">
        <f>IF(OR(AQ783="YES",AQ783="Yes",AQ783="Y",AQ783=1),1,0)</f>
        <v>0</v>
      </c>
    </row>
    <row r="784" spans="1:55" ht="15" customHeight="1">
      <c r="A784" s="27"/>
      <c r="B784" s="28"/>
      <c r="C784" s="29"/>
      <c r="D784" s="30"/>
      <c r="E784" s="30"/>
      <c r="F784" s="28"/>
      <c r="G784" s="28"/>
      <c r="H784" s="28"/>
      <c r="I784" s="13"/>
      <c r="J784" s="28"/>
      <c r="K784" s="13"/>
      <c r="L784" s="28"/>
      <c r="M784" s="13"/>
      <c r="N784" s="28"/>
      <c r="O784" s="13"/>
      <c r="P784" s="28"/>
      <c r="Q784" s="20"/>
      <c r="R784" s="28"/>
      <c r="S784" s="20"/>
      <c r="T784" s="28"/>
      <c r="U784" s="13"/>
      <c r="V784" s="28"/>
      <c r="W784" s="13"/>
      <c r="X784" s="28"/>
      <c r="Y784" s="13"/>
      <c r="Z784" s="28"/>
      <c r="AA784" s="13"/>
      <c r="AB784" s="28"/>
      <c r="AC784" s="13"/>
      <c r="AD784" s="28"/>
      <c r="AE784" s="13"/>
      <c r="AF784" s="28"/>
      <c r="AG784" s="13"/>
      <c r="AH784" s="28"/>
      <c r="AI784" s="13"/>
      <c r="AJ784" s="28"/>
      <c r="AK784" s="13"/>
      <c r="AL784" s="28"/>
      <c r="AM784" s="13"/>
      <c r="AN784" s="28"/>
      <c r="AO784" s="13"/>
      <c r="AP784" s="28"/>
      <c r="AQ784" s="13"/>
      <c r="AR784" s="28"/>
      <c r="AS784" s="19">
        <f>SUM(H784,J784,L784,N784,P784,R784,T784,V784,X784,Z784,AB784,AD784,AF784,AH784,AJ784,AL784,AN784)</f>
        <v>0</v>
      </c>
      <c r="AT784" s="29" t="str">
        <f>IF(C784="","",DATE(YEAR(C784),MONTH(C784),1))</f>
        <v/>
      </c>
      <c r="AU784" s="28" t="str">
        <f>IF(AT784="","",TEXT(AT784,"mmmm yyyy"))</f>
        <v/>
      </c>
      <c r="AV784" s="29" t="str">
        <f>IF(C784="","",C784-WEEKDAY(C784,2)+1)</f>
        <v/>
      </c>
      <c r="AW784" s="29" t="str">
        <f>IF(AV784="","",AV784+6)</f>
        <v/>
      </c>
      <c r="AX784" s="28" t="str">
        <f>IF(AV784="","",TEXT(AV784,"dd/mm/yyyy")&amp;" - "&amp;TEXT(AW784,"dd/mm/yyyy"))</f>
        <v/>
      </c>
      <c r="AY784" s="28" t="str">
        <f>IF(B784="","",COUNTIFS($B$5:B784,B784,$AT$5:AT784,AT784))</f>
        <v/>
      </c>
      <c r="AZ784" s="28" t="str">
        <f>IF(B784="","",COUNTIFS($B$5:B784,B784,$AV$5:AV784,AV784))</f>
        <v/>
      </c>
      <c r="BA784" s="28" t="str">
        <f>IF(B784="","",TEXT(AY784,"00")&amp;"|"&amp;B784&amp;"|"&amp;TEXT(AT784,"yyyymmdd"))</f>
        <v/>
      </c>
      <c r="BB784" s="28" t="str">
        <f>IF(B784="","",TEXT(AZ784,"00")&amp;"|"&amp;B784&amp;"|"&amp;TEXT(AV784,"yyyymmdd"))</f>
        <v/>
      </c>
      <c r="BC784" s="28">
        <f>IF(OR(AQ784="YES",AQ784="Yes",AQ784="Y",AQ784=1),1,0)</f>
        <v>0</v>
      </c>
    </row>
    <row r="785" spans="1:55" ht="15" customHeight="1">
      <c r="A785" s="27"/>
      <c r="B785" s="28"/>
      <c r="C785" s="29"/>
      <c r="D785" s="30"/>
      <c r="E785" s="30"/>
      <c r="F785" s="28"/>
      <c r="G785" s="28"/>
      <c r="H785" s="28"/>
      <c r="I785" s="13"/>
      <c r="J785" s="28"/>
      <c r="K785" s="13"/>
      <c r="L785" s="28"/>
      <c r="M785" s="13"/>
      <c r="N785" s="28"/>
      <c r="O785" s="13"/>
      <c r="P785" s="28"/>
      <c r="Q785" s="20"/>
      <c r="R785" s="28"/>
      <c r="S785" s="20"/>
      <c r="T785" s="28"/>
      <c r="U785" s="13"/>
      <c r="V785" s="28"/>
      <c r="W785" s="13"/>
      <c r="X785" s="28"/>
      <c r="Y785" s="13"/>
      <c r="Z785" s="28"/>
      <c r="AA785" s="13"/>
      <c r="AB785" s="28"/>
      <c r="AC785" s="13"/>
      <c r="AD785" s="28"/>
      <c r="AE785" s="13"/>
      <c r="AF785" s="28"/>
      <c r="AG785" s="13"/>
      <c r="AH785" s="28"/>
      <c r="AI785" s="13"/>
      <c r="AJ785" s="28"/>
      <c r="AK785" s="13"/>
      <c r="AL785" s="28"/>
      <c r="AM785" s="13"/>
      <c r="AN785" s="28"/>
      <c r="AO785" s="13"/>
      <c r="AP785" s="28"/>
      <c r="AQ785" s="13"/>
      <c r="AR785" s="28"/>
      <c r="AS785" s="19">
        <f>SUM(H785,J785,L785,N785,P785,R785,T785,V785,X785,Z785,AB785,AD785,AF785,AH785,AJ785,AL785,AN785)</f>
        <v>0</v>
      </c>
      <c r="AT785" s="29" t="str">
        <f>IF(C785="","",DATE(YEAR(C785),MONTH(C785),1))</f>
        <v/>
      </c>
      <c r="AU785" s="28" t="str">
        <f>IF(AT785="","",TEXT(AT785,"mmmm yyyy"))</f>
        <v/>
      </c>
      <c r="AV785" s="29" t="str">
        <f>IF(C785="","",C785-WEEKDAY(C785,2)+1)</f>
        <v/>
      </c>
      <c r="AW785" s="29" t="str">
        <f>IF(AV785="","",AV785+6)</f>
        <v/>
      </c>
      <c r="AX785" s="28" t="str">
        <f>IF(AV785="","",TEXT(AV785,"dd/mm/yyyy")&amp;" - "&amp;TEXT(AW785,"dd/mm/yyyy"))</f>
        <v/>
      </c>
      <c r="AY785" s="28" t="str">
        <f>IF(B785="","",COUNTIFS($B$5:B785,B785,$AT$5:AT785,AT785))</f>
        <v/>
      </c>
      <c r="AZ785" s="28" t="str">
        <f>IF(B785="","",COUNTIFS($B$5:B785,B785,$AV$5:AV785,AV785))</f>
        <v/>
      </c>
      <c r="BA785" s="28" t="str">
        <f>IF(B785="","",TEXT(AY785,"00")&amp;"|"&amp;B785&amp;"|"&amp;TEXT(AT785,"yyyymmdd"))</f>
        <v/>
      </c>
      <c r="BB785" s="28" t="str">
        <f>IF(B785="","",TEXT(AZ785,"00")&amp;"|"&amp;B785&amp;"|"&amp;TEXT(AV785,"yyyymmdd"))</f>
        <v/>
      </c>
      <c r="BC785" s="28">
        <f>IF(OR(AQ785="YES",AQ785="Yes",AQ785="Y",AQ785=1),1,0)</f>
        <v>0</v>
      </c>
    </row>
    <row r="786" spans="1:55" ht="15" customHeight="1">
      <c r="A786" s="27"/>
      <c r="B786" s="28"/>
      <c r="C786" s="29"/>
      <c r="D786" s="30"/>
      <c r="E786" s="30"/>
      <c r="F786" s="28"/>
      <c r="G786" s="28"/>
      <c r="H786" s="28"/>
      <c r="I786" s="13"/>
      <c r="J786" s="28"/>
      <c r="K786" s="13"/>
      <c r="L786" s="28"/>
      <c r="M786" s="13"/>
      <c r="N786" s="28"/>
      <c r="O786" s="13"/>
      <c r="P786" s="28"/>
      <c r="Q786" s="20"/>
      <c r="R786" s="28"/>
      <c r="S786" s="20"/>
      <c r="T786" s="28"/>
      <c r="U786" s="13"/>
      <c r="V786" s="28"/>
      <c r="W786" s="13"/>
      <c r="X786" s="28"/>
      <c r="Y786" s="13"/>
      <c r="Z786" s="28"/>
      <c r="AA786" s="13"/>
      <c r="AB786" s="28"/>
      <c r="AC786" s="13"/>
      <c r="AD786" s="28"/>
      <c r="AE786" s="13"/>
      <c r="AF786" s="28"/>
      <c r="AG786" s="13"/>
      <c r="AH786" s="28"/>
      <c r="AI786" s="13"/>
      <c r="AJ786" s="28"/>
      <c r="AK786" s="13"/>
      <c r="AL786" s="28"/>
      <c r="AM786" s="13"/>
      <c r="AN786" s="28"/>
      <c r="AO786" s="13"/>
      <c r="AP786" s="28"/>
      <c r="AQ786" s="13"/>
      <c r="AR786" s="28"/>
      <c r="AS786" s="19">
        <f>SUM(H786,J786,L786,N786,P786,R786,T786,V786,X786,Z786,AB786,AD786,AF786,AH786,AJ786,AL786,AN786)</f>
        <v>0</v>
      </c>
      <c r="AT786" s="29" t="str">
        <f>IF(C786="","",DATE(YEAR(C786),MONTH(C786),1))</f>
        <v/>
      </c>
      <c r="AU786" s="28" t="str">
        <f>IF(AT786="","",TEXT(AT786,"mmmm yyyy"))</f>
        <v/>
      </c>
      <c r="AV786" s="29" t="str">
        <f>IF(C786="","",C786-WEEKDAY(C786,2)+1)</f>
        <v/>
      </c>
      <c r="AW786" s="29" t="str">
        <f>IF(AV786="","",AV786+6)</f>
        <v/>
      </c>
      <c r="AX786" s="28" t="str">
        <f>IF(AV786="","",TEXT(AV786,"dd/mm/yyyy")&amp;" - "&amp;TEXT(AW786,"dd/mm/yyyy"))</f>
        <v/>
      </c>
      <c r="AY786" s="28" t="str">
        <f>IF(B786="","",COUNTIFS($B$5:B786,B786,$AT$5:AT786,AT786))</f>
        <v/>
      </c>
      <c r="AZ786" s="28" t="str">
        <f>IF(B786="","",COUNTIFS($B$5:B786,B786,$AV$5:AV786,AV786))</f>
        <v/>
      </c>
      <c r="BA786" s="28" t="str">
        <f>IF(B786="","",TEXT(AY786,"00")&amp;"|"&amp;B786&amp;"|"&amp;TEXT(AT786,"yyyymmdd"))</f>
        <v/>
      </c>
      <c r="BB786" s="28" t="str">
        <f>IF(B786="","",TEXT(AZ786,"00")&amp;"|"&amp;B786&amp;"|"&amp;TEXT(AV786,"yyyymmdd"))</f>
        <v/>
      </c>
      <c r="BC786" s="28">
        <f>IF(OR(AQ786="YES",AQ786="Yes",AQ786="Y",AQ786=1),1,0)</f>
        <v>0</v>
      </c>
    </row>
    <row r="787" spans="1:55" ht="15" customHeight="1">
      <c r="A787" s="27"/>
      <c r="B787" s="28"/>
      <c r="C787" s="29"/>
      <c r="D787" s="30"/>
      <c r="E787" s="30"/>
      <c r="F787" s="28"/>
      <c r="G787" s="28"/>
      <c r="H787" s="28"/>
      <c r="I787" s="13"/>
      <c r="J787" s="28"/>
      <c r="K787" s="13"/>
      <c r="L787" s="28"/>
      <c r="M787" s="13"/>
      <c r="N787" s="28"/>
      <c r="O787" s="13"/>
      <c r="P787" s="28"/>
      <c r="Q787" s="20"/>
      <c r="R787" s="28"/>
      <c r="S787" s="20"/>
      <c r="T787" s="28"/>
      <c r="U787" s="13"/>
      <c r="V787" s="28"/>
      <c r="W787" s="13"/>
      <c r="X787" s="28"/>
      <c r="Y787" s="13"/>
      <c r="Z787" s="28"/>
      <c r="AA787" s="13"/>
      <c r="AB787" s="28"/>
      <c r="AC787" s="13"/>
      <c r="AD787" s="28"/>
      <c r="AE787" s="13"/>
      <c r="AF787" s="28"/>
      <c r="AG787" s="13"/>
      <c r="AH787" s="28"/>
      <c r="AI787" s="13"/>
      <c r="AJ787" s="28"/>
      <c r="AK787" s="13"/>
      <c r="AL787" s="28"/>
      <c r="AM787" s="13"/>
      <c r="AN787" s="28"/>
      <c r="AO787" s="13"/>
      <c r="AP787" s="28"/>
      <c r="AQ787" s="13"/>
      <c r="AR787" s="28"/>
      <c r="AS787" s="19">
        <f>SUM(H787,J787,L787,N787,P787,R787,T787,V787,X787,Z787,AB787,AD787,AF787,AH787,AJ787,AL787,AN787)</f>
        <v>0</v>
      </c>
      <c r="AT787" s="29" t="str">
        <f>IF(C787="","",DATE(YEAR(C787),MONTH(C787),1))</f>
        <v/>
      </c>
      <c r="AU787" s="28" t="str">
        <f>IF(AT787="","",TEXT(AT787,"mmmm yyyy"))</f>
        <v/>
      </c>
      <c r="AV787" s="29" t="str">
        <f>IF(C787="","",C787-WEEKDAY(C787,2)+1)</f>
        <v/>
      </c>
      <c r="AW787" s="29" t="str">
        <f>IF(AV787="","",AV787+6)</f>
        <v/>
      </c>
      <c r="AX787" s="28" t="str">
        <f>IF(AV787="","",TEXT(AV787,"dd/mm/yyyy")&amp;" - "&amp;TEXT(AW787,"dd/mm/yyyy"))</f>
        <v/>
      </c>
      <c r="AY787" s="28" t="str">
        <f>IF(B787="","",COUNTIFS($B$5:B787,B787,$AT$5:AT787,AT787))</f>
        <v/>
      </c>
      <c r="AZ787" s="28" t="str">
        <f>IF(B787="","",COUNTIFS($B$5:B787,B787,$AV$5:AV787,AV787))</f>
        <v/>
      </c>
      <c r="BA787" s="28" t="str">
        <f>IF(B787="","",TEXT(AY787,"00")&amp;"|"&amp;B787&amp;"|"&amp;TEXT(AT787,"yyyymmdd"))</f>
        <v/>
      </c>
      <c r="BB787" s="28" t="str">
        <f>IF(B787="","",TEXT(AZ787,"00")&amp;"|"&amp;B787&amp;"|"&amp;TEXT(AV787,"yyyymmdd"))</f>
        <v/>
      </c>
      <c r="BC787" s="28">
        <f>IF(OR(AQ787="YES",AQ787="Yes",AQ787="Y",AQ787=1),1,0)</f>
        <v>0</v>
      </c>
    </row>
    <row r="788" spans="1:55" ht="15" customHeight="1">
      <c r="A788" s="27"/>
      <c r="B788" s="28"/>
      <c r="C788" s="29"/>
      <c r="D788" s="30"/>
      <c r="E788" s="30"/>
      <c r="F788" s="28"/>
      <c r="G788" s="28"/>
      <c r="H788" s="28"/>
      <c r="I788" s="13"/>
      <c r="J788" s="28"/>
      <c r="K788" s="13"/>
      <c r="L788" s="28"/>
      <c r="M788" s="13"/>
      <c r="N788" s="28"/>
      <c r="O788" s="13"/>
      <c r="P788" s="28"/>
      <c r="Q788" s="20"/>
      <c r="R788" s="28"/>
      <c r="S788" s="20"/>
      <c r="T788" s="28"/>
      <c r="U788" s="13"/>
      <c r="V788" s="28"/>
      <c r="W788" s="13"/>
      <c r="X788" s="28"/>
      <c r="Y788" s="13"/>
      <c r="Z788" s="28"/>
      <c r="AA788" s="13"/>
      <c r="AB788" s="28"/>
      <c r="AC788" s="13"/>
      <c r="AD788" s="28"/>
      <c r="AE788" s="13"/>
      <c r="AF788" s="28"/>
      <c r="AG788" s="13"/>
      <c r="AH788" s="28"/>
      <c r="AI788" s="13"/>
      <c r="AJ788" s="28"/>
      <c r="AK788" s="13"/>
      <c r="AL788" s="28"/>
      <c r="AM788" s="13"/>
      <c r="AN788" s="28"/>
      <c r="AO788" s="13"/>
      <c r="AP788" s="28"/>
      <c r="AQ788" s="13"/>
      <c r="AR788" s="28"/>
      <c r="AS788" s="19">
        <f>SUM(H788,J788,L788,N788,P788,R788,T788,V788,X788,Z788,AB788,AD788,AF788,AH788,AJ788,AL788,AN788)</f>
        <v>0</v>
      </c>
      <c r="AT788" s="29" t="str">
        <f>IF(C788="","",DATE(YEAR(C788),MONTH(C788),1))</f>
        <v/>
      </c>
      <c r="AU788" s="28" t="str">
        <f>IF(AT788="","",TEXT(AT788,"mmmm yyyy"))</f>
        <v/>
      </c>
      <c r="AV788" s="29" t="str">
        <f>IF(C788="","",C788-WEEKDAY(C788,2)+1)</f>
        <v/>
      </c>
      <c r="AW788" s="29" t="str">
        <f>IF(AV788="","",AV788+6)</f>
        <v/>
      </c>
      <c r="AX788" s="28" t="str">
        <f>IF(AV788="","",TEXT(AV788,"dd/mm/yyyy")&amp;" - "&amp;TEXT(AW788,"dd/mm/yyyy"))</f>
        <v/>
      </c>
      <c r="AY788" s="28" t="str">
        <f>IF(B788="","",COUNTIFS($B$5:B788,B788,$AT$5:AT788,AT788))</f>
        <v/>
      </c>
      <c r="AZ788" s="28" t="str">
        <f>IF(B788="","",COUNTIFS($B$5:B788,B788,$AV$5:AV788,AV788))</f>
        <v/>
      </c>
      <c r="BA788" s="28" t="str">
        <f>IF(B788="","",TEXT(AY788,"00")&amp;"|"&amp;B788&amp;"|"&amp;TEXT(AT788,"yyyymmdd"))</f>
        <v/>
      </c>
      <c r="BB788" s="28" t="str">
        <f>IF(B788="","",TEXT(AZ788,"00")&amp;"|"&amp;B788&amp;"|"&amp;TEXT(AV788,"yyyymmdd"))</f>
        <v/>
      </c>
      <c r="BC788" s="28">
        <f>IF(OR(AQ788="YES",AQ788="Yes",AQ788="Y",AQ788=1),1,0)</f>
        <v>0</v>
      </c>
    </row>
    <row r="789" spans="1:55" ht="15" customHeight="1">
      <c r="A789" s="27"/>
      <c r="B789" s="28"/>
      <c r="C789" s="29"/>
      <c r="D789" s="30"/>
      <c r="E789" s="30"/>
      <c r="F789" s="28"/>
      <c r="G789" s="28"/>
      <c r="H789" s="28"/>
      <c r="I789" s="13"/>
      <c r="J789" s="28"/>
      <c r="K789" s="13"/>
      <c r="L789" s="28"/>
      <c r="M789" s="13"/>
      <c r="N789" s="28"/>
      <c r="O789" s="13"/>
      <c r="P789" s="28"/>
      <c r="Q789" s="20"/>
      <c r="R789" s="28"/>
      <c r="S789" s="20"/>
      <c r="T789" s="28"/>
      <c r="U789" s="13"/>
      <c r="V789" s="28"/>
      <c r="W789" s="13"/>
      <c r="X789" s="28"/>
      <c r="Y789" s="13"/>
      <c r="Z789" s="28"/>
      <c r="AA789" s="13"/>
      <c r="AB789" s="28"/>
      <c r="AC789" s="13"/>
      <c r="AD789" s="28"/>
      <c r="AE789" s="13"/>
      <c r="AF789" s="28"/>
      <c r="AG789" s="13"/>
      <c r="AH789" s="28"/>
      <c r="AI789" s="13"/>
      <c r="AJ789" s="28"/>
      <c r="AK789" s="13"/>
      <c r="AL789" s="28"/>
      <c r="AM789" s="13"/>
      <c r="AN789" s="28"/>
      <c r="AO789" s="13"/>
      <c r="AP789" s="28"/>
      <c r="AQ789" s="13"/>
      <c r="AR789" s="28"/>
      <c r="AS789" s="19">
        <f>SUM(H789,J789,L789,N789,P789,R789,T789,V789,X789,Z789,AB789,AD789,AF789,AH789,AJ789,AL789,AN789)</f>
        <v>0</v>
      </c>
      <c r="AT789" s="29" t="str">
        <f>IF(C789="","",DATE(YEAR(C789),MONTH(C789),1))</f>
        <v/>
      </c>
      <c r="AU789" s="28" t="str">
        <f>IF(AT789="","",TEXT(AT789,"mmmm yyyy"))</f>
        <v/>
      </c>
      <c r="AV789" s="29" t="str">
        <f>IF(C789="","",C789-WEEKDAY(C789,2)+1)</f>
        <v/>
      </c>
      <c r="AW789" s="29" t="str">
        <f>IF(AV789="","",AV789+6)</f>
        <v/>
      </c>
      <c r="AX789" s="28" t="str">
        <f>IF(AV789="","",TEXT(AV789,"dd/mm/yyyy")&amp;" - "&amp;TEXT(AW789,"dd/mm/yyyy"))</f>
        <v/>
      </c>
      <c r="AY789" s="28" t="str">
        <f>IF(B789="","",COUNTIFS($B$5:B789,B789,$AT$5:AT789,AT789))</f>
        <v/>
      </c>
      <c r="AZ789" s="28" t="str">
        <f>IF(B789="","",COUNTIFS($B$5:B789,B789,$AV$5:AV789,AV789))</f>
        <v/>
      </c>
      <c r="BA789" s="28" t="str">
        <f>IF(B789="","",TEXT(AY789,"00")&amp;"|"&amp;B789&amp;"|"&amp;TEXT(AT789,"yyyymmdd"))</f>
        <v/>
      </c>
      <c r="BB789" s="28" t="str">
        <f>IF(B789="","",TEXT(AZ789,"00")&amp;"|"&amp;B789&amp;"|"&amp;TEXT(AV789,"yyyymmdd"))</f>
        <v/>
      </c>
      <c r="BC789" s="28">
        <f>IF(OR(AQ789="YES",AQ789="Yes",AQ789="Y",AQ789=1),1,0)</f>
        <v>0</v>
      </c>
    </row>
    <row r="790" spans="1:55" ht="15" customHeight="1">
      <c r="A790" s="27"/>
      <c r="B790" s="28"/>
      <c r="C790" s="29"/>
      <c r="D790" s="30"/>
      <c r="E790" s="30"/>
      <c r="F790" s="28"/>
      <c r="G790" s="28"/>
      <c r="H790" s="28"/>
      <c r="I790" s="13"/>
      <c r="J790" s="28"/>
      <c r="K790" s="13"/>
      <c r="L790" s="28"/>
      <c r="M790" s="13"/>
      <c r="N790" s="28"/>
      <c r="O790" s="13"/>
      <c r="P790" s="28"/>
      <c r="Q790" s="20"/>
      <c r="R790" s="28"/>
      <c r="S790" s="20"/>
      <c r="T790" s="28"/>
      <c r="U790" s="13"/>
      <c r="V790" s="28"/>
      <c r="W790" s="13"/>
      <c r="X790" s="28"/>
      <c r="Y790" s="13"/>
      <c r="Z790" s="28"/>
      <c r="AA790" s="13"/>
      <c r="AB790" s="28"/>
      <c r="AC790" s="13"/>
      <c r="AD790" s="28"/>
      <c r="AE790" s="13"/>
      <c r="AF790" s="28"/>
      <c r="AG790" s="13"/>
      <c r="AH790" s="28"/>
      <c r="AI790" s="13"/>
      <c r="AJ790" s="28"/>
      <c r="AK790" s="13"/>
      <c r="AL790" s="28"/>
      <c r="AM790" s="13"/>
      <c r="AN790" s="28"/>
      <c r="AO790" s="13"/>
      <c r="AP790" s="28"/>
      <c r="AQ790" s="13"/>
      <c r="AR790" s="28"/>
      <c r="AS790" s="19">
        <f>SUM(H790,J790,L790,N790,P790,R790,T790,V790,X790,Z790,AB790,AD790,AF790,AH790,AJ790,AL790,AN790)</f>
        <v>0</v>
      </c>
      <c r="AT790" s="29" t="str">
        <f>IF(C790="","",DATE(YEAR(C790),MONTH(C790),1))</f>
        <v/>
      </c>
      <c r="AU790" s="28" t="str">
        <f>IF(AT790="","",TEXT(AT790,"mmmm yyyy"))</f>
        <v/>
      </c>
      <c r="AV790" s="29" t="str">
        <f>IF(C790="","",C790-WEEKDAY(C790,2)+1)</f>
        <v/>
      </c>
      <c r="AW790" s="29" t="str">
        <f>IF(AV790="","",AV790+6)</f>
        <v/>
      </c>
      <c r="AX790" s="28" t="str">
        <f>IF(AV790="","",TEXT(AV790,"dd/mm/yyyy")&amp;" - "&amp;TEXT(AW790,"dd/mm/yyyy"))</f>
        <v/>
      </c>
      <c r="AY790" s="28" t="str">
        <f>IF(B790="","",COUNTIFS($B$5:B790,B790,$AT$5:AT790,AT790))</f>
        <v/>
      </c>
      <c r="AZ790" s="28" t="str">
        <f>IF(B790="","",COUNTIFS($B$5:B790,B790,$AV$5:AV790,AV790))</f>
        <v/>
      </c>
      <c r="BA790" s="28" t="str">
        <f>IF(B790="","",TEXT(AY790,"00")&amp;"|"&amp;B790&amp;"|"&amp;TEXT(AT790,"yyyymmdd"))</f>
        <v/>
      </c>
      <c r="BB790" s="28" t="str">
        <f>IF(B790="","",TEXT(AZ790,"00")&amp;"|"&amp;B790&amp;"|"&amp;TEXT(AV790,"yyyymmdd"))</f>
        <v/>
      </c>
      <c r="BC790" s="28">
        <f>IF(OR(AQ790="YES",AQ790="Yes",AQ790="Y",AQ790=1),1,0)</f>
        <v>0</v>
      </c>
    </row>
    <row r="791" spans="1:55" ht="15" customHeight="1">
      <c r="A791" s="27"/>
      <c r="B791" s="28"/>
      <c r="C791" s="29"/>
      <c r="D791" s="30"/>
      <c r="E791" s="30"/>
      <c r="F791" s="28"/>
      <c r="G791" s="28"/>
      <c r="H791" s="28"/>
      <c r="I791" s="13"/>
      <c r="J791" s="28"/>
      <c r="K791" s="13"/>
      <c r="L791" s="28"/>
      <c r="M791" s="13"/>
      <c r="N791" s="28"/>
      <c r="O791" s="13"/>
      <c r="P791" s="28"/>
      <c r="Q791" s="20"/>
      <c r="R791" s="28"/>
      <c r="S791" s="20"/>
      <c r="T791" s="28"/>
      <c r="U791" s="13"/>
      <c r="V791" s="28"/>
      <c r="W791" s="13"/>
      <c r="X791" s="28"/>
      <c r="Y791" s="13"/>
      <c r="Z791" s="28"/>
      <c r="AA791" s="13"/>
      <c r="AB791" s="28"/>
      <c r="AC791" s="13"/>
      <c r="AD791" s="28"/>
      <c r="AE791" s="13"/>
      <c r="AF791" s="28"/>
      <c r="AG791" s="13"/>
      <c r="AH791" s="28"/>
      <c r="AI791" s="13"/>
      <c r="AJ791" s="28"/>
      <c r="AK791" s="13"/>
      <c r="AL791" s="28"/>
      <c r="AM791" s="13"/>
      <c r="AN791" s="28"/>
      <c r="AO791" s="13"/>
      <c r="AP791" s="28"/>
      <c r="AQ791" s="13"/>
      <c r="AR791" s="28"/>
      <c r="AS791" s="19">
        <f>SUM(H791,J791,L791,N791,P791,R791,T791,V791,X791,Z791,AB791,AD791,AF791,AH791,AJ791,AL791,AN791)</f>
        <v>0</v>
      </c>
      <c r="AT791" s="29" t="str">
        <f>IF(C791="","",DATE(YEAR(C791),MONTH(C791),1))</f>
        <v/>
      </c>
      <c r="AU791" s="28" t="str">
        <f>IF(AT791="","",TEXT(AT791,"mmmm yyyy"))</f>
        <v/>
      </c>
      <c r="AV791" s="29" t="str">
        <f>IF(C791="","",C791-WEEKDAY(C791,2)+1)</f>
        <v/>
      </c>
      <c r="AW791" s="29" t="str">
        <f>IF(AV791="","",AV791+6)</f>
        <v/>
      </c>
      <c r="AX791" s="28" t="str">
        <f>IF(AV791="","",TEXT(AV791,"dd/mm/yyyy")&amp;" - "&amp;TEXT(AW791,"dd/mm/yyyy"))</f>
        <v/>
      </c>
      <c r="AY791" s="28" t="str">
        <f>IF(B791="","",COUNTIFS($B$5:B791,B791,$AT$5:AT791,AT791))</f>
        <v/>
      </c>
      <c r="AZ791" s="28" t="str">
        <f>IF(B791="","",COUNTIFS($B$5:B791,B791,$AV$5:AV791,AV791))</f>
        <v/>
      </c>
      <c r="BA791" s="28" t="str">
        <f>IF(B791="","",TEXT(AY791,"00")&amp;"|"&amp;B791&amp;"|"&amp;TEXT(AT791,"yyyymmdd"))</f>
        <v/>
      </c>
      <c r="BB791" s="28" t="str">
        <f>IF(B791="","",TEXT(AZ791,"00")&amp;"|"&amp;B791&amp;"|"&amp;TEXT(AV791,"yyyymmdd"))</f>
        <v/>
      </c>
      <c r="BC791" s="28">
        <f>IF(OR(AQ791="YES",AQ791="Yes",AQ791="Y",AQ791=1),1,0)</f>
        <v>0</v>
      </c>
    </row>
    <row r="792" spans="1:55" ht="15" customHeight="1">
      <c r="A792" s="27"/>
      <c r="B792" s="28"/>
      <c r="C792" s="29"/>
      <c r="D792" s="30"/>
      <c r="E792" s="30"/>
      <c r="F792" s="28"/>
      <c r="G792" s="28"/>
      <c r="H792" s="28"/>
      <c r="I792" s="13"/>
      <c r="J792" s="28"/>
      <c r="K792" s="13"/>
      <c r="L792" s="28"/>
      <c r="M792" s="13"/>
      <c r="N792" s="28"/>
      <c r="O792" s="13"/>
      <c r="P792" s="28"/>
      <c r="Q792" s="20"/>
      <c r="R792" s="28"/>
      <c r="S792" s="20"/>
      <c r="T792" s="28"/>
      <c r="U792" s="13"/>
      <c r="V792" s="28"/>
      <c r="W792" s="13"/>
      <c r="X792" s="28"/>
      <c r="Y792" s="13"/>
      <c r="Z792" s="28"/>
      <c r="AA792" s="13"/>
      <c r="AB792" s="28"/>
      <c r="AC792" s="13"/>
      <c r="AD792" s="28"/>
      <c r="AE792" s="13"/>
      <c r="AF792" s="28"/>
      <c r="AG792" s="13"/>
      <c r="AH792" s="28"/>
      <c r="AI792" s="13"/>
      <c r="AJ792" s="28"/>
      <c r="AK792" s="13"/>
      <c r="AL792" s="28"/>
      <c r="AM792" s="13"/>
      <c r="AN792" s="28"/>
      <c r="AO792" s="13"/>
      <c r="AP792" s="28"/>
      <c r="AQ792" s="13"/>
      <c r="AR792" s="28"/>
      <c r="AS792" s="19">
        <f>SUM(H792,J792,L792,N792,P792,R792,T792,V792,X792,Z792,AB792,AD792,AF792,AH792,AJ792,AL792,AN792)</f>
        <v>0</v>
      </c>
      <c r="AT792" s="29" t="str">
        <f>IF(C792="","",DATE(YEAR(C792),MONTH(C792),1))</f>
        <v/>
      </c>
      <c r="AU792" s="28" t="str">
        <f>IF(AT792="","",TEXT(AT792,"mmmm yyyy"))</f>
        <v/>
      </c>
      <c r="AV792" s="29" t="str">
        <f>IF(C792="","",C792-WEEKDAY(C792,2)+1)</f>
        <v/>
      </c>
      <c r="AW792" s="29" t="str">
        <f>IF(AV792="","",AV792+6)</f>
        <v/>
      </c>
      <c r="AX792" s="28" t="str">
        <f>IF(AV792="","",TEXT(AV792,"dd/mm/yyyy")&amp;" - "&amp;TEXT(AW792,"dd/mm/yyyy"))</f>
        <v/>
      </c>
      <c r="AY792" s="28" t="str">
        <f>IF(B792="","",COUNTIFS($B$5:B792,B792,$AT$5:AT792,AT792))</f>
        <v/>
      </c>
      <c r="AZ792" s="28" t="str">
        <f>IF(B792="","",COUNTIFS($B$5:B792,B792,$AV$5:AV792,AV792))</f>
        <v/>
      </c>
      <c r="BA792" s="28" t="str">
        <f>IF(B792="","",TEXT(AY792,"00")&amp;"|"&amp;B792&amp;"|"&amp;TEXT(AT792,"yyyymmdd"))</f>
        <v/>
      </c>
      <c r="BB792" s="28" t="str">
        <f>IF(B792="","",TEXT(AZ792,"00")&amp;"|"&amp;B792&amp;"|"&amp;TEXT(AV792,"yyyymmdd"))</f>
        <v/>
      </c>
      <c r="BC792" s="28">
        <f>IF(OR(AQ792="YES",AQ792="Yes",AQ792="Y",AQ792=1),1,0)</f>
        <v>0</v>
      </c>
    </row>
    <row r="793" spans="1:55" ht="15" customHeight="1">
      <c r="A793" s="27"/>
      <c r="B793" s="28"/>
      <c r="C793" s="29"/>
      <c r="D793" s="30"/>
      <c r="E793" s="30"/>
      <c r="F793" s="28"/>
      <c r="G793" s="28"/>
      <c r="H793" s="28"/>
      <c r="I793" s="13"/>
      <c r="J793" s="28"/>
      <c r="K793" s="13"/>
      <c r="L793" s="28"/>
      <c r="M793" s="13"/>
      <c r="N793" s="28"/>
      <c r="O793" s="13"/>
      <c r="P793" s="28"/>
      <c r="Q793" s="20"/>
      <c r="R793" s="28"/>
      <c r="S793" s="20"/>
      <c r="T793" s="28"/>
      <c r="U793" s="13"/>
      <c r="V793" s="28"/>
      <c r="W793" s="13"/>
      <c r="X793" s="28"/>
      <c r="Y793" s="13"/>
      <c r="Z793" s="28"/>
      <c r="AA793" s="13"/>
      <c r="AB793" s="28"/>
      <c r="AC793" s="13"/>
      <c r="AD793" s="28"/>
      <c r="AE793" s="13"/>
      <c r="AF793" s="28"/>
      <c r="AG793" s="13"/>
      <c r="AH793" s="28"/>
      <c r="AI793" s="13"/>
      <c r="AJ793" s="28"/>
      <c r="AK793" s="13"/>
      <c r="AL793" s="28"/>
      <c r="AM793" s="13"/>
      <c r="AN793" s="28"/>
      <c r="AO793" s="13"/>
      <c r="AP793" s="28"/>
      <c r="AQ793" s="13"/>
      <c r="AR793" s="28"/>
      <c r="AS793" s="19">
        <f>SUM(H793,J793,L793,N793,P793,R793,T793,V793,X793,Z793,AB793,AD793,AF793,AH793,AJ793,AL793,AN793)</f>
        <v>0</v>
      </c>
      <c r="AT793" s="29" t="str">
        <f>IF(C793="","",DATE(YEAR(C793),MONTH(C793),1))</f>
        <v/>
      </c>
      <c r="AU793" s="28" t="str">
        <f>IF(AT793="","",TEXT(AT793,"mmmm yyyy"))</f>
        <v/>
      </c>
      <c r="AV793" s="29" t="str">
        <f>IF(C793="","",C793-WEEKDAY(C793,2)+1)</f>
        <v/>
      </c>
      <c r="AW793" s="29" t="str">
        <f>IF(AV793="","",AV793+6)</f>
        <v/>
      </c>
      <c r="AX793" s="28" t="str">
        <f>IF(AV793="","",TEXT(AV793,"dd/mm/yyyy")&amp;" - "&amp;TEXT(AW793,"dd/mm/yyyy"))</f>
        <v/>
      </c>
      <c r="AY793" s="28" t="str">
        <f>IF(B793="","",COUNTIFS($B$5:B793,B793,$AT$5:AT793,AT793))</f>
        <v/>
      </c>
      <c r="AZ793" s="28" t="str">
        <f>IF(B793="","",COUNTIFS($B$5:B793,B793,$AV$5:AV793,AV793))</f>
        <v/>
      </c>
      <c r="BA793" s="28" t="str">
        <f>IF(B793="","",TEXT(AY793,"00")&amp;"|"&amp;B793&amp;"|"&amp;TEXT(AT793,"yyyymmdd"))</f>
        <v/>
      </c>
      <c r="BB793" s="28" t="str">
        <f>IF(B793="","",TEXT(AZ793,"00")&amp;"|"&amp;B793&amp;"|"&amp;TEXT(AV793,"yyyymmdd"))</f>
        <v/>
      </c>
      <c r="BC793" s="28">
        <f>IF(OR(AQ793="YES",AQ793="Yes",AQ793="Y",AQ793=1),1,0)</f>
        <v>0</v>
      </c>
    </row>
    <row r="794" spans="1:55" ht="15" customHeight="1">
      <c r="A794" s="27"/>
      <c r="B794" s="28"/>
      <c r="C794" s="29"/>
      <c r="D794" s="30"/>
      <c r="E794" s="30"/>
      <c r="F794" s="28"/>
      <c r="G794" s="28"/>
      <c r="H794" s="28"/>
      <c r="I794" s="13"/>
      <c r="J794" s="28"/>
      <c r="K794" s="13"/>
      <c r="L794" s="28"/>
      <c r="M794" s="13"/>
      <c r="N794" s="28"/>
      <c r="O794" s="13"/>
      <c r="P794" s="28"/>
      <c r="Q794" s="20"/>
      <c r="R794" s="28"/>
      <c r="S794" s="20"/>
      <c r="T794" s="28"/>
      <c r="U794" s="13"/>
      <c r="V794" s="28"/>
      <c r="W794" s="13"/>
      <c r="X794" s="28"/>
      <c r="Y794" s="13"/>
      <c r="Z794" s="28"/>
      <c r="AA794" s="13"/>
      <c r="AB794" s="28"/>
      <c r="AC794" s="13"/>
      <c r="AD794" s="28"/>
      <c r="AE794" s="13"/>
      <c r="AF794" s="28"/>
      <c r="AG794" s="13"/>
      <c r="AH794" s="28"/>
      <c r="AI794" s="13"/>
      <c r="AJ794" s="28"/>
      <c r="AK794" s="13"/>
      <c r="AL794" s="28"/>
      <c r="AM794" s="13"/>
      <c r="AN794" s="28"/>
      <c r="AO794" s="13"/>
      <c r="AP794" s="28"/>
      <c r="AQ794" s="13"/>
      <c r="AR794" s="28"/>
      <c r="AS794" s="19">
        <f>SUM(H794,J794,L794,N794,P794,R794,T794,V794,X794,Z794,AB794,AD794,AF794,AH794,AJ794,AL794,AN794)</f>
        <v>0</v>
      </c>
      <c r="AT794" s="29" t="str">
        <f>IF(C794="","",DATE(YEAR(C794),MONTH(C794),1))</f>
        <v/>
      </c>
      <c r="AU794" s="28" t="str">
        <f>IF(AT794="","",TEXT(AT794,"mmmm yyyy"))</f>
        <v/>
      </c>
      <c r="AV794" s="29" t="str">
        <f>IF(C794="","",C794-WEEKDAY(C794,2)+1)</f>
        <v/>
      </c>
      <c r="AW794" s="29" t="str">
        <f>IF(AV794="","",AV794+6)</f>
        <v/>
      </c>
      <c r="AX794" s="28" t="str">
        <f>IF(AV794="","",TEXT(AV794,"dd/mm/yyyy")&amp;" - "&amp;TEXT(AW794,"dd/mm/yyyy"))</f>
        <v/>
      </c>
      <c r="AY794" s="28" t="str">
        <f>IF(B794="","",COUNTIFS($B$5:B794,B794,$AT$5:AT794,AT794))</f>
        <v/>
      </c>
      <c r="AZ794" s="28" t="str">
        <f>IF(B794="","",COUNTIFS($B$5:B794,B794,$AV$5:AV794,AV794))</f>
        <v/>
      </c>
      <c r="BA794" s="28" t="str">
        <f>IF(B794="","",TEXT(AY794,"00")&amp;"|"&amp;B794&amp;"|"&amp;TEXT(AT794,"yyyymmdd"))</f>
        <v/>
      </c>
      <c r="BB794" s="28" t="str">
        <f>IF(B794="","",TEXT(AZ794,"00")&amp;"|"&amp;B794&amp;"|"&amp;TEXT(AV794,"yyyymmdd"))</f>
        <v/>
      </c>
      <c r="BC794" s="28">
        <f>IF(OR(AQ794="YES",AQ794="Yes",AQ794="Y",AQ794=1),1,0)</f>
        <v>0</v>
      </c>
    </row>
    <row r="795" spans="1:55" ht="15" customHeight="1">
      <c r="A795" s="27"/>
      <c r="B795" s="28"/>
      <c r="C795" s="29"/>
      <c r="D795" s="30"/>
      <c r="E795" s="30"/>
      <c r="F795" s="28"/>
      <c r="G795" s="28"/>
      <c r="H795" s="28"/>
      <c r="I795" s="13"/>
      <c r="J795" s="28"/>
      <c r="K795" s="13"/>
      <c r="L795" s="28"/>
      <c r="M795" s="13"/>
      <c r="N795" s="28"/>
      <c r="O795" s="13"/>
      <c r="P795" s="28"/>
      <c r="Q795" s="20"/>
      <c r="R795" s="28"/>
      <c r="S795" s="20"/>
      <c r="T795" s="28"/>
      <c r="U795" s="13"/>
      <c r="V795" s="28"/>
      <c r="W795" s="13"/>
      <c r="X795" s="28"/>
      <c r="Y795" s="13"/>
      <c r="Z795" s="28"/>
      <c r="AA795" s="13"/>
      <c r="AB795" s="28"/>
      <c r="AC795" s="13"/>
      <c r="AD795" s="28"/>
      <c r="AE795" s="13"/>
      <c r="AF795" s="28"/>
      <c r="AG795" s="13"/>
      <c r="AH795" s="28"/>
      <c r="AI795" s="13"/>
      <c r="AJ795" s="28"/>
      <c r="AK795" s="13"/>
      <c r="AL795" s="28"/>
      <c r="AM795" s="13"/>
      <c r="AN795" s="28"/>
      <c r="AO795" s="13"/>
      <c r="AP795" s="28"/>
      <c r="AQ795" s="13"/>
      <c r="AR795" s="28"/>
      <c r="AS795" s="19">
        <f>SUM(H795,J795,L795,N795,P795,R795,T795,V795,X795,Z795,AB795,AD795,AF795,AH795,AJ795,AL795,AN795)</f>
        <v>0</v>
      </c>
      <c r="AT795" s="29" t="str">
        <f>IF(C795="","",DATE(YEAR(C795),MONTH(C795),1))</f>
        <v/>
      </c>
      <c r="AU795" s="28" t="str">
        <f>IF(AT795="","",TEXT(AT795,"mmmm yyyy"))</f>
        <v/>
      </c>
      <c r="AV795" s="29" t="str">
        <f>IF(C795="","",C795-WEEKDAY(C795,2)+1)</f>
        <v/>
      </c>
      <c r="AW795" s="29" t="str">
        <f>IF(AV795="","",AV795+6)</f>
        <v/>
      </c>
      <c r="AX795" s="28" t="str">
        <f>IF(AV795="","",TEXT(AV795,"dd/mm/yyyy")&amp;" - "&amp;TEXT(AW795,"dd/mm/yyyy"))</f>
        <v/>
      </c>
      <c r="AY795" s="28" t="str">
        <f>IF(B795="","",COUNTIFS($B$5:B795,B795,$AT$5:AT795,AT795))</f>
        <v/>
      </c>
      <c r="AZ795" s="28" t="str">
        <f>IF(B795="","",COUNTIFS($B$5:B795,B795,$AV$5:AV795,AV795))</f>
        <v/>
      </c>
      <c r="BA795" s="28" t="str">
        <f>IF(B795="","",TEXT(AY795,"00")&amp;"|"&amp;B795&amp;"|"&amp;TEXT(AT795,"yyyymmdd"))</f>
        <v/>
      </c>
      <c r="BB795" s="28" t="str">
        <f>IF(B795="","",TEXT(AZ795,"00")&amp;"|"&amp;B795&amp;"|"&amp;TEXT(AV795,"yyyymmdd"))</f>
        <v/>
      </c>
      <c r="BC795" s="28">
        <f>IF(OR(AQ795="YES",AQ795="Yes",AQ795="Y",AQ795=1),1,0)</f>
        <v>0</v>
      </c>
    </row>
    <row r="796" spans="1:55" ht="15" customHeight="1">
      <c r="A796" s="27"/>
      <c r="B796" s="28"/>
      <c r="C796" s="29"/>
      <c r="D796" s="30"/>
      <c r="E796" s="30"/>
      <c r="F796" s="28"/>
      <c r="G796" s="28"/>
      <c r="H796" s="28"/>
      <c r="I796" s="13"/>
      <c r="J796" s="28"/>
      <c r="K796" s="13"/>
      <c r="L796" s="28"/>
      <c r="M796" s="13"/>
      <c r="N796" s="28"/>
      <c r="O796" s="13"/>
      <c r="P796" s="28"/>
      <c r="Q796" s="20"/>
      <c r="R796" s="28"/>
      <c r="S796" s="20"/>
      <c r="T796" s="28"/>
      <c r="U796" s="13"/>
      <c r="V796" s="28"/>
      <c r="W796" s="13"/>
      <c r="X796" s="28"/>
      <c r="Y796" s="13"/>
      <c r="Z796" s="28"/>
      <c r="AA796" s="13"/>
      <c r="AB796" s="28"/>
      <c r="AC796" s="13"/>
      <c r="AD796" s="28"/>
      <c r="AE796" s="13"/>
      <c r="AF796" s="28"/>
      <c r="AG796" s="13"/>
      <c r="AH796" s="28"/>
      <c r="AI796" s="13"/>
      <c r="AJ796" s="28"/>
      <c r="AK796" s="13"/>
      <c r="AL796" s="28"/>
      <c r="AM796" s="13"/>
      <c r="AN796" s="28"/>
      <c r="AO796" s="13"/>
      <c r="AP796" s="28"/>
      <c r="AQ796" s="13"/>
      <c r="AR796" s="28"/>
      <c r="AS796" s="19">
        <f>SUM(H796,J796,L796,N796,P796,R796,T796,V796,X796,Z796,AB796,AD796,AF796,AH796,AJ796,AL796,AN796)</f>
        <v>0</v>
      </c>
      <c r="AT796" s="29" t="str">
        <f>IF(C796="","",DATE(YEAR(C796),MONTH(C796),1))</f>
        <v/>
      </c>
      <c r="AU796" s="28" t="str">
        <f>IF(AT796="","",TEXT(AT796,"mmmm yyyy"))</f>
        <v/>
      </c>
      <c r="AV796" s="29" t="str">
        <f>IF(C796="","",C796-WEEKDAY(C796,2)+1)</f>
        <v/>
      </c>
      <c r="AW796" s="29" t="str">
        <f>IF(AV796="","",AV796+6)</f>
        <v/>
      </c>
      <c r="AX796" s="28" t="str">
        <f>IF(AV796="","",TEXT(AV796,"dd/mm/yyyy")&amp;" - "&amp;TEXT(AW796,"dd/mm/yyyy"))</f>
        <v/>
      </c>
      <c r="AY796" s="28" t="str">
        <f>IF(B796="","",COUNTIFS($B$5:B796,B796,$AT$5:AT796,AT796))</f>
        <v/>
      </c>
      <c r="AZ796" s="28" t="str">
        <f>IF(B796="","",COUNTIFS($B$5:B796,B796,$AV$5:AV796,AV796))</f>
        <v/>
      </c>
      <c r="BA796" s="28" t="str">
        <f>IF(B796="","",TEXT(AY796,"00")&amp;"|"&amp;B796&amp;"|"&amp;TEXT(AT796,"yyyymmdd"))</f>
        <v/>
      </c>
      <c r="BB796" s="28" t="str">
        <f>IF(B796="","",TEXT(AZ796,"00")&amp;"|"&amp;B796&amp;"|"&amp;TEXT(AV796,"yyyymmdd"))</f>
        <v/>
      </c>
      <c r="BC796" s="28">
        <f>IF(OR(AQ796="YES",AQ796="Yes",AQ796="Y",AQ796=1),1,0)</f>
        <v>0</v>
      </c>
    </row>
    <row r="797" spans="1:55" ht="15" customHeight="1">
      <c r="A797" s="27"/>
      <c r="B797" s="28"/>
      <c r="C797" s="29"/>
      <c r="D797" s="30"/>
      <c r="E797" s="30"/>
      <c r="F797" s="28"/>
      <c r="G797" s="28"/>
      <c r="H797" s="28"/>
      <c r="I797" s="13"/>
      <c r="J797" s="28"/>
      <c r="K797" s="13"/>
      <c r="L797" s="28"/>
      <c r="M797" s="13"/>
      <c r="N797" s="28"/>
      <c r="O797" s="13"/>
      <c r="P797" s="28"/>
      <c r="Q797" s="20"/>
      <c r="R797" s="28"/>
      <c r="S797" s="20"/>
      <c r="T797" s="28"/>
      <c r="U797" s="13"/>
      <c r="V797" s="28"/>
      <c r="W797" s="13"/>
      <c r="X797" s="28"/>
      <c r="Y797" s="13"/>
      <c r="Z797" s="28"/>
      <c r="AA797" s="13"/>
      <c r="AB797" s="28"/>
      <c r="AC797" s="13"/>
      <c r="AD797" s="28"/>
      <c r="AE797" s="13"/>
      <c r="AF797" s="28"/>
      <c r="AG797" s="13"/>
      <c r="AH797" s="28"/>
      <c r="AI797" s="13"/>
      <c r="AJ797" s="28"/>
      <c r="AK797" s="13"/>
      <c r="AL797" s="28"/>
      <c r="AM797" s="13"/>
      <c r="AN797" s="28"/>
      <c r="AO797" s="13"/>
      <c r="AP797" s="28"/>
      <c r="AQ797" s="13"/>
      <c r="AR797" s="28"/>
      <c r="AS797" s="19">
        <f>SUM(H797,J797,L797,N797,P797,R797,T797,V797,X797,Z797,AB797,AD797,AF797,AH797,AJ797,AL797,AN797)</f>
        <v>0</v>
      </c>
      <c r="AT797" s="29" t="str">
        <f>IF(C797="","",DATE(YEAR(C797),MONTH(C797),1))</f>
        <v/>
      </c>
      <c r="AU797" s="28" t="str">
        <f>IF(AT797="","",TEXT(AT797,"mmmm yyyy"))</f>
        <v/>
      </c>
      <c r="AV797" s="29" t="str">
        <f>IF(C797="","",C797-WEEKDAY(C797,2)+1)</f>
        <v/>
      </c>
      <c r="AW797" s="29" t="str">
        <f>IF(AV797="","",AV797+6)</f>
        <v/>
      </c>
      <c r="AX797" s="28" t="str">
        <f>IF(AV797="","",TEXT(AV797,"dd/mm/yyyy")&amp;" - "&amp;TEXT(AW797,"dd/mm/yyyy"))</f>
        <v/>
      </c>
      <c r="AY797" s="28" t="str">
        <f>IF(B797="","",COUNTIFS($B$5:B797,B797,$AT$5:AT797,AT797))</f>
        <v/>
      </c>
      <c r="AZ797" s="28" t="str">
        <f>IF(B797="","",COUNTIFS($B$5:B797,B797,$AV$5:AV797,AV797))</f>
        <v/>
      </c>
      <c r="BA797" s="28" t="str">
        <f>IF(B797="","",TEXT(AY797,"00")&amp;"|"&amp;B797&amp;"|"&amp;TEXT(AT797,"yyyymmdd"))</f>
        <v/>
      </c>
      <c r="BB797" s="28" t="str">
        <f>IF(B797="","",TEXT(AZ797,"00")&amp;"|"&amp;B797&amp;"|"&amp;TEXT(AV797,"yyyymmdd"))</f>
        <v/>
      </c>
      <c r="BC797" s="28">
        <f>IF(OR(AQ797="YES",AQ797="Yes",AQ797="Y",AQ797=1),1,0)</f>
        <v>0</v>
      </c>
    </row>
    <row r="798" spans="1:55" ht="15" customHeight="1">
      <c r="A798" s="27"/>
      <c r="B798" s="28"/>
      <c r="C798" s="29"/>
      <c r="D798" s="30"/>
      <c r="E798" s="30"/>
      <c r="F798" s="28"/>
      <c r="G798" s="28"/>
      <c r="H798" s="28"/>
      <c r="I798" s="13"/>
      <c r="J798" s="28"/>
      <c r="K798" s="13"/>
      <c r="L798" s="28"/>
      <c r="M798" s="13"/>
      <c r="N798" s="28"/>
      <c r="O798" s="13"/>
      <c r="P798" s="28"/>
      <c r="Q798" s="20"/>
      <c r="R798" s="28"/>
      <c r="S798" s="20"/>
      <c r="T798" s="28"/>
      <c r="U798" s="13"/>
      <c r="V798" s="28"/>
      <c r="W798" s="13"/>
      <c r="X798" s="28"/>
      <c r="Y798" s="13"/>
      <c r="Z798" s="28"/>
      <c r="AA798" s="13"/>
      <c r="AB798" s="28"/>
      <c r="AC798" s="13"/>
      <c r="AD798" s="28"/>
      <c r="AE798" s="13"/>
      <c r="AF798" s="28"/>
      <c r="AG798" s="13"/>
      <c r="AH798" s="28"/>
      <c r="AI798" s="13"/>
      <c r="AJ798" s="28"/>
      <c r="AK798" s="13"/>
      <c r="AL798" s="28"/>
      <c r="AM798" s="13"/>
      <c r="AN798" s="28"/>
      <c r="AO798" s="13"/>
      <c r="AP798" s="28"/>
      <c r="AQ798" s="13"/>
      <c r="AR798" s="28"/>
      <c r="AS798" s="19">
        <f>SUM(H798,J798,L798,N798,P798,R798,T798,V798,X798,Z798,AB798,AD798,AF798,AH798,AJ798,AL798,AN798)</f>
        <v>0</v>
      </c>
      <c r="AT798" s="29" t="str">
        <f>IF(C798="","",DATE(YEAR(C798),MONTH(C798),1))</f>
        <v/>
      </c>
      <c r="AU798" s="28" t="str">
        <f>IF(AT798="","",TEXT(AT798,"mmmm yyyy"))</f>
        <v/>
      </c>
      <c r="AV798" s="29" t="str">
        <f>IF(C798="","",C798-WEEKDAY(C798,2)+1)</f>
        <v/>
      </c>
      <c r="AW798" s="29" t="str">
        <f>IF(AV798="","",AV798+6)</f>
        <v/>
      </c>
      <c r="AX798" s="28" t="str">
        <f>IF(AV798="","",TEXT(AV798,"dd/mm/yyyy")&amp;" - "&amp;TEXT(AW798,"dd/mm/yyyy"))</f>
        <v/>
      </c>
      <c r="AY798" s="28" t="str">
        <f>IF(B798="","",COUNTIFS($B$5:B798,B798,$AT$5:AT798,AT798))</f>
        <v/>
      </c>
      <c r="AZ798" s="28" t="str">
        <f>IF(B798="","",COUNTIFS($B$5:B798,B798,$AV$5:AV798,AV798))</f>
        <v/>
      </c>
      <c r="BA798" s="28" t="str">
        <f>IF(B798="","",TEXT(AY798,"00")&amp;"|"&amp;B798&amp;"|"&amp;TEXT(AT798,"yyyymmdd"))</f>
        <v/>
      </c>
      <c r="BB798" s="28" t="str">
        <f>IF(B798="","",TEXT(AZ798,"00")&amp;"|"&amp;B798&amp;"|"&amp;TEXT(AV798,"yyyymmdd"))</f>
        <v/>
      </c>
      <c r="BC798" s="28">
        <f>IF(OR(AQ798="YES",AQ798="Yes",AQ798="Y",AQ798=1),1,0)</f>
        <v>0</v>
      </c>
    </row>
    <row r="799" spans="1:55" ht="15" customHeight="1">
      <c r="A799" s="27"/>
      <c r="B799" s="28"/>
      <c r="C799" s="29"/>
      <c r="D799" s="30"/>
      <c r="E799" s="30"/>
      <c r="F799" s="28"/>
      <c r="G799" s="28"/>
      <c r="H799" s="28"/>
      <c r="I799" s="13"/>
      <c r="J799" s="28"/>
      <c r="K799" s="13"/>
      <c r="L799" s="28"/>
      <c r="M799" s="13"/>
      <c r="N799" s="28"/>
      <c r="O799" s="13"/>
      <c r="P799" s="28"/>
      <c r="Q799" s="20"/>
      <c r="R799" s="28"/>
      <c r="S799" s="20"/>
      <c r="T799" s="28"/>
      <c r="U799" s="13"/>
      <c r="V799" s="28"/>
      <c r="W799" s="13"/>
      <c r="X799" s="28"/>
      <c r="Y799" s="13"/>
      <c r="Z799" s="28"/>
      <c r="AA799" s="13"/>
      <c r="AB799" s="28"/>
      <c r="AC799" s="13"/>
      <c r="AD799" s="28"/>
      <c r="AE799" s="13"/>
      <c r="AF799" s="28"/>
      <c r="AG799" s="13"/>
      <c r="AH799" s="28"/>
      <c r="AI799" s="13"/>
      <c r="AJ799" s="28"/>
      <c r="AK799" s="13"/>
      <c r="AL799" s="28"/>
      <c r="AM799" s="13"/>
      <c r="AN799" s="28"/>
      <c r="AO799" s="13"/>
      <c r="AP799" s="28"/>
      <c r="AQ799" s="13"/>
      <c r="AR799" s="28"/>
      <c r="AS799" s="19">
        <f>SUM(H799,J799,L799,N799,P799,R799,T799,V799,X799,Z799,AB799,AD799,AF799,AH799,AJ799,AL799,AN799)</f>
        <v>0</v>
      </c>
      <c r="AT799" s="29" t="str">
        <f>IF(C799="","",DATE(YEAR(C799),MONTH(C799),1))</f>
        <v/>
      </c>
      <c r="AU799" s="28" t="str">
        <f>IF(AT799="","",TEXT(AT799,"mmmm yyyy"))</f>
        <v/>
      </c>
      <c r="AV799" s="29" t="str">
        <f>IF(C799="","",C799-WEEKDAY(C799,2)+1)</f>
        <v/>
      </c>
      <c r="AW799" s="29" t="str">
        <f>IF(AV799="","",AV799+6)</f>
        <v/>
      </c>
      <c r="AX799" s="28" t="str">
        <f>IF(AV799="","",TEXT(AV799,"dd/mm/yyyy")&amp;" - "&amp;TEXT(AW799,"dd/mm/yyyy"))</f>
        <v/>
      </c>
      <c r="AY799" s="28" t="str">
        <f>IF(B799="","",COUNTIFS($B$5:B799,B799,$AT$5:AT799,AT799))</f>
        <v/>
      </c>
      <c r="AZ799" s="28" t="str">
        <f>IF(B799="","",COUNTIFS($B$5:B799,B799,$AV$5:AV799,AV799))</f>
        <v/>
      </c>
      <c r="BA799" s="28" t="str">
        <f>IF(B799="","",TEXT(AY799,"00")&amp;"|"&amp;B799&amp;"|"&amp;TEXT(AT799,"yyyymmdd"))</f>
        <v/>
      </c>
      <c r="BB799" s="28" t="str">
        <f>IF(B799="","",TEXT(AZ799,"00")&amp;"|"&amp;B799&amp;"|"&amp;TEXT(AV799,"yyyymmdd"))</f>
        <v/>
      </c>
      <c r="BC799" s="28">
        <f>IF(OR(AQ799="YES",AQ799="Yes",AQ799="Y",AQ799=1),1,0)</f>
        <v>0</v>
      </c>
    </row>
    <row r="800" spans="1:55" ht="15" customHeight="1">
      <c r="A800" s="27"/>
      <c r="B800" s="28"/>
      <c r="C800" s="29"/>
      <c r="D800" s="30"/>
      <c r="E800" s="30"/>
      <c r="F800" s="28"/>
      <c r="G800" s="28"/>
      <c r="H800" s="28"/>
      <c r="I800" s="13"/>
      <c r="J800" s="28"/>
      <c r="K800" s="13"/>
      <c r="L800" s="28"/>
      <c r="M800" s="13"/>
      <c r="N800" s="28"/>
      <c r="O800" s="13"/>
      <c r="P800" s="28"/>
      <c r="Q800" s="20"/>
      <c r="R800" s="28"/>
      <c r="S800" s="20"/>
      <c r="T800" s="28"/>
      <c r="U800" s="13"/>
      <c r="V800" s="28"/>
      <c r="W800" s="13"/>
      <c r="X800" s="28"/>
      <c r="Y800" s="13"/>
      <c r="Z800" s="28"/>
      <c r="AA800" s="13"/>
      <c r="AB800" s="28"/>
      <c r="AC800" s="13"/>
      <c r="AD800" s="28"/>
      <c r="AE800" s="13"/>
      <c r="AF800" s="28"/>
      <c r="AG800" s="13"/>
      <c r="AH800" s="28"/>
      <c r="AI800" s="13"/>
      <c r="AJ800" s="28"/>
      <c r="AK800" s="13"/>
      <c r="AL800" s="28"/>
      <c r="AM800" s="13"/>
      <c r="AN800" s="28"/>
      <c r="AO800" s="13"/>
      <c r="AP800" s="28"/>
      <c r="AQ800" s="13"/>
      <c r="AR800" s="28"/>
      <c r="AS800" s="19">
        <f>SUM(H800,J800,L800,N800,P800,R800,T800,V800,X800,Z800,AB800,AD800,AF800,AH800,AJ800,AL800,AN800)</f>
        <v>0</v>
      </c>
      <c r="AT800" s="29" t="str">
        <f>IF(C800="","",DATE(YEAR(C800),MONTH(C800),1))</f>
        <v/>
      </c>
      <c r="AU800" s="28" t="str">
        <f>IF(AT800="","",TEXT(AT800,"mmmm yyyy"))</f>
        <v/>
      </c>
      <c r="AV800" s="29" t="str">
        <f>IF(C800="","",C800-WEEKDAY(C800,2)+1)</f>
        <v/>
      </c>
      <c r="AW800" s="29" t="str">
        <f>IF(AV800="","",AV800+6)</f>
        <v/>
      </c>
      <c r="AX800" s="28" t="str">
        <f>IF(AV800="","",TEXT(AV800,"dd/mm/yyyy")&amp;" - "&amp;TEXT(AW800,"dd/mm/yyyy"))</f>
        <v/>
      </c>
      <c r="AY800" s="28" t="str">
        <f>IF(B800="","",COUNTIFS($B$5:B800,B800,$AT$5:AT800,AT800))</f>
        <v/>
      </c>
      <c r="AZ800" s="28" t="str">
        <f>IF(B800="","",COUNTIFS($B$5:B800,B800,$AV$5:AV800,AV800))</f>
        <v/>
      </c>
      <c r="BA800" s="28" t="str">
        <f>IF(B800="","",TEXT(AY800,"00")&amp;"|"&amp;B800&amp;"|"&amp;TEXT(AT800,"yyyymmdd"))</f>
        <v/>
      </c>
      <c r="BB800" s="28" t="str">
        <f>IF(B800="","",TEXT(AZ800,"00")&amp;"|"&amp;B800&amp;"|"&amp;TEXT(AV800,"yyyymmdd"))</f>
        <v/>
      </c>
      <c r="BC800" s="28">
        <f>IF(OR(AQ800="YES",AQ800="Yes",AQ800="Y",AQ800=1),1,0)</f>
        <v>0</v>
      </c>
    </row>
    <row r="801" spans="1:55" ht="15" customHeight="1">
      <c r="A801" s="27"/>
      <c r="B801" s="28"/>
      <c r="C801" s="29"/>
      <c r="D801" s="30"/>
      <c r="E801" s="30"/>
      <c r="F801" s="28"/>
      <c r="G801" s="28"/>
      <c r="H801" s="28"/>
      <c r="I801" s="13"/>
      <c r="J801" s="28"/>
      <c r="K801" s="13"/>
      <c r="L801" s="28"/>
      <c r="M801" s="13"/>
      <c r="N801" s="28"/>
      <c r="O801" s="13"/>
      <c r="P801" s="28"/>
      <c r="Q801" s="20"/>
      <c r="R801" s="28"/>
      <c r="S801" s="20"/>
      <c r="T801" s="28"/>
      <c r="U801" s="13"/>
      <c r="V801" s="28"/>
      <c r="W801" s="13"/>
      <c r="X801" s="28"/>
      <c r="Y801" s="13"/>
      <c r="Z801" s="28"/>
      <c r="AA801" s="13"/>
      <c r="AB801" s="28"/>
      <c r="AC801" s="13"/>
      <c r="AD801" s="28"/>
      <c r="AE801" s="13"/>
      <c r="AF801" s="28"/>
      <c r="AG801" s="13"/>
      <c r="AH801" s="28"/>
      <c r="AI801" s="13"/>
      <c r="AJ801" s="28"/>
      <c r="AK801" s="13"/>
      <c r="AL801" s="28"/>
      <c r="AM801" s="13"/>
      <c r="AN801" s="28"/>
      <c r="AO801" s="13"/>
      <c r="AP801" s="28"/>
      <c r="AQ801" s="13"/>
      <c r="AR801" s="28"/>
      <c r="AS801" s="19">
        <f>SUM(H801,J801,L801,N801,P801,R801,T801,V801,X801,Z801,AB801,AD801,AF801,AH801,AJ801,AL801,AN801)</f>
        <v>0</v>
      </c>
      <c r="AT801" s="29" t="str">
        <f>IF(C801="","",DATE(YEAR(C801),MONTH(C801),1))</f>
        <v/>
      </c>
      <c r="AU801" s="28" t="str">
        <f>IF(AT801="","",TEXT(AT801,"mmmm yyyy"))</f>
        <v/>
      </c>
      <c r="AV801" s="29" t="str">
        <f>IF(C801="","",C801-WEEKDAY(C801,2)+1)</f>
        <v/>
      </c>
      <c r="AW801" s="29" t="str">
        <f>IF(AV801="","",AV801+6)</f>
        <v/>
      </c>
      <c r="AX801" s="28" t="str">
        <f>IF(AV801="","",TEXT(AV801,"dd/mm/yyyy")&amp;" - "&amp;TEXT(AW801,"dd/mm/yyyy"))</f>
        <v/>
      </c>
      <c r="AY801" s="28" t="str">
        <f>IF(B801="","",COUNTIFS($B$5:B801,B801,$AT$5:AT801,AT801))</f>
        <v/>
      </c>
      <c r="AZ801" s="28" t="str">
        <f>IF(B801="","",COUNTIFS($B$5:B801,B801,$AV$5:AV801,AV801))</f>
        <v/>
      </c>
      <c r="BA801" s="28" t="str">
        <f>IF(B801="","",TEXT(AY801,"00")&amp;"|"&amp;B801&amp;"|"&amp;TEXT(AT801,"yyyymmdd"))</f>
        <v/>
      </c>
      <c r="BB801" s="28" t="str">
        <f>IF(B801="","",TEXT(AZ801,"00")&amp;"|"&amp;B801&amp;"|"&amp;TEXT(AV801,"yyyymmdd"))</f>
        <v/>
      </c>
      <c r="BC801" s="28">
        <f>IF(OR(AQ801="YES",AQ801="Yes",AQ801="Y",AQ801=1),1,0)</f>
        <v>0</v>
      </c>
    </row>
    <row r="802" spans="1:55" ht="15" customHeight="1">
      <c r="A802" s="27"/>
      <c r="B802" s="28"/>
      <c r="C802" s="29"/>
      <c r="D802" s="30"/>
      <c r="E802" s="30"/>
      <c r="F802" s="28"/>
      <c r="G802" s="28"/>
      <c r="H802" s="28"/>
      <c r="I802" s="13"/>
      <c r="J802" s="28"/>
      <c r="K802" s="13"/>
      <c r="L802" s="28"/>
      <c r="M802" s="13"/>
      <c r="N802" s="28"/>
      <c r="O802" s="13"/>
      <c r="P802" s="28"/>
      <c r="Q802" s="20"/>
      <c r="R802" s="28"/>
      <c r="S802" s="20"/>
      <c r="T802" s="28"/>
      <c r="U802" s="13"/>
      <c r="V802" s="28"/>
      <c r="W802" s="13"/>
      <c r="X802" s="28"/>
      <c r="Y802" s="13"/>
      <c r="Z802" s="28"/>
      <c r="AA802" s="13"/>
      <c r="AB802" s="28"/>
      <c r="AC802" s="13"/>
      <c r="AD802" s="28"/>
      <c r="AE802" s="13"/>
      <c r="AF802" s="28"/>
      <c r="AG802" s="13"/>
      <c r="AH802" s="28"/>
      <c r="AI802" s="13"/>
      <c r="AJ802" s="28"/>
      <c r="AK802" s="13"/>
      <c r="AL802" s="28"/>
      <c r="AM802" s="13"/>
      <c r="AN802" s="28"/>
      <c r="AO802" s="13"/>
      <c r="AP802" s="28"/>
      <c r="AQ802" s="13"/>
      <c r="AR802" s="28"/>
      <c r="AS802" s="19">
        <f>SUM(H802,J802,L802,N802,P802,R802,T802,V802,X802,Z802,AB802,AD802,AF802,AH802,AJ802,AL802,AN802)</f>
        <v>0</v>
      </c>
      <c r="AT802" s="29" t="str">
        <f>IF(C802="","",DATE(YEAR(C802),MONTH(C802),1))</f>
        <v/>
      </c>
      <c r="AU802" s="28" t="str">
        <f>IF(AT802="","",TEXT(AT802,"mmmm yyyy"))</f>
        <v/>
      </c>
      <c r="AV802" s="29" t="str">
        <f>IF(C802="","",C802-WEEKDAY(C802,2)+1)</f>
        <v/>
      </c>
      <c r="AW802" s="29" t="str">
        <f>IF(AV802="","",AV802+6)</f>
        <v/>
      </c>
      <c r="AX802" s="28" t="str">
        <f>IF(AV802="","",TEXT(AV802,"dd/mm/yyyy")&amp;" - "&amp;TEXT(AW802,"dd/mm/yyyy"))</f>
        <v/>
      </c>
      <c r="AY802" s="28" t="str">
        <f>IF(B802="","",COUNTIFS($B$5:B802,B802,$AT$5:AT802,AT802))</f>
        <v/>
      </c>
      <c r="AZ802" s="28" t="str">
        <f>IF(B802="","",COUNTIFS($B$5:B802,B802,$AV$5:AV802,AV802))</f>
        <v/>
      </c>
      <c r="BA802" s="28" t="str">
        <f>IF(B802="","",TEXT(AY802,"00")&amp;"|"&amp;B802&amp;"|"&amp;TEXT(AT802,"yyyymmdd"))</f>
        <v/>
      </c>
      <c r="BB802" s="28" t="str">
        <f>IF(B802="","",TEXT(AZ802,"00")&amp;"|"&amp;B802&amp;"|"&amp;TEXT(AV802,"yyyymmdd"))</f>
        <v/>
      </c>
      <c r="BC802" s="28">
        <f>IF(OR(AQ802="YES",AQ802="Yes",AQ802="Y",AQ802=1),1,0)</f>
        <v>0</v>
      </c>
    </row>
  </sheetData>
  <autoFilter ref="A4:BF802" xr:uid="{00000000-0009-0000-0000-000003000000}">
    <sortState xmlns:xlrd2="http://schemas.microsoft.com/office/spreadsheetml/2017/richdata2" ref="A5:BF802">
      <sortCondition ref="C4:C802"/>
    </sortState>
  </autoFilter>
  <mergeCells count="2">
    <mergeCell ref="A1:BF1"/>
    <mergeCell ref="A2:BF2"/>
  </mergeCells>
  <hyperlinks>
    <hyperlink ref="BE27" r:id="rId1" xr:uid="{83CAEB43-3D0D-42A4-A8D6-4B6561A90E61}"/>
    <hyperlink ref="BE28" r:id="rId2" xr:uid="{60E40B7A-2858-47FE-A2F1-C6740AD5D8F5}"/>
    <hyperlink ref="BE29" r:id="rId3" xr:uid="{64DD4303-C9B7-4886-85A1-546F94586C05}"/>
    <hyperlink ref="BE37" r:id="rId4" xr:uid="{1C4F14F3-191A-4F2A-808F-05750CFDD676}"/>
  </hyperlinks>
  <pageMargins left="0.25" right="0.25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Songpon Phothong</dc:creator>
  <cp:lastModifiedBy>Songpon Phothong</cp:lastModifiedBy>
  <dcterms:created xsi:type="dcterms:W3CDTF">2026-05-20T07:31:43Z</dcterms:created>
  <dcterms:modified xsi:type="dcterms:W3CDTF">2026-05-20T07:33:26Z</dcterms:modified>
</cp:coreProperties>
</file>